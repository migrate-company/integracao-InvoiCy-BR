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F-e ABI" sheetId="1" r:id="rId4"/>
  </sheets>
  <definedNames/>
  <calcPr/>
  <extLst>
    <ext uri="GoogleSheetsCustomDataVersion2">
      <go:sheetsCustomData xmlns:go="http://customooxmlschemas.google.com/" r:id="rId5" roundtripDataChecksum="4gAoAOyzLSjpuUXDjGM46TziOaBM++uEsy26h2ZBwXc="/>
    </ext>
  </extLst>
</workbook>
</file>

<file path=xl/sharedStrings.xml><?xml version="1.0" encoding="utf-8"?>
<sst xmlns="http://schemas.openxmlformats.org/spreadsheetml/2006/main" count="2707" uniqueCount="831">
  <si>
    <t>LAYOUT XML NF-e ABI</t>
  </si>
  <si>
    <t>Nº</t>
  </si>
  <si>
    <t>ID</t>
  </si>
  <si>
    <t>Campo</t>
  </si>
  <si>
    <t>Descrição</t>
  </si>
  <si>
    <t>Ele</t>
  </si>
  <si>
    <t>Pai</t>
  </si>
  <si>
    <t>Tipo</t>
  </si>
  <si>
    <t>Ocorr.</t>
  </si>
  <si>
    <t>Obrig.</t>
  </si>
  <si>
    <t>Observações</t>
  </si>
  <si>
    <t>Versão</t>
  </si>
  <si>
    <t>A - Identificação da Nota Fiscal Eletrônica de Alienação de Bens Imóveis</t>
  </si>
  <si>
    <t>A01</t>
  </si>
  <si>
    <t>Envio</t>
  </si>
  <si>
    <t>Elemento Superior da Estrutura</t>
  </si>
  <si>
    <t>G</t>
  </si>
  <si>
    <t>RAIZ</t>
  </si>
  <si>
    <t>-</t>
  </si>
  <si>
    <t>S</t>
  </si>
  <si>
    <t>Preenchimento obrigatório</t>
  </si>
  <si>
    <t>1.0.0.0</t>
  </si>
  <si>
    <t>A02</t>
  </si>
  <si>
    <t>Versao</t>
  </si>
  <si>
    <t>Versão do leiaute</t>
  </si>
  <si>
    <t>E</t>
  </si>
  <si>
    <t>N (3.2)</t>
  </si>
  <si>
    <t>1-1</t>
  </si>
  <si>
    <t>Informar a versão do layout: 1.00</t>
  </si>
  <si>
    <t>A03</t>
  </si>
  <si>
    <t>ModeloDocumento</t>
  </si>
  <si>
    <t>Modelo de documento a ser enviado</t>
  </si>
  <si>
    <t>V (10)</t>
  </si>
  <si>
    <t>Preencher com: NFeABI</t>
  </si>
  <si>
    <t>Aa - Informações de Identificação da NF-e ABI</t>
  </si>
  <si>
    <t>Aa01</t>
  </si>
  <si>
    <t>ide</t>
  </si>
  <si>
    <t>Informações de identificação da NF-e ABI</t>
  </si>
  <si>
    <t>Aa02</t>
  </si>
  <si>
    <t>cUF</t>
  </si>
  <si>
    <t>Código da UF do emitente do Documento Fiscal</t>
  </si>
  <si>
    <t>N (2)</t>
  </si>
  <si>
    <t>Utilizar a Tabela do IBGE de código de unidades da federação.</t>
  </si>
  <si>
    <t>Aa03</t>
  </si>
  <si>
    <t>cNF</t>
  </si>
  <si>
    <t>Código Numérico que compõe a Chave de Acesso</t>
  </si>
  <si>
    <t>N (7)</t>
  </si>
  <si>
    <t>0-1</t>
  </si>
  <si>
    <t>N</t>
  </si>
  <si>
    <t>Número aleatório gerado pelo emitente para cada NF-e ABI, para evitar acessos indevidos. Caso não seja informado, o InvoiCy irá gerar um número aleatório.</t>
  </si>
  <si>
    <t>Aa04</t>
  </si>
  <si>
    <t>mod</t>
  </si>
  <si>
    <t>Código do Modelo do Documento Fiscal</t>
  </si>
  <si>
    <t>77= NF-e ABI</t>
  </si>
  <si>
    <t>Aa05</t>
  </si>
  <si>
    <t>serie</t>
  </si>
  <si>
    <t>Série do Documento Fiscal</t>
  </si>
  <si>
    <t>V (1-3)</t>
  </si>
  <si>
    <t>Aa06</t>
  </si>
  <si>
    <t>nNF</t>
  </si>
  <si>
    <t>Número do Documento Fiscal</t>
  </si>
  <si>
    <t>N (1-9)</t>
  </si>
  <si>
    <t>Aa07</t>
  </si>
  <si>
    <t>dhEmi</t>
  </si>
  <si>
    <t>Data e hora de emissão do Documento Fiscal</t>
  </si>
  <si>
    <t>D</t>
  </si>
  <si>
    <t>Data e hora no formato UTC (Universal Coordinated Time): AAAA-MM-DDThh:mm:ssTZD</t>
  </si>
  <si>
    <t>Aa08</t>
  </si>
  <si>
    <t>FusoHorario</t>
  </si>
  <si>
    <t>Fuso horário da emissão</t>
  </si>
  <si>
    <t>C (6)</t>
  </si>
  <si>
    <t>Preencher com o fuso horário do estado emissor, no formato UTC. Ex.: -03:00 (Brasília).</t>
  </si>
  <si>
    <t>Aa09</t>
  </si>
  <si>
    <t>tpNF</t>
  </si>
  <si>
    <t>Tipo de Documento Fiscal</t>
  </si>
  <si>
    <t>N (1)</t>
  </si>
  <si>
    <t>0=Simplificado
1=Completo
ORIENTAÇÃO: O Tipo “Simplificado” só pode ser utilizado nas operações que se referirem à totalidade do bem imóvel, quando se enquadrar em uma das condições abaixo:
(1) Compra e venda, cessão de direitos ou permuta com somente um vendedor ou transmitente;
(2) Outras alienações com somente um vendedor ou transmitente; ou
(3) Arrematação judicial, adjudicação ou remição com somente um adquirente.</t>
  </si>
  <si>
    <t>Aa10</t>
  </si>
  <si>
    <t>tpImp</t>
  </si>
  <si>
    <t>Formato de Impressão do DANFE</t>
  </si>
  <si>
    <t>0=Sem geração de DANFE;
1=DANFE-ABI normal, Retrato;
2=DANFE-ABI normal, Paisagem.</t>
  </si>
  <si>
    <t>Aa11</t>
  </si>
  <si>
    <t>gModNat</t>
  </si>
  <si>
    <t>Grupo Modalidade e Natureza da operação</t>
  </si>
  <si>
    <t>Aa12</t>
  </si>
  <si>
    <t>modOper</t>
  </si>
  <si>
    <t>Modalidade da operação</t>
  </si>
  <si>
    <t>C (2)</t>
  </si>
  <si>
    <t>Verificar Tabela de Códigos da NF-e ABI, publicada no Portal da NF-e ABI.
Informar com zero à esquerda (ex.: 01).</t>
  </si>
  <si>
    <t>Aa13</t>
  </si>
  <si>
    <t>natOper</t>
  </si>
  <si>
    <t>Natureza da operação</t>
  </si>
  <si>
    <t>Aa14</t>
  </si>
  <si>
    <t>detOper</t>
  </si>
  <si>
    <t>Detalhamento da operação</t>
  </si>
  <si>
    <t>Verificar Tabela de Códigos da NF-e ABI, publicada no Portal da NF-e ABI.</t>
  </si>
  <si>
    <t>Aa15</t>
  </si>
  <si>
    <t>tpEmis</t>
  </si>
  <si>
    <t>Tipo de Emissão da NF-e ABI</t>
  </si>
  <si>
    <t>1=Emissão normal (não em contingência);
9=Contingência off-line.</t>
  </si>
  <si>
    <t>Aa16</t>
  </si>
  <si>
    <t>nSiteAutoriz</t>
  </si>
  <si>
    <t>Site do Autorizador que recepcionou a NF-e ABI</t>
  </si>
  <si>
    <t>Se o autorizador possuir apenas um site, informar zero (0). Caso o autorizador trabalhe com múltiplos sites, indicar o número do site para o qual a NF-e ABI foi endereçada (1 a 9).</t>
  </si>
  <si>
    <t>Aa17</t>
  </si>
  <si>
    <t>cDV</t>
  </si>
  <si>
    <t>Dígito Verificador da Chave de Acesso da NF-e ABI</t>
  </si>
  <si>
    <t>Sempre recalculado pelo InvoiCy; não é necessário informar.</t>
  </si>
  <si>
    <t>Aa18</t>
  </si>
  <si>
    <t>tpAmb</t>
  </si>
  <si>
    <t>Identificação do Ambiente</t>
  </si>
  <si>
    <t>1=Produção;
2=Homologação</t>
  </si>
  <si>
    <t>Aa19</t>
  </si>
  <si>
    <t>finNFe</t>
  </si>
  <si>
    <t>Finalidade de emissão da NF-e ABI</t>
  </si>
  <si>
    <t>1=NF-e normal;
2=NF-e substituição;</t>
  </si>
  <si>
    <t>Aa20</t>
  </si>
  <si>
    <t>procEmi</t>
  </si>
  <si>
    <t>Processo de emissão da NF-e ABI</t>
  </si>
  <si>
    <t>0=Emissão de NF-e com aplicativo do contribuinte (Assinatura com certificado do emitente);
1=Emissão NF-e pelo contribuinte com aplicativo fornecido pelo Fisco (Assinatura com certificado do fisco).</t>
  </si>
  <si>
    <t>Aa21</t>
  </si>
  <si>
    <t>verProc</t>
  </si>
  <si>
    <t>Versão do Processo de emissão da NF-e ABI</t>
  </si>
  <si>
    <t>C (1-20)</t>
  </si>
  <si>
    <t>Sempre sobrescrito pelo InvoiCy com o valor "MigrateInvoiCy"; não é necessário informar.</t>
  </si>
  <si>
    <t>Aa22</t>
  </si>
  <si>
    <t>ChaveAcesso</t>
  </si>
  <si>
    <t>Chave de Acesso da NF-e ABI</t>
  </si>
  <si>
    <t>C (44)</t>
  </si>
  <si>
    <t>Sempre recalculada pelo InvoiCy a partir dos demais campos; não é necessário informar.</t>
  </si>
  <si>
    <t>Aa23</t>
  </si>
  <si>
    <t>EmailArquivos</t>
  </si>
  <si>
    <t>E-mails para recebimento dos arquivos</t>
  </si>
  <si>
    <t>V (1000)</t>
  </si>
  <si>
    <t>Uso interno do InvoiCy: destino dos arquivos do documento. Não é enviado à SEFAZ.</t>
  </si>
  <si>
    <t>Aa24</t>
  </si>
  <si>
    <t>gCont</t>
  </si>
  <si>
    <t>Grupo de contingência</t>
  </si>
  <si>
    <t>Grupo opcional. Informar somente na emissão em contingência (tpEmis=9).</t>
  </si>
  <si>
    <t>Aa25</t>
  </si>
  <si>
    <t>dhCont</t>
  </si>
  <si>
    <t>Data e Hora da entrada em contingência</t>
  </si>
  <si>
    <t>Aa26</t>
  </si>
  <si>
    <t>xJust</t>
  </si>
  <si>
    <t>Justificativa da entrada em contingência</t>
  </si>
  <si>
    <t>V (15-256)</t>
  </si>
  <si>
    <t>Ab - Informações de Documentos Fiscais Referenciados</t>
  </si>
  <si>
    <t>Ab01</t>
  </si>
  <si>
    <t>NFref</t>
  </si>
  <si>
    <t>Elemento do grupo de documentos fiscais referenciados</t>
  </si>
  <si>
    <t>Grupo com as informações das NF-e ABI referenciadas. Utilizado na NF-e ABI de substituição (finNFe=2).</t>
  </si>
  <si>
    <t>Ab02</t>
  </si>
  <si>
    <t>NFrefItem</t>
  </si>
  <si>
    <t>Elemento Superior da Estrutura de documentos fiscais referenciados</t>
  </si>
  <si>
    <t>1-500</t>
  </si>
  <si>
    <t>Não informar este grupo quando a integração for API Rest.</t>
  </si>
  <si>
    <t>Ab03</t>
  </si>
  <si>
    <t>refNFEABI</t>
  </si>
  <si>
    <t>Chave de acesso da NF-e ABI referenciada</t>
  </si>
  <si>
    <t>Referencia uma NF-e ABI emitida anteriormente.</t>
  </si>
  <si>
    <t>B - Identificação do Emitente da NF-e ABI</t>
  </si>
  <si>
    <t>B01</t>
  </si>
  <si>
    <t>emit</t>
  </si>
  <si>
    <t>TAG de grupo de identificação do emitente da NF-e ABI</t>
  </si>
  <si>
    <t>B02</t>
  </si>
  <si>
    <t>CNPJ</t>
  </si>
  <si>
    <t>CNPJ do emitente</t>
  </si>
  <si>
    <t>CE</t>
  </si>
  <si>
    <t>C (14)</t>
  </si>
  <si>
    <t>Informar CNPJ ou CPF</t>
  </si>
  <si>
    <t>B03</t>
  </si>
  <si>
    <t>CPF</t>
  </si>
  <si>
    <t>CPF do emitente</t>
  </si>
  <si>
    <t>C (11)</t>
  </si>
  <si>
    <t>B04</t>
  </si>
  <si>
    <t>xNome</t>
  </si>
  <si>
    <t>Razão Social ou Nome do emitente</t>
  </si>
  <si>
    <t>C (2-60)</t>
  </si>
  <si>
    <t>B05</t>
  </si>
  <si>
    <t>xFant</t>
  </si>
  <si>
    <t>Nome fantasia</t>
  </si>
  <si>
    <t>C (1-60)</t>
  </si>
  <si>
    <t>B06</t>
  </si>
  <si>
    <t>tpEmit</t>
  </si>
  <si>
    <t>Tipo do Emitente</t>
  </si>
  <si>
    <t>01=Vendedor, Transmitente ou Cedente
02=Comprador, Adquirente ou Cessionário
03=Leiloeiro (em nome do arrematante)
04=Tabelionato de Notas (em nome do vendedor ou
transmitente)
05=Junta Comercial (em nome do transmitente)
06=Banco ou instituição financeira (em nome do vendedor ou
transmitente)
07=Organização gestora de fundo patrimonial
08=Credor fiduciário (na consolidação da propriedade)
09=Grupo de consórcio (na consolidação da propriedade)
10=Sucessora em virtude de incorporação, cisão ou fusão
99=Outros Emitentes
OBSERVAÇÃO 1: Proibida a opção “01” quando amoda-lidade for 02=Arrematação, Adjudicação ou Remição.
OBSERVAÇÃO 2: Proibidas as opções “02” e “03” quando as modalidades forem diferentes de 02=Arrematação, Adjudicação ou Remição.
OBSERVAÇÃO 3: Proibida a opção “99” quando houver destaque de tributo na nota.</t>
  </si>
  <si>
    <t>Ba - Grupo do Endereço do Emitente</t>
  </si>
  <si>
    <t>Ba01</t>
  </si>
  <si>
    <t>enderEmit</t>
  </si>
  <si>
    <t>TAG de grupo do Endereço do emitente</t>
  </si>
  <si>
    <t>Ba02</t>
  </si>
  <si>
    <t>xLgr</t>
  </si>
  <si>
    <t>Logradouro</t>
  </si>
  <si>
    <t>Ba03</t>
  </si>
  <si>
    <t>nro</t>
  </si>
  <si>
    <t>Número</t>
  </si>
  <si>
    <t>Ba04</t>
  </si>
  <si>
    <t>xCpl</t>
  </si>
  <si>
    <t>Complemento</t>
  </si>
  <si>
    <t>Ba05</t>
  </si>
  <si>
    <t>xBairro</t>
  </si>
  <si>
    <t>Bairro</t>
  </si>
  <si>
    <t>Ba06</t>
  </si>
  <si>
    <t>cMun</t>
  </si>
  <si>
    <t>Código do município</t>
  </si>
  <si>
    <t>Utilizar a Tabela do IBGE.</t>
  </si>
  <si>
    <t>Ba07</t>
  </si>
  <si>
    <t>xMun</t>
  </si>
  <si>
    <t>Nome do município</t>
  </si>
  <si>
    <t>Ba08</t>
  </si>
  <si>
    <t>UF</t>
  </si>
  <si>
    <t>Sigla da UF</t>
  </si>
  <si>
    <t>Ba09</t>
  </si>
  <si>
    <t>CEP</t>
  </si>
  <si>
    <t>Código do CEP</t>
  </si>
  <si>
    <t>N (8)</t>
  </si>
  <si>
    <t>Informar os zeros não significativos.</t>
  </si>
  <si>
    <t>Ba10</t>
  </si>
  <si>
    <t>cPais</t>
  </si>
  <si>
    <t>Código do País</t>
  </si>
  <si>
    <t>N (4)</t>
  </si>
  <si>
    <t>1058=Brasil</t>
  </si>
  <si>
    <t>Ba11</t>
  </si>
  <si>
    <t>xPais</t>
  </si>
  <si>
    <t>Nome do País</t>
  </si>
  <si>
    <t>Brasil ou BRASIL</t>
  </si>
  <si>
    <t>Ba12</t>
  </si>
  <si>
    <t>fone</t>
  </si>
  <si>
    <t>Telefone</t>
  </si>
  <si>
    <t>N (6-14)</t>
  </si>
  <si>
    <t>Preencher com o Código DDD + número do telefone. Nas operações com exterior é permitido informar o código do país + código da localidade + número do telefone.</t>
  </si>
  <si>
    <t>C - Identificação dos Transmitentes da Operação</t>
  </si>
  <si>
    <t>C01</t>
  </si>
  <si>
    <t>transmit</t>
  </si>
  <si>
    <t>TAG de grupo dos vendedores, transmitentes ou cedentes do imóvel</t>
  </si>
  <si>
    <t>Grupo com as informações dos transmitentes. Um imóvel pode ter vários proprietários: informar um transmitItem para cada transmitente (até 99).</t>
  </si>
  <si>
    <t>C02</t>
  </si>
  <si>
    <t>transmitItem</t>
  </si>
  <si>
    <t>Elemento do grupo de transmitentes</t>
  </si>
  <si>
    <t>1-99</t>
  </si>
  <si>
    <t>C03</t>
  </si>
  <si>
    <t>nTransmit</t>
  </si>
  <si>
    <t>Número Sequencial do Transmitente</t>
  </si>
  <si>
    <t>N (1-2)</t>
  </si>
  <si>
    <t>Número Sequencial do Transmitente (1-99)</t>
  </si>
  <si>
    <t>C04</t>
  </si>
  <si>
    <t>indDeclarante</t>
  </si>
  <si>
    <t>Indicador de declarante</t>
  </si>
  <si>
    <t>O vendedor, transmitente ou cedente aqui identificado é o declarante desta Nota Fiscal?
0=Não / 1=Sim
OBSERVAÇÃO 1: Não abrir para a modalidade “02.Arrematação, Adjudicação ou Remição” (tag: modOper&lt;&gt;2)
OBSERVAÇÃO 2: O transmitente com indDeclarante=1 deverá corresponder ao nTransmit=1.
OBSERVAÇÃO 3: A obrigatoriedade ou vedação do preenchimento deste campo está condicionada ao indicador “tpNF” do grupo “Identificação da NF- e ABI”.
Se tpNF (tag: ide/tpNF) for “0=Simplificado”:
→ Não abrir o campo indDeclarante
Se tpNF (tag: ide/tpNF) for “1=Completo”:
→ Se modOper&lt;&gt;2: Abrir o campo indDeclarante
→ Se modOper=2: Não abrir o campo indDeclarante</t>
  </si>
  <si>
    <t>C05</t>
  </si>
  <si>
    <t>CNPJ do Transmitente</t>
  </si>
  <si>
    <t>C06</t>
  </si>
  <si>
    <t>CPF do Transmitente</t>
  </si>
  <si>
    <t>C07</t>
  </si>
  <si>
    <t>Razão Social ou nome do Transmitente</t>
  </si>
  <si>
    <t>C08</t>
  </si>
  <si>
    <t>pTransIndiv</t>
  </si>
  <si>
    <t>Proporção Transmitida Individual</t>
  </si>
  <si>
    <t>N (3.4)</t>
  </si>
  <si>
    <t>ORIENTAÇÃO: Preencher a proporção do imóvel (*) que o vendedor, transmitente ou cedente está transferindo individualmente.
(*) em formato percentual
OBSERVAÇÃO: A obrigatoriedade ou vedação do preenchimento deste campo está condicionada ao indicador “tpNF” do grupo “Identificação da NF- e ABI”.
Se tpNF (tag: ide/tpNF) for “0=Simplificado”:
→ Não abrir o campo pTransIndiv
Se tpNF (tag: ide/tpNF) for “1=Completo”:
→ Abrir o campo pTransIndiv</t>
  </si>
  <si>
    <t>C09</t>
  </si>
  <si>
    <t>indContrib</t>
  </si>
  <si>
    <t>Indicador de Contribuinte do Regime regular do IBS/CBS</t>
  </si>
  <si>
    <t>0=Não Contribuinte do IBS/CBS
1=Contribuinte do Regime Regular do IBS/CBS
2=Optante do Simples Nacional
OBS: Não abrir para a modalidade "02.Arrematação, Adjudicação ou Remição" (tag: modOper=2)</t>
  </si>
  <si>
    <t>Ca – Grupo do Endereço do Transmitente</t>
  </si>
  <si>
    <t>Ca01</t>
  </si>
  <si>
    <t>enderTransmit</t>
  </si>
  <si>
    <t>TAG de grupo do Endereço do transmitente</t>
  </si>
  <si>
    <t>Obrigatório somente quando indDeclarante=1</t>
  </si>
  <si>
    <t>Ca02</t>
  </si>
  <si>
    <t>Ca03</t>
  </si>
  <si>
    <t>Ca04</t>
  </si>
  <si>
    <t>Ca05</t>
  </si>
  <si>
    <t>Ca06</t>
  </si>
  <si>
    <t>Ca07</t>
  </si>
  <si>
    <t>Ca08</t>
  </si>
  <si>
    <t>Ca09</t>
  </si>
  <si>
    <t>Ca10</t>
  </si>
  <si>
    <t>N (2-4)</t>
  </si>
  <si>
    <t>Ca11</t>
  </si>
  <si>
    <t>Ca12</t>
  </si>
  <si>
    <t>Preencher com o Código DDD + número do telefone.</t>
  </si>
  <si>
    <t>D - Identificação dos Adquirentes da Operação</t>
  </si>
  <si>
    <t>D01</t>
  </si>
  <si>
    <t>adquirente</t>
  </si>
  <si>
    <t>TAG de grupo dos compradores, adquirentes ou cessionários</t>
  </si>
  <si>
    <t>Grupo com as informações dos adquirentes: informar um adquirenteItem para cada adquirente (até 99).</t>
  </si>
  <si>
    <t>D02</t>
  </si>
  <si>
    <t>adquirenteItem</t>
  </si>
  <si>
    <t>Elemento do grupo de adquirentes</t>
  </si>
  <si>
    <t>D03</t>
  </si>
  <si>
    <t>nAdquir</t>
  </si>
  <si>
    <t>Número Sequencial do Adquirente</t>
  </si>
  <si>
    <t>D04</t>
  </si>
  <si>
    <t>Indicador de Declarante</t>
  </si>
  <si>
    <t>O comprador, adquirente ou cessionário aqui identificado é o declarante desta Nota Fiscal?
0=Não;
1=Sim
OBSERVAÇÃO 1: Abrir somente para a modalidade 2.Arrematação, Adjudicação ou Remição (tag: modOper=2).
OBSERVAÇÃO 2: O adquirente com indDeclarante=1 deve corresponder ao nAdquir=1.
OBSERVAÇÃO 3: A obrigatoriedade ou vedação do preenchimento deste campo está condicionada ao indicador “tpNF” do grupo “Identificação da NF- e ABI”.
Se tpNF (tag: ide/tpNF) for “0=Simplificado”:
→ Não abrir o campo indDeclarante
Se tpNF (tag: ide/tpNF) for “1=Completo”:
→ Se modOper=2: Abrir o campo indDeclarante
→ Se modOper&lt;&gt;2: Não abrir o campo indDeclarante</t>
  </si>
  <si>
    <t>D05</t>
  </si>
  <si>
    <t>CNPJ do Adquirente</t>
  </si>
  <si>
    <t>Informar o CNPJ ou o CPF do adquirente, preenchendo os zeros não significativos.</t>
  </si>
  <si>
    <t>D06</t>
  </si>
  <si>
    <t>CPF do Adquirente</t>
  </si>
  <si>
    <t>D07</t>
  </si>
  <si>
    <t>Razão Social ou nome do Adquirente</t>
  </si>
  <si>
    <t>D08</t>
  </si>
  <si>
    <t>pAquisicao</t>
  </si>
  <si>
    <t>Percentual de Aquisição</t>
  </si>
  <si>
    <t>A obrigatoriedade ou vedação do preenchimento deste campo está condicionada ao indicador “tpNF” do grupo “Identificação da NF- e ABI”.
Se tpNF (tag: ide/tpNF) for “0=Simplificado”:
→ Não abrir o campo pAquisicao
Se tpNF (tag: ide/tpNF) for “1=Completo”:
→ Se modOper=2: Abrir o campo pAquisicao
→ Se modOper&lt;&gt;2: Não abrir o campo pAquisicao</t>
  </si>
  <si>
    <t>D09</t>
  </si>
  <si>
    <t>0=Não Contribuinte do IBS/CBS
1=Contribuinte do Regime Regular do IBS/CBS
2=Optante do Simples Nacional
OBSERVAÇÃO: Abrir somente para a modalidade "02.Arrematação, Adjudicação ou Remição" (tag: modOper=2)</t>
  </si>
  <si>
    <t>Da - Grupo do Endereço do Adquirente</t>
  </si>
  <si>
    <t>Da01</t>
  </si>
  <si>
    <t>enderAdquirente</t>
  </si>
  <si>
    <t>TAG de grupo do Endereço do adquirente</t>
  </si>
  <si>
    <t>Da02</t>
  </si>
  <si>
    <t>Da03</t>
  </si>
  <si>
    <t>Da04</t>
  </si>
  <si>
    <t>Da05</t>
  </si>
  <si>
    <t>Da06</t>
  </si>
  <si>
    <t>Da07</t>
  </si>
  <si>
    <t>Da08</t>
  </si>
  <si>
    <t>Da09</t>
  </si>
  <si>
    <t>Da10</t>
  </si>
  <si>
    <t>Da11</t>
  </si>
  <si>
    <t>Da12</t>
  </si>
  <si>
    <t>Da13</t>
  </si>
  <si>
    <t>email</t>
  </si>
  <si>
    <t>E-mail do adquirente</t>
  </si>
  <si>
    <t>C (200)</t>
  </si>
  <si>
    <t>Uso interno do InvoiCy: e-mail para envio dos arquivos do documento ao adquirente. Não é enviado à SEFAZ.</t>
  </si>
  <si>
    <t>E - Identificação do Imóvel</t>
  </si>
  <si>
    <t>E01</t>
  </si>
  <si>
    <t>imovel</t>
  </si>
  <si>
    <t>TAG de grupo de identificação do imóvel transmitido</t>
  </si>
  <si>
    <t xml:space="preserve">Na permuta com torna envolvendo exclusivamente bens imóveis (indTorna=1), informar os dados do imóvel de maior valor. </t>
  </si>
  <si>
    <t>E02</t>
  </si>
  <si>
    <t>tipo</t>
  </si>
  <si>
    <t>Tipo do imóvel</t>
  </si>
  <si>
    <t>1=Urbano;
2=Rural</t>
  </si>
  <si>
    <t>E03</t>
  </si>
  <si>
    <t>cadastro</t>
  </si>
  <si>
    <t>Informações cadastrais do imóvel</t>
  </si>
  <si>
    <t>E04</t>
  </si>
  <si>
    <t>cCIB</t>
  </si>
  <si>
    <t>Cadastro do CIB</t>
  </si>
  <si>
    <t>E05</t>
  </si>
  <si>
    <t>indIPTU</t>
  </si>
  <si>
    <t>Indicador se o imóvel possui IPTU</t>
  </si>
  <si>
    <t>0=Não possui IPTU
1=Possui IPTU</t>
  </si>
  <si>
    <t>E06</t>
  </si>
  <si>
    <t>nIptu</t>
  </si>
  <si>
    <t>Número do IPTU</t>
  </si>
  <si>
    <t>E07</t>
  </si>
  <si>
    <t>indIncra</t>
  </si>
  <si>
    <t>Indicador se o imóvel possui INCRA</t>
  </si>
  <si>
    <t>0=Não possui Incra
1=Possui Incra</t>
  </si>
  <si>
    <t>E08</t>
  </si>
  <si>
    <t>nIncra</t>
  </si>
  <si>
    <t>Número do Incra</t>
  </si>
  <si>
    <t>E09</t>
  </si>
  <si>
    <t>espImovel</t>
  </si>
  <si>
    <t>Espécie do Imóvel</t>
  </si>
  <si>
    <t>Verificar Tabela de códigos daNFe ABI, publicada no Portal da NFe ABI</t>
  </si>
  <si>
    <t>E10</t>
  </si>
  <si>
    <t>xOutrosEspecies</t>
  </si>
  <si>
    <t>Descrição das Outras Espécies</t>
  </si>
  <si>
    <t>Obrigatório para a Espécie de Imóvel "99=Outras".</t>
  </si>
  <si>
    <t>E11</t>
  </si>
  <si>
    <t>enquadramento</t>
  </si>
  <si>
    <t>Enquadramento do imóvel</t>
  </si>
  <si>
    <t>Verificar Tabela de códigos da NFe ABI, publicada no Portal da NFe ABI.
OBSERVAÇÃO: A obrigatoriedade ou vedação do preenchimento deste campo está condicionada ao indicador “ind_Enquadr_NFeABI” da tabela de cClassTrib do IBS e da CBS.
Se cClassTrib do IBS/CBS (tag: IBSCBS/cClassTrib) possui indicador que não permite a informação do Enquadramento do imóvel (ind_Enquadr_NFeABI=0):
→ Não abrir o campo enquadramento
Se cClassTrib do IBS/CBS (tag: IBSCBS/cClassTrib) possui indicador que obriga a informação do Enquadramento do imóvel  ind_Enquadr NFeABI=1):
→ Abrir o campo enquadramento</t>
  </si>
  <si>
    <t>E12</t>
  </si>
  <si>
    <t>obsLocalImovel</t>
  </si>
  <si>
    <t>Observações sobre o local do imóvel</t>
  </si>
  <si>
    <t>C (2-200)</t>
  </si>
  <si>
    <t>E13</t>
  </si>
  <si>
    <t>areaTotal</t>
  </si>
  <si>
    <t>Área Total do Imóvel</t>
  </si>
  <si>
    <t>N (13.2)</t>
  </si>
  <si>
    <t>OBSERVAÇÃO: Campo obrigatório somente para Tipo do imóvel (tag: imovel/tipo) igual a “2=Rural” (tag: tipo=2)</t>
  </si>
  <si>
    <t>E14</t>
  </si>
  <si>
    <t>uAreaTotal</t>
  </si>
  <si>
    <t>Unidade de Medida da Área Total</t>
  </si>
  <si>
    <t>C (3)</t>
  </si>
  <si>
    <t>“m2” – Metro quadrado
“ha” – Hectares
OBSERVAÇÃO: Campo obrigatório somente para Tipo do imóvel (tag: imovel/tipo) igual a “2=Rural” (tag: tipo=2)</t>
  </si>
  <si>
    <t>E15</t>
  </si>
  <si>
    <t>cartorioRegistro</t>
  </si>
  <si>
    <t>Cartório de Registro do Imóvel</t>
  </si>
  <si>
    <t>E16</t>
  </si>
  <si>
    <t>matricTransc</t>
  </si>
  <si>
    <t>Matrícula ou Transcrição</t>
  </si>
  <si>
    <t>Ea - Grupo do Endereço do Imóvel</t>
  </si>
  <si>
    <t>Ea01</t>
  </si>
  <si>
    <t>enderImovel</t>
  </si>
  <si>
    <t>TAG de grupo do Endereço do imóvel</t>
  </si>
  <si>
    <t>Ea02</t>
  </si>
  <si>
    <t>Ea03</t>
  </si>
  <si>
    <t>Ea04</t>
  </si>
  <si>
    <t>Ea05</t>
  </si>
  <si>
    <t>Ea06</t>
  </si>
  <si>
    <t>Ea07</t>
  </si>
  <si>
    <t>Ea08</t>
  </si>
  <si>
    <t>Ea09</t>
  </si>
  <si>
    <t>Ea10</t>
  </si>
  <si>
    <t>Ea11</t>
  </si>
  <si>
    <t>F - Grupo de Pessoas Autorizadas para o Download do XML</t>
  </si>
  <si>
    <t>F01</t>
  </si>
  <si>
    <t>autXML</t>
  </si>
  <si>
    <t>TAG de grupo de pessoas autorizadas a acessar o XML da NF-e ABI</t>
  </si>
  <si>
    <t>F02</t>
  </si>
  <si>
    <t>autXMLItem</t>
  </si>
  <si>
    <t>TAG superior das pessoas autorizadas a realizar o download do documento</t>
  </si>
  <si>
    <t>1-10</t>
  </si>
  <si>
    <t>F03</t>
  </si>
  <si>
    <t>nAutXML</t>
  </si>
  <si>
    <t>Número sequencial da autorização do XML</t>
  </si>
  <si>
    <t>F04</t>
  </si>
  <si>
    <t>CNPJ Autorizado</t>
  </si>
  <si>
    <t>Informar o CNPJ ou o CPF. Preencher os zeros não significativos.</t>
  </si>
  <si>
    <t>F05</t>
  </si>
  <si>
    <t>CPF Autorizado</t>
  </si>
  <si>
    <t>G - Informações da Operação</t>
  </si>
  <si>
    <t>G01</t>
  </si>
  <si>
    <t>infOper</t>
  </si>
  <si>
    <t>TAG de grupo das informações da operação</t>
  </si>
  <si>
    <t>G02</t>
  </si>
  <si>
    <t>pTransImovel</t>
  </si>
  <si>
    <t>Proporção Transmitida do Imóvel</t>
  </si>
  <si>
    <t>Proporção Transmitida do imóvel (em formato percentual)
ORIENTAÇÃO 1: Caso esteja sendo transmitida a totalidade do imóvel, inserir como proporção transmitida 100%.
ORIENTAÇÃO 2: Preencher a proporção transmitida do imóvel, considerando a venda ou negócio na sua totalidade.
OBSERVAÇÃO: A obrigatoriedade ou vedação do preenchimento deste campo está condicionada ao indicador “tpNF” do grupo “Identificação da NF- e ABI”.
Se tpNF (tag: ide/tpNF) for “0=Simplificado”:
→ Não abrir o campo pTransImovel
Se tpNF (tag: ide/tpNF) for “1=Completo”:
→ Abrir o campo pTransImovel</t>
  </si>
  <si>
    <t>G03</t>
  </si>
  <si>
    <t>vTotalOperacao</t>
  </si>
  <si>
    <t>Valor Total da Operação</t>
  </si>
  <si>
    <t>ORIENTAÇÃO: Na permuta com torna envolvendo exclusivamente bens imóveis (indTorna=1), preencher com o imóvel de maior valor.</t>
  </si>
  <si>
    <t>G04</t>
  </si>
  <si>
    <t>indTorna</t>
  </si>
  <si>
    <t>Indicador de Torna</t>
  </si>
  <si>
    <t>Indicador de torna nas permutas envolvendo exclusivamente bens imóveis.
Houve torna na permuta (ou na compra e venda equiparada à permuta)?
0=Não
1=Sim
Abrir somente para as naturezas:
→ 13. Permuta envolvendo exclusivamente bens imóveis
→ 14. Compra e venda quitada com confissão de dívida e promessa de dação em pagamento nos termos do art. 252, § 6° da LC 214/2025</t>
  </si>
  <si>
    <t>G05</t>
  </si>
  <si>
    <t>gTorna</t>
  </si>
  <si>
    <t>Grupo Torna</t>
  </si>
  <si>
    <t>Informar somente se indTorna=1.</t>
  </si>
  <si>
    <t>G06</t>
  </si>
  <si>
    <t>vTorna</t>
  </si>
  <si>
    <t>Valor da Torna</t>
  </si>
  <si>
    <t>G07</t>
  </si>
  <si>
    <t>gRedAjusteImovel</t>
  </si>
  <si>
    <t>Grupo do Redutor de Ajuste do Imóvel</t>
  </si>
  <si>
    <t>OBSERVAÇÃO: Este grupo será aberto somente se o Indicador de alienação decorrente de incorporação, loteamento ou desmembramento for igual à 0 (tag: indIncorpLote = 0).
OBSERVAÇÃO: A obrigatoriedade ou vedação do preenchimento deste grupo está condicionada ao indicador “ind_RedAjuste_NFeABI” da tabela de cClassTrib do IBS e da CBS.
1. Nas modalidades diferentes de “03. Cessão ou transmissão de direitos” (tag: modOper&lt;&gt;3) e Indicador de diferente de 1 (tag: indTorna&lt;&gt;1):
1.1. Se cClassTrib do IBS/CBS (tag: IBSCBS/cClassTrib) informado possui indicador que não permite a informação do Redutor de Ajuste (ind_RedAjuste_NFeABI=0):
 → Não abrir o grupo de Redutor de Ajuste do Imóvel
1.2. Se cClassTrib do IBS/CBS (tag: IBSCBS/cClassTrib) informado possui indicador que permite a informação do Redutor de Ajuste (ind_RedAjuste_NFeABI=1):
 → Abrir o grupo de Redutor de Ajuste do Imóvel
2. Na modalidade igual a “03. Cessão ou transmissão de direitos” (modOper = 3):
 → Não abrir o grupo de Redutor de Ajuste do Imóvel
3. Na permuta com torna envolvendo exclusivamente bens imóveis (tag: indTorna=1):
 → Não abrir o grupo de Redutor de Ajuste do Imóvel.</t>
  </si>
  <si>
    <t>G08</t>
  </si>
  <si>
    <t>vInicial</t>
  </si>
  <si>
    <t>Valor Inicial do Redutor de Ajuste atualizado</t>
  </si>
  <si>
    <t>ORIENTAÇÃO 1: Observar todos os critérios estabelecidos no art. 258, Caput da LC 214/2025.
ORIENTAÇÃO 2: O Valor Inicial do Redutor de Ajuste deverá ser corrigido desde a data da sua constituição, nos termos do art. 257, parág. 3° da LC 214/2025.
ORIENTAÇÃO 3: Não podem ser incluídos neste campo os valores de outorga onerosa do direito de construir, outorga onerosa por alteração de uso ou de quaisquer outras contrapartidas.</t>
  </si>
  <si>
    <t>G09</t>
  </si>
  <si>
    <t>vITBI</t>
  </si>
  <si>
    <t>Valor do ITBI atualizado</t>
  </si>
  <si>
    <t>ORIENTAÇÃO 1: Deverá ser considerado o valor do ITBI incidente na aquisição do imóvel ao qual se refere o Redutor de Ajuste.
ORIENTAÇÃO 2: O valor do ITBI deverá ser corrigido desde a data do pagamento, nos termos do art. 257, parág. 3° e art. 258, parág. 9° da LC 214/2025.</t>
  </si>
  <si>
    <t>G10</t>
  </si>
  <si>
    <t>vLaudemio</t>
  </si>
  <si>
    <t>Valor do Laudêmio atualizado</t>
  </si>
  <si>
    <t>ORIENTAÇÃO 1: Deverá ser considerado o valor do Laudêmio incidente na aquisição do imóvel ao qual se refere o Redutor de Ajuste.
ORIENTAÇÃO 2: O valor do Laudêmio deverá ser corrigido desde a data do pagamento, nostermos do art. 257, parág. 3° e art. 258, parág. 9° da LC 214/2025.</t>
  </si>
  <si>
    <t>G11</t>
  </si>
  <si>
    <t>vContrap</t>
  </si>
  <si>
    <t xml:space="preserve">Valor das contrapartidas atualizadas </t>
  </si>
  <si>
    <t>ORIENTAÇÃO 1: Deverá ser considerado o valor das contrapartidas de ordem urbanística e ambientais pagas ou entregues aos entes públicos em decorrência de legislação federal, estadual ou municipal, inclusive, mas não limitadas, aos valores despendidos a título de outorga onerosa do direito de construir, de outorga onerosa por alteração de uso,
e de quaisquer outras contrapartidas devidas a órgãos públicos para a execução do empreendimento imobiliário, desde que não tenham sido incluídas no valor inicial do redutor de ajuste (conforme art. 258, parág. 6°, inciso II da LC 214/2025).
ORIENTAÇÃO 2: O valor das contrapartidas deverá ser corrigido desde a data do pagamento, nos termos do art. 257, parág. 3° e art. 258, parág. 9° da LC 214/2025.</t>
  </si>
  <si>
    <t>G12</t>
  </si>
  <si>
    <t>vRedAjusteImovel</t>
  </si>
  <si>
    <t>Valor do Redutor de Ajuste do Imóvel</t>
  </si>
  <si>
    <t>OBSERVAÇÃO: Caso o Valor Inicial do Redutor de Ajuste atualizado seja diferente de 0 (tag: vInicial &lt;&gt; 0), deverá ser verificado o seguinte cálculo:
- vRedAjusteImovel = vInicial + vITBI + vLaudemio + vContrap</t>
  </si>
  <si>
    <t>G13</t>
  </si>
  <si>
    <t>indRedSocial</t>
  </si>
  <si>
    <t>Indicador de Redutor Social</t>
  </si>
  <si>
    <t>Deseja utilizar o redutor social previsto no art. 259 da LC 214/2025 para reduzir a base de cálculo do IBS e da CBS?
0=Não
1=Sim
OBSERVAÇÃO: A obrigatoriedade ou vedação do preenchimento deste grupo está condicionada ao indicador “ind_RedSocial_NFeABI” da tabela de cClassTrib do IBS e da CBS.
1. Nas modalidades diferentes de “03. Cessão ou transmissão de direitos” (modOper &lt;&gt; 3) e Indicador de Torna (tag: infOper/indTorna) diferente de 1 (indTorna&lt;&gt;1):
1.1. Se cClassTrib do IBS/CBS (tag: IBSCBS/cClassTrib) possui indicador que não permite a informação do Redutor Social (ind_RedSocial_NFeABI=0)
 → Não abrir o Indicador de Redutor Social
1.2. Se cClassTrib do IBS/CBS (tag: IBSCBS/cClassTrib) possui indicador que permite a informação do Redutor Social (ind_RedSocial_NFeABI=1) e o Enquadramento do Imóvel (tag: imóvel/enquadramento) for “01=Imóvel Residencial Novo”:
 → Abrir o Indicador de Redutor Social
1.3. Se cClassTrib do IBS/CBS (tag: IBSCBS/cClassTrib) possui indicador que permite a informação do Redutor Social (ind_RedSocial_NFeABI=1) e o Enquadramento do Imóvel (tag: imovel/enquadramento) for “03=Lote Residencial”:
 → Abrir o Indicador de Redutor Social
2. Na modalidade igual a “03. Cessão ou transmissão de direitos” (tag: modOper = 3):
 → Não abrir o Indicador de Redutor Social
3. Na permuta com torna envolvendo exclusivamente bens imóveis (tag: indTorna=1):
 → Não abrir o Indicador de Redutor Social
ORIENTAÇÃO: O Redutor Social somente poderá ser utilizado uma única vez para cada bem imóvel (art. 259, parág. 2°, da LC 214/2025).</t>
  </si>
  <si>
    <t>G14</t>
  </si>
  <si>
    <t>vRedSocial</t>
  </si>
  <si>
    <t>Valor do Redutor Social atualizado</t>
  </si>
  <si>
    <t>N (7.2)</t>
  </si>
  <si>
    <t>OBS 1: Campo obrigatório quando o indRedSocial=1
OBS 2: Campo proibido quando:
→ indRedSocial=0; ou
→ indRedSocial não for preenchido; ou
→ indIncorpLote=1
ORIENTAÇÃO: Inserir o valor correspondente, conforme o enquadramento do imóvel:
Se Enquadramento = 01 (Imóvel Residencial Novo):
O valor do Redutor Social será de R$ 100.000,00 (*) atualizado pelo IPCA desde 16/01/2025.
Se Enquadramento = 03 (Lote Residencial):
O valor do Redutor Social será de R$ 30.000,00 (*) atualizado pelo IPCA desde 16/01/2025.
ESCLARECIMENTO: Nas regras de validação, o Redutor Social será computado até o limite do valor da base de cálculo, após a dedução do redutor de ajuste (art. 259 da LC 214/2025).
(*) Os valores acima deverão ser inseridos de forma proporcional à área residencial, quando o imóvel for utilizado também para uso não residencial, nos termos da respectiva legislação municipal.</t>
  </si>
  <si>
    <t>G15</t>
  </si>
  <si>
    <t>instrumento</t>
  </si>
  <si>
    <t>Informações do Instrumento</t>
  </si>
  <si>
    <t>G16</t>
  </si>
  <si>
    <t>tpinstrumento</t>
  </si>
  <si>
    <t>Tipo de Instrumento</t>
  </si>
  <si>
    <t>Verificar Tabela de códigos da NFe ABI, publicada no Portal da NFe ABI
ORIENTAÇÃO: Caso tenha sido celebrado anteriormente algum acordo ou ajuste, deverá ser selecionado o tipo de instrumento correspondente ao respectivo contrato preliminar, promessa, compromisso, carta de reserva com princípio de pagamento ou documento representativo de compromisso.
Informar com zero à esquerda (ex.: 03)</t>
  </si>
  <si>
    <t>G17</t>
  </si>
  <si>
    <t>xOutrosinst</t>
  </si>
  <si>
    <t>Descrição dos Outros Instrumentos</t>
  </si>
  <si>
    <t>Obrigatório quando o tpInstrumento for “99=Outros”</t>
  </si>
  <si>
    <t>G18</t>
  </si>
  <si>
    <t>dtinstrumento</t>
  </si>
  <si>
    <t>Data do Instrumento (contrato, escritura etc.)</t>
  </si>
  <si>
    <t>ORIENTAÇÃO 1: Para o Tipo de Instrumento "03=Escritura pública", informar a data programada da lavratura da escritura no cartório ou tabelionato de notas.
ORIENTAÇÃO 2: Caso tenha sido celebrado anteriormente algum acordo ou ajuste, deverá ser inserida a data do respectivo contrato preliminar, promessa, compromisso, carta de reserva com princípio de pagamento ou documento representativo de compromisso.
ORIENTAÇÃO 3: Caso a alienação esteja sujeita à condição suspensiva, inserir a data do implemento dessa condição.</t>
  </si>
  <si>
    <t>G19</t>
  </si>
  <si>
    <t>gincorpLote</t>
  </si>
  <si>
    <t>Grupo de informações relativas ao empreendimento imobiliário</t>
  </si>
  <si>
    <t>Informar somente para a modalidade "01. Alienação em Geral"  (modOper=01).</t>
  </si>
  <si>
    <t>G20</t>
  </si>
  <si>
    <t>incorpLoteItem</t>
  </si>
  <si>
    <t>Elemento do grupo de informações do empreendimento imobiliário</t>
  </si>
  <si>
    <t>G21</t>
  </si>
  <si>
    <t>indIncorpLote</t>
  </si>
  <si>
    <t>Indicador de alienação decorrente de incorporação, loteamento ou desmembramento</t>
  </si>
  <si>
    <t>Trata-se de alienação decorrente de incorporação, loteamento ou desmembramento (art. 262 da LC 214/2025)?
0=Não
1=Sim
Se indIncorpLote = 1, o documento fiscal deverá ser emitido sem destaque de IBS e CBS.
Se indIncorpLote = 0, o documento fiscal deverá ser emitido com destaque de IBS e CBS.</t>
  </si>
  <si>
    <t>G22</t>
  </si>
  <si>
    <t>CNPJemplmob</t>
  </si>
  <si>
    <t>CNPJ do Empreendimento Imobiliário</t>
  </si>
  <si>
    <t>Informar o CNPJ específico do empreendimento imobiliário (incorporação ou parcelmento do solo)
Abrir somente se indIncorpLote = 1.</t>
  </si>
  <si>
    <t>G23</t>
  </si>
  <si>
    <t>cCIBObra</t>
  </si>
  <si>
    <t>Cadastro do CIB da obra</t>
  </si>
  <si>
    <t>C (2 - 60)</t>
  </si>
  <si>
    <t>Informar o número do cadastro da obra Abrir somente se indIncorpLote = 1.</t>
  </si>
  <si>
    <t>G24</t>
  </si>
  <si>
    <t>indIntermedCorret</t>
  </si>
  <si>
    <t>Indicador de Intermediação ou Corretagem</t>
  </si>
  <si>
    <t>Houve intermediação ou corretagem contratada pelo vendedor ou transmitente?
0=Não
1=Sim
Abrir somente para a modalidade “01. Alienação em Geral”</t>
  </si>
  <si>
    <t>Ga - Grupo de Intermediação ou Corretagem</t>
  </si>
  <si>
    <t>Ga01</t>
  </si>
  <si>
    <t>gintermedCorret</t>
  </si>
  <si>
    <t>Grupo de informações de Intermediação ou Corretagem</t>
  </si>
  <si>
    <t>Obrigatório somente se:
 → a modalidade da operação for “01. Alienação em Geral” (tag: modOper=1); e
 → Indicador de Intermediação ou Corretagem for igual a 1 (tag: indIntermedCorret = 1)</t>
  </si>
  <si>
    <t>Ga02</t>
  </si>
  <si>
    <t>intermedCorretItem</t>
  </si>
  <si>
    <t>Elemento do grupo de intermediação ou corretagem</t>
  </si>
  <si>
    <t>Ga03</t>
  </si>
  <si>
    <t>nCorretagem</t>
  </si>
  <si>
    <t>Número sequencial da corretagem</t>
  </si>
  <si>
    <t>Ga04</t>
  </si>
  <si>
    <t>CNPJ do corretor ou corretora</t>
  </si>
  <si>
    <t>Informar o CNPJ ou o CPF do corretor ou corretora, preenchendo os zeros não significativos.</t>
  </si>
  <si>
    <t>Ga05</t>
  </si>
  <si>
    <t>CPF do corretor ou corretora</t>
  </si>
  <si>
    <t>Ga06</t>
  </si>
  <si>
    <t>Razão Social ou Nome do corretor ou corretora</t>
  </si>
  <si>
    <t>Ga07</t>
  </si>
  <si>
    <t>vCorretagem</t>
  </si>
  <si>
    <t>Valor da Corretagem</t>
  </si>
  <si>
    <t xml:space="preserve">Gb - Imóveis transmitidos junto com a torna </t>
  </si>
  <si>
    <t>Gb01</t>
  </si>
  <si>
    <t>imovelTorna</t>
  </si>
  <si>
    <t xml:space="preserve">Imóveis transmitidos junto com a torna </t>
  </si>
  <si>
    <t>Obrigatório quando gTorna for informado (indTorna=1)</t>
  </si>
  <si>
    <t>Gb02</t>
  </si>
  <si>
    <t>Gb03</t>
  </si>
  <si>
    <t>Gb04</t>
  </si>
  <si>
    <t>Gb05</t>
  </si>
  <si>
    <t>Gb06</t>
  </si>
  <si>
    <t>Gb07</t>
  </si>
  <si>
    <t>Gb08</t>
  </si>
  <si>
    <t>Gb09</t>
  </si>
  <si>
    <t>Gb10</t>
  </si>
  <si>
    <t>Gb11</t>
  </si>
  <si>
    <t>Gb12</t>
  </si>
  <si>
    <t>Gb13</t>
  </si>
  <si>
    <t>OBSERVAÇÃO: Campo obrigatório somente para Tipo do imóvel (tag: imovelTorna/tipo) igual a “2=Rural” (tag: tipo=2)</t>
  </si>
  <si>
    <t>Gb14</t>
  </si>
  <si>
    <t>“m2” – Metro quadrado
“ha” – Hectares
OBSERVAÇÃO: Campo obrigatório somente para Tipo do imóvel (tag: imovelTorna/tipo) igual a “2=Rural” (tag: tipo=2)</t>
  </si>
  <si>
    <t>Gb15</t>
  </si>
  <si>
    <t>Gb16</t>
  </si>
  <si>
    <t>Gb17</t>
  </si>
  <si>
    <t>Gb18</t>
  </si>
  <si>
    <t>Gb19</t>
  </si>
  <si>
    <t>Gb20</t>
  </si>
  <si>
    <t>Gb21</t>
  </si>
  <si>
    <t>Gb22</t>
  </si>
  <si>
    <t>Gb23</t>
  </si>
  <si>
    <t>Gb24</t>
  </si>
  <si>
    <t>Gb25</t>
  </si>
  <si>
    <t>Gb26</t>
  </si>
  <si>
    <t>Gb27</t>
  </si>
  <si>
    <t>H - Informações da Tributação (IBS/CBS)</t>
  </si>
  <si>
    <t>H01</t>
  </si>
  <si>
    <t>ginfTrib</t>
  </si>
  <si>
    <t>TAG de grupo das informações da tributação</t>
  </si>
  <si>
    <t>H02</t>
  </si>
  <si>
    <t>gCompraGov</t>
  </si>
  <si>
    <t>Grupo de Compra Governamental</t>
  </si>
  <si>
    <t>H03</t>
  </si>
  <si>
    <t>tpEnteGov</t>
  </si>
  <si>
    <t>Tipo de ente governamental</t>
  </si>
  <si>
    <t>1=União;
2=Estados;
3=Distrito Federal;
4=Município</t>
  </si>
  <si>
    <t>H04</t>
  </si>
  <si>
    <t>pRedutor</t>
  </si>
  <si>
    <t>Percentual de redução de alíquota em compra governamental</t>
  </si>
  <si>
    <t>N (3.2-4)</t>
  </si>
  <si>
    <t>Conforme o art. 472/370 da LC 214/2025.</t>
  </si>
  <si>
    <t>H05</t>
  </si>
  <si>
    <t>tpOperGov</t>
  </si>
  <si>
    <t>Tipo de operação com o ente governamental</t>
  </si>
  <si>
    <t>1=Fornecimento;
2=Recebimento do pagamento, conforme fato gerador do IBS/CBS definido no Art. 10 § 2º</t>
  </si>
  <si>
    <t>H06</t>
  </si>
  <si>
    <t>IBSCBS</t>
  </si>
  <si>
    <t>Informações do IBS e da CBS</t>
  </si>
  <si>
    <t>H07</t>
  </si>
  <si>
    <t>CST</t>
  </si>
  <si>
    <t>Código de Situação Tributária do IBS/CBS do Declarante</t>
  </si>
  <si>
    <t>N (3)</t>
  </si>
  <si>
    <t>Utilizar a tabela de CST do IBS e da CBS.</t>
  </si>
  <si>
    <t>H08</t>
  </si>
  <si>
    <t>cClassTrib</t>
  </si>
  <si>
    <t>Código de Classificação Tributária do IBS/CBS do Declarante</t>
  </si>
  <si>
    <t>N (6)</t>
  </si>
  <si>
    <t>Utilizar tabela cClassTrib</t>
  </si>
  <si>
    <t>H09</t>
  </si>
  <si>
    <t>gIBSCBS</t>
  </si>
  <si>
    <t>Grupo de Informações do IBS e da CBS</t>
  </si>
  <si>
    <t>A obrigatoriedade ou vedação do preenchimento deste grupo está condicionada ao indicador "ind_gIBSCBS" da tabela de CST do IBS e da CBS.
Se CST do IBS/CBS (tag: IBSCBS/CST) possui indicador que não permite a informação do IBS/CBS (ind_gIBSCBS=0):
→ Não abrir o Grupo de Informações do IBS e da CBS
Se CST do IBS/CBS (tag: IBSCBS/CST) possui indicador que obriga a informação do IBS/CBS (ind_gIBSCBS=1):
→ Abrir o Grupo de Informações do IBS e da CBS</t>
  </si>
  <si>
    <t>H10</t>
  </si>
  <si>
    <t>vOperacindiv</t>
  </si>
  <si>
    <t>Valor da Operação individual do Declarante</t>
  </si>
  <si>
    <t>Verificar Tabela de códigos da NFe ABI, publicada no Portal da NFe ABI.</t>
  </si>
  <si>
    <t>H11</t>
  </si>
  <si>
    <t>vTornalndiv</t>
  </si>
  <si>
    <t>Valor da Torna Individual do Declarante</t>
  </si>
  <si>
    <t>Verificar Tabela de códigos da NFe ABI, publicada no Portal da NFe ABI.
Abrir somente para permuta com torna envolvendo exclusivamente bens imóveis (tag: indTorna=1).</t>
  </si>
  <si>
    <t>H12</t>
  </si>
  <si>
    <t>vRedAjusteIndiv</t>
  </si>
  <si>
    <t>Valor do Redutor de Ajuste Individual do Declarante</t>
  </si>
  <si>
    <t>Verificar Tabela de códigos da NFe ABI, publicada no Portal da NFe ABI.
Não abrir para a modalidade “03.Cessão ou Transmissão de direitos” (tag: modOper=3).
Não abrir na permuta com torna envolvendo exclusivamente bens imóveis (tag: indTorna=1).</t>
  </si>
  <si>
    <t>H13</t>
  </si>
  <si>
    <t>vRedSocialIndiv</t>
  </si>
  <si>
    <t>Valor do Redutor Social Individual do Declarante</t>
  </si>
  <si>
    <t>Verificar Tabela de códigos da NFe ABI, publicada no Portal da NFe ABI.
Não abrir para a modalidade “03. Cessão ou Transmissão de direitos” (tag: modOper=3).
Não abrir na permuta com torna envolvendo exclusivamente bens imóveis (tag: indTorna=1).</t>
  </si>
  <si>
    <t>H14</t>
  </si>
  <si>
    <t>VBC</t>
  </si>
  <si>
    <t>Valor da Base de Cálculo do Declarante</t>
  </si>
  <si>
    <t>Ha - Informações do IBS Estadual</t>
  </si>
  <si>
    <t>Ha01</t>
  </si>
  <si>
    <t>gIBSUF</t>
  </si>
  <si>
    <t>Grupo de informações do IBS da UF</t>
  </si>
  <si>
    <t>Ha02</t>
  </si>
  <si>
    <t>PIBSUF</t>
  </si>
  <si>
    <t>Alíquota do IBS de competência das UF</t>
  </si>
  <si>
    <t>Ha03</t>
  </si>
  <si>
    <t>gRed</t>
  </si>
  <si>
    <t>Grupo de informações da redução da alíquota</t>
  </si>
  <si>
    <t>Ha04</t>
  </si>
  <si>
    <t>pRedAliq</t>
  </si>
  <si>
    <t>Percentual de redução de alíquota</t>
  </si>
  <si>
    <t>Ha05</t>
  </si>
  <si>
    <t>pAliqEfet</t>
  </si>
  <si>
    <t>Alíquota Efetiva que será aplicada à Base de Cálculo</t>
  </si>
  <si>
    <t>Ha06</t>
  </si>
  <si>
    <t>VIBSUF</t>
  </si>
  <si>
    <t>Valor do IBS de competência das UF</t>
  </si>
  <si>
    <t>VIBSUF = pAliqEfet * vBC</t>
  </si>
  <si>
    <t>Hb - Informações do IBS Municipal</t>
  </si>
  <si>
    <t>Hb01</t>
  </si>
  <si>
    <t>gIBSMun</t>
  </si>
  <si>
    <t>Grupo de informações do IBS no Município</t>
  </si>
  <si>
    <t>Hb02</t>
  </si>
  <si>
    <t>PIBSMun</t>
  </si>
  <si>
    <t>Alíquota do IBS Municipal</t>
  </si>
  <si>
    <t>Hb03</t>
  </si>
  <si>
    <t>Hb04</t>
  </si>
  <si>
    <t>Hb05</t>
  </si>
  <si>
    <t>Hb06</t>
  </si>
  <si>
    <t>VIBSMun</t>
  </si>
  <si>
    <t>Valor do IBS de competência dos Municípios</t>
  </si>
  <si>
    <t>VIBSMun = pAliqEfet * vBC</t>
  </si>
  <si>
    <t>Hc - Informações da CBS</t>
  </si>
  <si>
    <t>Hc01</t>
  </si>
  <si>
    <t>gCBS</t>
  </si>
  <si>
    <t>Grupo de Tributação da CBS</t>
  </si>
  <si>
    <t>Hc02</t>
  </si>
  <si>
    <t>PCBS</t>
  </si>
  <si>
    <t>Alíquota da CBS</t>
  </si>
  <si>
    <t>Hc03</t>
  </si>
  <si>
    <t>Hc04</t>
  </si>
  <si>
    <t>Hc05</t>
  </si>
  <si>
    <t>Hc06</t>
  </si>
  <si>
    <t>VCBS</t>
  </si>
  <si>
    <t>Valor da CBS</t>
  </si>
  <si>
    <t>VCBS = pAliqEfet * vBC</t>
  </si>
  <si>
    <t>Hd - Grupo de informações de compras governamentais</t>
  </si>
  <si>
    <t>Hd01</t>
  </si>
  <si>
    <t>gTribCompraGov</t>
  </si>
  <si>
    <t>Grupo de informações da composição do valor do IBS e da CBS em compras governamentais</t>
  </si>
  <si>
    <t>Hd02</t>
  </si>
  <si>
    <t>pAliqIBSUF</t>
  </si>
  <si>
    <t>Hd03</t>
  </si>
  <si>
    <t>vTribIBSUF</t>
  </si>
  <si>
    <t>Valor do tributo do IBS da UF calculado</t>
  </si>
  <si>
    <t>Valor que seria devido a UF, sem aplicação do Art. 473. da LC 214/2025</t>
  </si>
  <si>
    <t>Hd04</t>
  </si>
  <si>
    <t>pAliqIBSMun</t>
  </si>
  <si>
    <t>Alíquota do IBS de competência dos Municípios</t>
  </si>
  <si>
    <t>Hd05</t>
  </si>
  <si>
    <t>vTribIBSMun</t>
  </si>
  <si>
    <t>Valor do tributo do IBS do Município calculado</t>
  </si>
  <si>
    <t>Valor que seria devido ao município, sem aplicação do Art. 473. da LC 214/2025</t>
  </si>
  <si>
    <t>Hd06</t>
  </si>
  <si>
    <t>pAliqCBS</t>
  </si>
  <si>
    <t>Hd07</t>
  </si>
  <si>
    <t>vTribCBS</t>
  </si>
  <si>
    <t>Valor do tributo da CBS calculado</t>
  </si>
  <si>
    <t>Valor que seria devido a CBS, sem aplicação do Art. 473. da LC 214/2025</t>
  </si>
  <si>
    <t>He - Grupo de Estorno de Crédito</t>
  </si>
  <si>
    <t>He01</t>
  </si>
  <si>
    <t>gEstornoCred</t>
  </si>
  <si>
    <t>Estorno de Crédito</t>
  </si>
  <si>
    <t>A obrigatoriedade ou vedação do preenchimento deste grupo está condicionada ao indicador “ind_gEstornoCred” da tabela de cClassTrib do IBS e da CBS.</t>
  </si>
  <si>
    <t>He02</t>
  </si>
  <si>
    <t>VIBSEstCred</t>
  </si>
  <si>
    <t>Valor do IBS a ser estornado</t>
  </si>
  <si>
    <t>He03</t>
  </si>
  <si>
    <t>VCBSEstCred</t>
  </si>
  <si>
    <t>Valor da CBS a ser estornado</t>
  </si>
  <si>
    <t>I - Detalhes de Pagamento</t>
  </si>
  <si>
    <t>I01</t>
  </si>
  <si>
    <t>pag</t>
  </si>
  <si>
    <t>TAG de grupo de pagamento inicialmente previsto</t>
  </si>
  <si>
    <t>A obrigatoriedade ou vedação do preenchimento deste grupo está condicionada ao indicador “ind_pag_NFeABI” da tabela de cClassTrib do IBS e da CBS.
Se cClassTrib do IBS/CBS (tag: IBSCBS/cClassTrib) possui indicador que não permite informar o grupo de pagamento inicialmente previsto (ind_pag_NFeABI=0):
→ Não abrir o grupo pag
Se cClassTrib do IBS/CBS (tag: IBSCBS/cClassTrib) possui indicador que obriga informar o grupo de pagamento inicialmente previsto (ind_pag_NFeABI=1):
→ Abrir o grupo pag</t>
  </si>
  <si>
    <t>I02</t>
  </si>
  <si>
    <t>detPagImovel</t>
  </si>
  <si>
    <t>Grupo de Detalhamento de Pagamento inicialmente previsto</t>
  </si>
  <si>
    <t>CG</t>
  </si>
  <si>
    <t>OBSERVAÇÃO: Este grupo será aberto somente se o Indicador de alienação decorrente de incorporação, loteamento ou desmembramento for igual à 0 (tag: indIncorpLote = 0).</t>
  </si>
  <si>
    <t>I03</t>
  </si>
  <si>
    <t xml:space="preserve">detPagImovelItem            </t>
  </si>
  <si>
    <t>Elemento do grupo de Detalhamento de Pagamento inicialmente previsto</t>
  </si>
  <si>
    <t>0-99</t>
  </si>
  <si>
    <t>I04</t>
  </si>
  <si>
    <t>tPag</t>
  </si>
  <si>
    <t xml:space="preserve">Tipo de pagamento ou obrigação </t>
  </si>
  <si>
    <t>ORIENTAÇÃO:
Preencher com uma das seguintes opções:
01=Recursos próprios do comprador ou adquirente
02=Recursos de terceiros
03=FGTS
04=Financiamento
05=Consórcio imobiliário
06=Bens ou direitos
07=Outros</t>
  </si>
  <si>
    <t>I05</t>
  </si>
  <si>
    <t>xPag</t>
  </si>
  <si>
    <t>Descrição do pagamento</t>
  </si>
  <si>
    <t>C (6 -120)</t>
  </si>
  <si>
    <t>OBSERVAÇÃO: Obrigatório quando Tipo de pagamento ou obrigação (tPag) for “06=Bens ou direitos” ou “07=Outros”.</t>
  </si>
  <si>
    <t>I06</t>
  </si>
  <si>
    <t>vPag</t>
  </si>
  <si>
    <t xml:space="preserve">Valor do pagamento ou obrigação </t>
  </si>
  <si>
    <t>ORIENTAÇÕES:
1. Inserir o valor total do pagamento ou obrigação correspondente ao tipo selecionado.
2. No caso de financiamento imobiliário, inserir o valor do financiamento correspondente à aquisição do imóvel, sem a inclusão do ITBI nem da taxa de registro.</t>
  </si>
  <si>
    <t>I07</t>
  </si>
  <si>
    <t>detPagIncorpLote</t>
  </si>
  <si>
    <t>OBSERVAÇÃO: Este grupo será aberto somente se o Indicador de alienação decorrente de incorporação, loteamento ou desmembramento for igual à 1 (tag: indIncorpLote = 1).</t>
  </si>
  <si>
    <t>I08</t>
  </si>
  <si>
    <t>detPagIncorpLoteItem</t>
  </si>
  <si>
    <t>I09</t>
  </si>
  <si>
    <t>tParcela</t>
  </si>
  <si>
    <t>Tipo de parcelas</t>
  </si>
  <si>
    <t>C (1 -16)</t>
  </si>
  <si>
    <t>ORIENTAÇÃO: Preencher com uma das seguintes opções:
“Sinal”
“Entrada”
“Mensal”
“Bimestral”
“Trimestral”
“Quadrimestral”
“Semestral”
“Anual”
“Isolada”
“Chaves/entrega”
“Saldo residual”
“Associativo”</t>
  </si>
  <si>
    <t>I10</t>
  </si>
  <si>
    <t>nParcela</t>
  </si>
  <si>
    <t>Número de Parcelas</t>
  </si>
  <si>
    <t>ORIENTAÇÕES:
1. Informar o número de parcelas correspondentes à série pagamentos com a mesma periodicidade (mensal, semestral, etc.);
2. No caso, por exemplo, de parcelas com periodicidade mensal, informar número de parcelas mensais;
3. Caso o tipo de parcela seja paga ou quitada em um único pagamento (ex.: sinal), deverá ser preenchido o Número de Parcelas igual à 1 (tag: nParcela = 1).</t>
  </si>
  <si>
    <t>I11</t>
  </si>
  <si>
    <t>xParcela</t>
  </si>
  <si>
    <t>Observações descritivas da parcela</t>
  </si>
  <si>
    <t>C (6 - 400)</t>
  </si>
  <si>
    <t>ORIENTAÇÕES: Campo facultativo a ser utilizado se o emitente quiser adicionar alguma observação concernente à parcela informada.</t>
  </si>
  <si>
    <t>J - Valores Totais da NF-e ABI</t>
  </si>
  <si>
    <t>J01</t>
  </si>
  <si>
    <t>total</t>
  </si>
  <si>
    <t>TAG de grupo de Valores Totais da NF-e ABI</t>
  </si>
  <si>
    <t>A obrigatoriedade ou vedação do preenchimento deste grupo está condicionada ao “Indicador de alienação decorrente de incorporação, loteamento ou desmembramento” (tag: indIncorpLote)
→ Se indIncorpLote=1: Não abrir o grupo “Total da NF-e ABI”
→ Se indIncorpLote=0: Abrir o grupo “Total da NF-e ABI”</t>
  </si>
  <si>
    <t>J02</t>
  </si>
  <si>
    <t>J03</t>
  </si>
  <si>
    <t>Valor da Operação Individual</t>
  </si>
  <si>
    <t>J04</t>
  </si>
  <si>
    <t>tribTot</t>
  </si>
  <si>
    <t>Grupo Totais Referentes aos Tributos</t>
  </si>
  <si>
    <t>J05</t>
  </si>
  <si>
    <t>Valor do Redutor de Ajuste Individual</t>
  </si>
  <si>
    <t>J06</t>
  </si>
  <si>
    <t>Valor do Redutor Social Individual</t>
  </si>
  <si>
    <t>J07</t>
  </si>
  <si>
    <t>Valor da Base de Cálculo</t>
  </si>
  <si>
    <t>J08</t>
  </si>
  <si>
    <t>Valor do IBS de Competência das UF</t>
  </si>
  <si>
    <t>J09</t>
  </si>
  <si>
    <t>Valor do IBS de Competência dos Municípios</t>
  </si>
  <si>
    <t>J10</t>
  </si>
  <si>
    <t>J11</t>
  </si>
  <si>
    <t>VNF</t>
  </si>
  <si>
    <t>Valor Total da NF-e ABI</t>
  </si>
  <si>
    <t>VNF = vOperacIndiv + VIBSUF + VIBSMun + VCBS</t>
  </si>
  <si>
    <t>K - Informações Adicionais da NF-e ABI</t>
  </si>
  <si>
    <t>K01</t>
  </si>
  <si>
    <t>infAdic</t>
  </si>
  <si>
    <t>TAG de grupo de Informações Adicionais</t>
  </si>
  <si>
    <t>Os campos de informações adicionais não podem ser utilizados para preenchimento de informações de campos que possuem estrutura específica</t>
  </si>
  <si>
    <t>K02</t>
  </si>
  <si>
    <t>infAdFisco</t>
  </si>
  <si>
    <t>Informações Adicionais de Interesse do Fisco</t>
  </si>
  <si>
    <t>C (1-5000)</t>
  </si>
  <si>
    <t>K03</t>
  </si>
  <si>
    <t>infCpl</t>
  </si>
  <si>
    <t>Informações Complementares de interesse do Contribuinte</t>
  </si>
  <si>
    <t>K04</t>
  </si>
  <si>
    <t>obsCont</t>
  </si>
  <si>
    <t>Grupo Campo de uso livre do contribuinte</t>
  </si>
  <si>
    <t>Campo de uso livre do contribuinte, Informar o nome do campo no atributo xCampo e o conteúdo do campo no xTexto</t>
  </si>
  <si>
    <t>K05</t>
  </si>
  <si>
    <t>obsContItem</t>
  </si>
  <si>
    <t>Elemento do grupo de observações do contribuinte</t>
  </si>
  <si>
    <t>K06</t>
  </si>
  <si>
    <t>xCampo</t>
  </si>
  <si>
    <t>Identificação do campo</t>
  </si>
  <si>
    <t>K07</t>
  </si>
  <si>
    <t>xTexto</t>
  </si>
  <si>
    <t>Conteúdo do campo</t>
  </si>
  <si>
    <t>K08</t>
  </si>
  <si>
    <t>obsFisco</t>
  </si>
  <si>
    <t>Grupo Campo de uso livre do Fisco</t>
  </si>
  <si>
    <t>Campo de uso livre do Fisco. Informar o nome do campo no atributo xCampo e o conteúdo do campo no xTexto</t>
  </si>
  <si>
    <t>K09</t>
  </si>
  <si>
    <t>obsFiscoItem</t>
  </si>
  <si>
    <t>Elemento do grupo de observações do Fisco</t>
  </si>
  <si>
    <t>K10</t>
  </si>
  <si>
    <t>K11</t>
  </si>
  <si>
    <t>L - Informações do Responsável Técnico pela emissão do DF-e</t>
  </si>
  <si>
    <t>L01</t>
  </si>
  <si>
    <t>infRespTec</t>
  </si>
  <si>
    <t>TAG de grupo de Informações do Responsável Técnico pela emissão do DF-e</t>
  </si>
  <si>
    <t>Grupo para informações do responsável técnico pelo sistema de emissão do DFe.
Se omitido, o InvoiCy preenche com o cadastro do parceiro.</t>
  </si>
  <si>
    <t>L02</t>
  </si>
  <si>
    <t>CNPJ da pessoa jurídica responsável pelo sistema utilizado na emissão do documento fiscal eletrônico</t>
  </si>
  <si>
    <t>L03</t>
  </si>
  <si>
    <t>xContato</t>
  </si>
  <si>
    <t>Nome da pessoa a ser contatada</t>
  </si>
  <si>
    <t>Informar o nome da pessoa a ser contatada na empresa desenvolvedora do sistema utilizado na emissão do documento fiscal eletrônico</t>
  </si>
  <si>
    <t>L04</t>
  </si>
  <si>
    <t>E-mail da pessoa jurídica a ser contatada</t>
  </si>
  <si>
    <t>C (6-60)</t>
  </si>
  <si>
    <t>Informar o e-mail da pessoa a ser contatada na empresa desenvolvedora do sistema.</t>
  </si>
  <si>
    <t>L05</t>
  </si>
  <si>
    <t>Telefone da pessoa jurídica/física a ser contatada</t>
  </si>
  <si>
    <t>Informar o telefone da pessoa a ser contatada na empresa desenvolvedora do sistema. Preencher com o Código DDD + número do telefone.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</si>
</sst>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20.0"/>
      <color rgb="FF000000"/>
      <name val="Tahoma"/>
    </font>
    <font/>
    <font>
      <sz val="10.0"/>
      <color rgb="FF000000"/>
      <name val="Tahoma"/>
    </font>
    <font>
      <b/>
      <sz val="12.0"/>
      <color rgb="FF000000"/>
      <name val="Tahoma"/>
    </font>
    <font>
      <sz val="11.0"/>
      <color rgb="FF00000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FCD5B5"/>
        <bgColor rgb="FFFCD5B5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/>
    </xf>
    <xf borderId="8" fillId="4" fontId="4" numFmtId="0" xfId="0" applyAlignment="1" applyBorder="1" applyFill="1" applyFont="1">
      <alignment horizontal="center" vertical="center"/>
    </xf>
    <xf borderId="8" fillId="4" fontId="4" numFmtId="0" xfId="0" applyAlignment="1" applyBorder="1" applyFill="1" applyFont="1">
      <alignment horizontal="center" shrinkToFit="0" vertical="center" wrapText="1"/>
    </xf>
    <xf borderId="8" fillId="4" fontId="4" numFmtId="49" xfId="0" applyAlignment="1" applyBorder="1" applyFill="1" applyFont="1" applyNumberFormat="1">
      <alignment horizontal="center" vertical="center"/>
    </xf>
    <xf borderId="9" fillId="4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0" fillId="0" fontId="2" numFmtId="0" xfId="0" applyBorder="1" applyFont="1"/>
    <xf borderId="8" fillId="3" fontId="4" numFmtId="0" xfId="0" applyAlignment="1" applyBorder="1" applyFill="1" applyFont="1">
      <alignment horizontal="center" vertical="center"/>
    </xf>
    <xf borderId="8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ill="1" applyFont="1">
      <alignment vertical="center"/>
    </xf>
    <xf borderId="8" fillId="3" fontId="5" numFmtId="0" xfId="0" applyAlignment="1" applyBorder="1" applyFill="1" applyFont="1">
      <alignment shrinkToFit="0" vertical="center" wrapText="1"/>
    </xf>
    <xf borderId="8" fillId="3" fontId="5" numFmtId="49" xfId="0" applyAlignment="1" applyBorder="1" applyFill="1" applyFont="1" applyNumberFormat="1">
      <alignment horizontal="center" vertical="center"/>
    </xf>
    <xf borderId="8" fillId="3" fontId="5" numFmtId="0" xfId="0" applyAlignment="1" applyBorder="1" applyFill="1" applyFont="1">
      <alignment readingOrder="0" shrinkToFit="0" vertical="center" wrapText="1"/>
    </xf>
    <xf borderId="8" fillId="3" fontId="5" numFmtId="0" xfId="0" applyAlignment="1" applyBorder="1" applyFill="1" applyFont="1">
      <alignment horizontal="center" readingOrder="0" vertical="center"/>
    </xf>
    <xf borderId="11" fillId="3" fontId="3" numFmtId="0" xfId="0" applyAlignment="1" applyBorder="1" applyFill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" fillId="3" fontId="4" numFmtId="0" xfId="0" applyAlignment="1" applyBorder="1" applyFill="1" applyFont="1">
      <alignment horizontal="center" readingOrder="0" vertical="center"/>
    </xf>
    <xf borderId="8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readingOrder="0" vertical="center"/>
    </xf>
    <xf borderId="8" fillId="0" fontId="5" numFmtId="49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vertical="center"/>
    </xf>
    <xf borderId="8" fillId="3" fontId="5" numFmtId="0" xfId="0" applyAlignment="1" applyBorder="1" applyFill="1" applyFont="1">
      <alignment readingOrder="0" vertical="center"/>
    </xf>
    <xf borderId="8" fillId="3" fontId="5" numFmtId="49" xfId="0" applyAlignment="1" applyBorder="1" applyFill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6.0"/>
    <col customWidth="1" min="3" max="3" width="22.86"/>
    <col customWidth="1" min="4" max="4" width="48.71"/>
    <col customWidth="1" min="5" max="5" width="4.57"/>
    <col customWidth="1" min="6" max="6" width="6.0"/>
    <col customWidth="1" min="7" max="7" width="11.14"/>
    <col customWidth="1" min="8" max="8" width="8.29"/>
    <col customWidth="1" min="9" max="9" width="8.14"/>
    <col customWidth="1" min="10" max="10" width="72.29"/>
    <col customWidth="1" min="11" max="11" width="11.14"/>
    <col customWidth="1" min="12" max="25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5"/>
      <c r="C2" s="4"/>
      <c r="D2" s="6"/>
      <c r="E2" s="6"/>
      <c r="F2" s="6"/>
      <c r="G2" s="6"/>
      <c r="H2" s="6"/>
      <c r="I2" s="6"/>
      <c r="J2" s="6"/>
      <c r="K2" s="5"/>
    </row>
    <row r="3">
      <c r="A3" s="7"/>
      <c r="B3" s="7"/>
      <c r="C3" s="7"/>
      <c r="D3" s="7"/>
      <c r="E3" s="7"/>
      <c r="F3" s="7"/>
      <c r="G3" s="7"/>
      <c r="H3" s="7"/>
      <c r="I3" s="4"/>
      <c r="J3" s="6"/>
      <c r="K3" s="5"/>
    </row>
    <row r="4">
      <c r="A4" s="8" t="s">
        <v>1</v>
      </c>
      <c r="B4" s="8" t="s">
        <v>2</v>
      </c>
      <c r="C4" s="9" t="s">
        <v>3</v>
      </c>
      <c r="D4" s="9" t="s">
        <v>4</v>
      </c>
      <c r="E4" s="8" t="s">
        <v>5</v>
      </c>
      <c r="F4" s="8" t="s">
        <v>6</v>
      </c>
      <c r="G4" s="8" t="s">
        <v>7</v>
      </c>
      <c r="H4" s="10" t="s">
        <v>8</v>
      </c>
      <c r="I4" s="8" t="s">
        <v>9</v>
      </c>
      <c r="J4" s="9" t="s">
        <v>10</v>
      </c>
      <c r="K4" s="11" t="s">
        <v>11</v>
      </c>
    </row>
    <row r="5">
      <c r="A5" s="12" t="s">
        <v>12</v>
      </c>
      <c r="B5" s="2"/>
      <c r="C5" s="2"/>
      <c r="D5" s="2"/>
      <c r="E5" s="2"/>
      <c r="F5" s="2"/>
      <c r="G5" s="2"/>
      <c r="H5" s="2"/>
      <c r="I5" s="2"/>
      <c r="J5" s="13"/>
      <c r="K5" s="14"/>
    </row>
    <row r="6">
      <c r="A6" s="15">
        <v>1.0</v>
      </c>
      <c r="B6" s="16" t="s">
        <v>13</v>
      </c>
      <c r="C6" s="17" t="s">
        <v>14</v>
      </c>
      <c r="D6" s="17" t="s">
        <v>15</v>
      </c>
      <c r="E6" s="15" t="s">
        <v>16</v>
      </c>
      <c r="F6" s="15" t="s">
        <v>17</v>
      </c>
      <c r="G6" s="15" t="s">
        <v>18</v>
      </c>
      <c r="H6" s="18" t="s">
        <v>18</v>
      </c>
      <c r="I6" s="15" t="s">
        <v>19</v>
      </c>
      <c r="J6" s="17" t="s">
        <v>20</v>
      </c>
      <c r="K6" s="16" t="s">
        <v>21</v>
      </c>
    </row>
    <row r="7">
      <c r="A7" s="15">
        <f t="shared" ref="A7:A8" si="1">A6+1</f>
        <v>2</v>
      </c>
      <c r="B7" s="16" t="s">
        <v>22</v>
      </c>
      <c r="C7" s="19" t="s">
        <v>23</v>
      </c>
      <c r="D7" s="17" t="s">
        <v>24</v>
      </c>
      <c r="E7" s="15" t="s">
        <v>25</v>
      </c>
      <c r="F7" s="15" t="str">
        <f>B6</f>
        <v>A01</v>
      </c>
      <c r="G7" s="20" t="s">
        <v>26</v>
      </c>
      <c r="H7" s="18" t="s">
        <v>27</v>
      </c>
      <c r="I7" s="15" t="s">
        <v>19</v>
      </c>
      <c r="J7" s="19" t="s">
        <v>28</v>
      </c>
      <c r="K7" s="16" t="s">
        <v>21</v>
      </c>
    </row>
    <row r="8">
      <c r="A8" s="15">
        <f t="shared" si="1"/>
        <v>3</v>
      </c>
      <c r="B8" s="16" t="s">
        <v>29</v>
      </c>
      <c r="C8" s="19" t="s">
        <v>30</v>
      </c>
      <c r="D8" s="17" t="s">
        <v>31</v>
      </c>
      <c r="E8" s="15" t="s">
        <v>25</v>
      </c>
      <c r="F8" s="15" t="str">
        <f>B6</f>
        <v>A01</v>
      </c>
      <c r="G8" s="15" t="s">
        <v>32</v>
      </c>
      <c r="H8" s="18" t="s">
        <v>27</v>
      </c>
      <c r="I8" s="15" t="s">
        <v>19</v>
      </c>
      <c r="J8" s="19" t="s">
        <v>33</v>
      </c>
      <c r="K8" s="16" t="s">
        <v>21</v>
      </c>
    </row>
    <row r="9">
      <c r="A9" s="21"/>
      <c r="B9" s="22"/>
      <c r="C9" s="22"/>
      <c r="D9" s="22"/>
      <c r="E9" s="22"/>
      <c r="F9" s="22"/>
      <c r="G9" s="22"/>
      <c r="H9" s="22"/>
      <c r="I9" s="22"/>
      <c r="J9" s="22"/>
      <c r="K9" s="23"/>
    </row>
    <row r="10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6"/>
    </row>
    <row r="11">
      <c r="A11" s="8" t="s">
        <v>1</v>
      </c>
      <c r="B11" s="8" t="s">
        <v>2</v>
      </c>
      <c r="C11" s="9" t="s">
        <v>3</v>
      </c>
      <c r="D11" s="9" t="s">
        <v>4</v>
      </c>
      <c r="E11" s="8" t="s">
        <v>5</v>
      </c>
      <c r="F11" s="8" t="s">
        <v>6</v>
      </c>
      <c r="G11" s="8" t="s">
        <v>7</v>
      </c>
      <c r="H11" s="10" t="s">
        <v>8</v>
      </c>
      <c r="I11" s="8" t="s">
        <v>9</v>
      </c>
      <c r="J11" s="9" t="s">
        <v>10</v>
      </c>
      <c r="K11" s="11" t="s">
        <v>11</v>
      </c>
    </row>
    <row r="12">
      <c r="A12" s="27" t="s">
        <v>34</v>
      </c>
      <c r="B12" s="2"/>
      <c r="C12" s="2"/>
      <c r="D12" s="2"/>
      <c r="E12" s="2"/>
      <c r="F12" s="2"/>
      <c r="G12" s="2"/>
      <c r="H12" s="2"/>
      <c r="I12" s="2"/>
      <c r="J12" s="13"/>
      <c r="K12" s="14"/>
    </row>
    <row r="13">
      <c r="A13" s="15">
        <f>A8+1</f>
        <v>4</v>
      </c>
      <c r="B13" s="16" t="s">
        <v>35</v>
      </c>
      <c r="C13" s="17" t="s">
        <v>36</v>
      </c>
      <c r="D13" s="19" t="s">
        <v>37</v>
      </c>
      <c r="E13" s="15" t="s">
        <v>16</v>
      </c>
      <c r="F13" s="15" t="s">
        <v>13</v>
      </c>
      <c r="G13" s="15" t="s">
        <v>18</v>
      </c>
      <c r="H13" s="18" t="s">
        <v>27</v>
      </c>
      <c r="I13" s="15" t="s">
        <v>19</v>
      </c>
      <c r="J13" s="17"/>
      <c r="K13" s="16" t="s">
        <v>21</v>
      </c>
    </row>
    <row r="14">
      <c r="A14" s="15">
        <f t="shared" ref="A14:A38" si="2">A13+1</f>
        <v>5</v>
      </c>
      <c r="B14" s="16" t="s">
        <v>38</v>
      </c>
      <c r="C14" s="17" t="s">
        <v>39</v>
      </c>
      <c r="D14" s="17" t="s">
        <v>40</v>
      </c>
      <c r="E14" s="15" t="s">
        <v>25</v>
      </c>
      <c r="F14" s="15" t="s">
        <v>35</v>
      </c>
      <c r="G14" s="15" t="s">
        <v>41</v>
      </c>
      <c r="H14" s="18" t="s">
        <v>27</v>
      </c>
      <c r="I14" s="15" t="s">
        <v>19</v>
      </c>
      <c r="J14" s="17" t="s">
        <v>42</v>
      </c>
      <c r="K14" s="16" t="s">
        <v>21</v>
      </c>
    </row>
    <row r="15">
      <c r="A15" s="15">
        <f t="shared" si="2"/>
        <v>6</v>
      </c>
      <c r="B15" s="16" t="s">
        <v>43</v>
      </c>
      <c r="C15" s="28" t="s">
        <v>44</v>
      </c>
      <c r="D15" s="28" t="s">
        <v>45</v>
      </c>
      <c r="E15" s="29" t="s">
        <v>25</v>
      </c>
      <c r="F15" s="29" t="s">
        <v>35</v>
      </c>
      <c r="G15" s="30" t="s">
        <v>46</v>
      </c>
      <c r="H15" s="31" t="s">
        <v>47</v>
      </c>
      <c r="I15" s="29" t="s">
        <v>48</v>
      </c>
      <c r="J15" s="32" t="s">
        <v>49</v>
      </c>
      <c r="K15" s="33" t="s">
        <v>21</v>
      </c>
    </row>
    <row r="16">
      <c r="A16" s="15">
        <f t="shared" si="2"/>
        <v>7</v>
      </c>
      <c r="B16" s="16" t="s">
        <v>50</v>
      </c>
      <c r="C16" s="17" t="s">
        <v>51</v>
      </c>
      <c r="D16" s="17" t="s">
        <v>52</v>
      </c>
      <c r="E16" s="15" t="s">
        <v>25</v>
      </c>
      <c r="F16" s="15" t="s">
        <v>35</v>
      </c>
      <c r="G16" s="15" t="s">
        <v>41</v>
      </c>
      <c r="H16" s="18" t="s">
        <v>27</v>
      </c>
      <c r="I16" s="15" t="s">
        <v>19</v>
      </c>
      <c r="J16" s="19" t="s">
        <v>53</v>
      </c>
      <c r="K16" s="16" t="s">
        <v>21</v>
      </c>
    </row>
    <row r="17">
      <c r="A17" s="15">
        <f t="shared" si="2"/>
        <v>8</v>
      </c>
      <c r="B17" s="16" t="s">
        <v>54</v>
      </c>
      <c r="C17" s="17" t="s">
        <v>55</v>
      </c>
      <c r="D17" s="17" t="s">
        <v>56</v>
      </c>
      <c r="E17" s="15" t="s">
        <v>25</v>
      </c>
      <c r="F17" s="15" t="s">
        <v>35</v>
      </c>
      <c r="G17" s="15" t="s">
        <v>57</v>
      </c>
      <c r="H17" s="18" t="s">
        <v>27</v>
      </c>
      <c r="I17" s="15" t="s">
        <v>19</v>
      </c>
      <c r="J17" s="17"/>
      <c r="K17" s="16" t="s">
        <v>21</v>
      </c>
    </row>
    <row r="18" ht="15.75" customHeight="1">
      <c r="A18" s="15">
        <f t="shared" si="2"/>
        <v>9</v>
      </c>
      <c r="B18" s="16" t="s">
        <v>58</v>
      </c>
      <c r="C18" s="17" t="s">
        <v>59</v>
      </c>
      <c r="D18" s="17" t="s">
        <v>60</v>
      </c>
      <c r="E18" s="15" t="s">
        <v>25</v>
      </c>
      <c r="F18" s="15" t="s">
        <v>35</v>
      </c>
      <c r="G18" s="15" t="s">
        <v>61</v>
      </c>
      <c r="H18" s="18" t="s">
        <v>27</v>
      </c>
      <c r="I18" s="15" t="s">
        <v>19</v>
      </c>
      <c r="J18" s="17"/>
      <c r="K18" s="16" t="s">
        <v>21</v>
      </c>
    </row>
    <row r="19" ht="15.75" customHeight="1">
      <c r="A19" s="15">
        <f t="shared" si="2"/>
        <v>10</v>
      </c>
      <c r="B19" s="16" t="s">
        <v>62</v>
      </c>
      <c r="C19" s="28" t="s">
        <v>63</v>
      </c>
      <c r="D19" s="28" t="s">
        <v>64</v>
      </c>
      <c r="E19" s="29" t="s">
        <v>25</v>
      </c>
      <c r="F19" s="29" t="s">
        <v>35</v>
      </c>
      <c r="G19" s="29" t="s">
        <v>65</v>
      </c>
      <c r="H19" s="18" t="s">
        <v>27</v>
      </c>
      <c r="I19" s="15" t="s">
        <v>19</v>
      </c>
      <c r="J19" s="32" t="s">
        <v>66</v>
      </c>
      <c r="K19" s="33" t="s">
        <v>21</v>
      </c>
    </row>
    <row r="20" ht="15.75" customHeight="1">
      <c r="A20" s="15">
        <f t="shared" si="2"/>
        <v>11</v>
      </c>
      <c r="B20" s="16" t="s">
        <v>67</v>
      </c>
      <c r="C20" s="17" t="s">
        <v>68</v>
      </c>
      <c r="D20" s="17" t="s">
        <v>69</v>
      </c>
      <c r="E20" s="15" t="s">
        <v>25</v>
      </c>
      <c r="F20" s="15" t="s">
        <v>35</v>
      </c>
      <c r="G20" s="15" t="s">
        <v>70</v>
      </c>
      <c r="H20" s="18" t="s">
        <v>27</v>
      </c>
      <c r="I20" s="15" t="s">
        <v>19</v>
      </c>
      <c r="J20" s="19" t="s">
        <v>71</v>
      </c>
      <c r="K20" s="16" t="s">
        <v>21</v>
      </c>
    </row>
    <row r="21" ht="15.75" customHeight="1">
      <c r="A21" s="15">
        <f t="shared" si="2"/>
        <v>12</v>
      </c>
      <c r="B21" s="16" t="s">
        <v>72</v>
      </c>
      <c r="C21" s="17" t="s">
        <v>73</v>
      </c>
      <c r="D21" s="17" t="s">
        <v>74</v>
      </c>
      <c r="E21" s="15" t="s">
        <v>25</v>
      </c>
      <c r="F21" s="15" t="s">
        <v>35</v>
      </c>
      <c r="G21" s="15" t="s">
        <v>75</v>
      </c>
      <c r="H21" s="18" t="s">
        <v>27</v>
      </c>
      <c r="I21" s="15" t="s">
        <v>19</v>
      </c>
      <c r="J21" s="19" t="s">
        <v>76</v>
      </c>
      <c r="K21" s="16" t="s">
        <v>21</v>
      </c>
    </row>
    <row r="22" ht="15.75" customHeight="1">
      <c r="A22" s="15">
        <f t="shared" si="2"/>
        <v>13</v>
      </c>
      <c r="B22" s="16" t="s">
        <v>77</v>
      </c>
      <c r="C22" s="17" t="s">
        <v>78</v>
      </c>
      <c r="D22" s="17" t="s">
        <v>79</v>
      </c>
      <c r="E22" s="15" t="s">
        <v>25</v>
      </c>
      <c r="F22" s="15" t="s">
        <v>35</v>
      </c>
      <c r="G22" s="15" t="s">
        <v>75</v>
      </c>
      <c r="H22" s="18" t="s">
        <v>27</v>
      </c>
      <c r="I22" s="15" t="s">
        <v>19</v>
      </c>
      <c r="J22" s="17" t="s">
        <v>80</v>
      </c>
      <c r="K22" s="16" t="s">
        <v>21</v>
      </c>
    </row>
    <row r="23" ht="15.75" customHeight="1">
      <c r="A23" s="15">
        <f t="shared" si="2"/>
        <v>14</v>
      </c>
      <c r="B23" s="16" t="s">
        <v>81</v>
      </c>
      <c r="C23" s="17" t="s">
        <v>82</v>
      </c>
      <c r="D23" s="17" t="s">
        <v>83</v>
      </c>
      <c r="E23" s="15" t="s">
        <v>16</v>
      </c>
      <c r="F23" s="15" t="s">
        <v>35</v>
      </c>
      <c r="G23" s="15" t="s">
        <v>18</v>
      </c>
      <c r="H23" s="18" t="s">
        <v>27</v>
      </c>
      <c r="I23" s="15" t="s">
        <v>19</v>
      </c>
      <c r="J23" s="17"/>
      <c r="K23" s="16" t="s">
        <v>21</v>
      </c>
    </row>
    <row r="24" ht="15.75" customHeight="1">
      <c r="A24" s="15">
        <f t="shared" si="2"/>
        <v>15</v>
      </c>
      <c r="B24" s="16" t="s">
        <v>84</v>
      </c>
      <c r="C24" s="17" t="s">
        <v>85</v>
      </c>
      <c r="D24" s="17" t="s">
        <v>86</v>
      </c>
      <c r="E24" s="15" t="s">
        <v>25</v>
      </c>
      <c r="F24" s="15" t="s">
        <v>81</v>
      </c>
      <c r="G24" s="15" t="s">
        <v>87</v>
      </c>
      <c r="H24" s="18" t="s">
        <v>27</v>
      </c>
      <c r="I24" s="15" t="s">
        <v>19</v>
      </c>
      <c r="J24" s="19" t="s">
        <v>88</v>
      </c>
      <c r="K24" s="16" t="s">
        <v>21</v>
      </c>
    </row>
    <row r="25" ht="15.75" customHeight="1">
      <c r="A25" s="15">
        <f t="shared" si="2"/>
        <v>16</v>
      </c>
      <c r="B25" s="16" t="s">
        <v>89</v>
      </c>
      <c r="C25" s="17" t="s">
        <v>90</v>
      </c>
      <c r="D25" s="17" t="s">
        <v>91</v>
      </c>
      <c r="E25" s="15" t="s">
        <v>25</v>
      </c>
      <c r="F25" s="15" t="s">
        <v>81</v>
      </c>
      <c r="G25" s="15" t="s">
        <v>87</v>
      </c>
      <c r="H25" s="18" t="s">
        <v>27</v>
      </c>
      <c r="I25" s="15" t="s">
        <v>19</v>
      </c>
      <c r="J25" s="19" t="s">
        <v>88</v>
      </c>
      <c r="K25" s="16" t="s">
        <v>21</v>
      </c>
    </row>
    <row r="26" ht="15.75" customHeight="1">
      <c r="A26" s="15">
        <f t="shared" si="2"/>
        <v>17</v>
      </c>
      <c r="B26" s="16" t="s">
        <v>92</v>
      </c>
      <c r="C26" s="17" t="s">
        <v>93</v>
      </c>
      <c r="D26" s="17" t="s">
        <v>94</v>
      </c>
      <c r="E26" s="15" t="s">
        <v>25</v>
      </c>
      <c r="F26" s="15" t="s">
        <v>81</v>
      </c>
      <c r="G26" s="15" t="s">
        <v>87</v>
      </c>
      <c r="H26" s="18" t="s">
        <v>47</v>
      </c>
      <c r="I26" s="15" t="s">
        <v>48</v>
      </c>
      <c r="J26" s="19" t="s">
        <v>95</v>
      </c>
      <c r="K26" s="16" t="s">
        <v>21</v>
      </c>
    </row>
    <row r="27" ht="15.75" customHeight="1">
      <c r="A27" s="15">
        <f t="shared" si="2"/>
        <v>18</v>
      </c>
      <c r="B27" s="16" t="s">
        <v>96</v>
      </c>
      <c r="C27" s="17" t="s">
        <v>97</v>
      </c>
      <c r="D27" s="17" t="s">
        <v>98</v>
      </c>
      <c r="E27" s="15" t="s">
        <v>25</v>
      </c>
      <c r="F27" s="15" t="s">
        <v>35</v>
      </c>
      <c r="G27" s="15" t="s">
        <v>75</v>
      </c>
      <c r="H27" s="18" t="s">
        <v>27</v>
      </c>
      <c r="I27" s="15" t="s">
        <v>19</v>
      </c>
      <c r="J27" s="17" t="s">
        <v>99</v>
      </c>
      <c r="K27" s="16" t="s">
        <v>21</v>
      </c>
    </row>
    <row r="28" ht="15.75" customHeight="1">
      <c r="A28" s="15">
        <f t="shared" si="2"/>
        <v>19</v>
      </c>
      <c r="B28" s="16" t="s">
        <v>100</v>
      </c>
      <c r="C28" s="17" t="s">
        <v>101</v>
      </c>
      <c r="D28" s="17" t="s">
        <v>102</v>
      </c>
      <c r="E28" s="15" t="s">
        <v>25</v>
      </c>
      <c r="F28" s="15" t="s">
        <v>35</v>
      </c>
      <c r="G28" s="15" t="s">
        <v>75</v>
      </c>
      <c r="H28" s="18" t="s">
        <v>27</v>
      </c>
      <c r="I28" s="15" t="s">
        <v>19</v>
      </c>
      <c r="J28" s="19" t="s">
        <v>103</v>
      </c>
      <c r="K28" s="16" t="s">
        <v>21</v>
      </c>
    </row>
    <row r="29" ht="15.75" customHeight="1">
      <c r="A29" s="15">
        <f t="shared" si="2"/>
        <v>20</v>
      </c>
      <c r="B29" s="16" t="s">
        <v>104</v>
      </c>
      <c r="C29" s="28" t="s">
        <v>105</v>
      </c>
      <c r="D29" s="28" t="s">
        <v>106</v>
      </c>
      <c r="E29" s="29" t="s">
        <v>25</v>
      </c>
      <c r="F29" s="29" t="s">
        <v>35</v>
      </c>
      <c r="G29" s="29" t="s">
        <v>75</v>
      </c>
      <c r="H29" s="31" t="s">
        <v>47</v>
      </c>
      <c r="I29" s="29" t="s">
        <v>48</v>
      </c>
      <c r="J29" s="32" t="s">
        <v>107</v>
      </c>
      <c r="K29" s="33" t="s">
        <v>21</v>
      </c>
    </row>
    <row r="30" ht="15.75" customHeight="1">
      <c r="A30" s="15">
        <f t="shared" si="2"/>
        <v>21</v>
      </c>
      <c r="B30" s="16" t="s">
        <v>108</v>
      </c>
      <c r="C30" s="17" t="s">
        <v>109</v>
      </c>
      <c r="D30" s="17" t="s">
        <v>110</v>
      </c>
      <c r="E30" s="15" t="s">
        <v>25</v>
      </c>
      <c r="F30" s="15" t="s">
        <v>35</v>
      </c>
      <c r="G30" s="15" t="s">
        <v>75</v>
      </c>
      <c r="H30" s="18" t="s">
        <v>27</v>
      </c>
      <c r="I30" s="15" t="s">
        <v>19</v>
      </c>
      <c r="J30" s="17" t="s">
        <v>111</v>
      </c>
      <c r="K30" s="16" t="s">
        <v>21</v>
      </c>
    </row>
    <row r="31" ht="15.75" customHeight="1">
      <c r="A31" s="15">
        <f t="shared" si="2"/>
        <v>22</v>
      </c>
      <c r="B31" s="16" t="s">
        <v>112</v>
      </c>
      <c r="C31" s="17" t="s">
        <v>113</v>
      </c>
      <c r="D31" s="17" t="s">
        <v>114</v>
      </c>
      <c r="E31" s="15" t="s">
        <v>25</v>
      </c>
      <c r="F31" s="15" t="s">
        <v>35</v>
      </c>
      <c r="G31" s="15" t="s">
        <v>75</v>
      </c>
      <c r="H31" s="18" t="s">
        <v>27</v>
      </c>
      <c r="I31" s="15" t="s">
        <v>19</v>
      </c>
      <c r="J31" s="19" t="s">
        <v>115</v>
      </c>
      <c r="K31" s="16" t="s">
        <v>21</v>
      </c>
    </row>
    <row r="32" ht="15.75" customHeight="1">
      <c r="A32" s="15">
        <f t="shared" si="2"/>
        <v>23</v>
      </c>
      <c r="B32" s="16" t="s">
        <v>116</v>
      </c>
      <c r="C32" s="17" t="s">
        <v>117</v>
      </c>
      <c r="D32" s="17" t="s">
        <v>118</v>
      </c>
      <c r="E32" s="15" t="s">
        <v>25</v>
      </c>
      <c r="F32" s="15" t="s">
        <v>35</v>
      </c>
      <c r="G32" s="15" t="s">
        <v>75</v>
      </c>
      <c r="H32" s="18" t="s">
        <v>27</v>
      </c>
      <c r="I32" s="15" t="s">
        <v>19</v>
      </c>
      <c r="J32" s="19" t="s">
        <v>119</v>
      </c>
      <c r="K32" s="16" t="s">
        <v>21</v>
      </c>
    </row>
    <row r="33" ht="15.75" customHeight="1">
      <c r="A33" s="15">
        <f t="shared" si="2"/>
        <v>24</v>
      </c>
      <c r="B33" s="16" t="s">
        <v>120</v>
      </c>
      <c r="C33" s="28" t="s">
        <v>121</v>
      </c>
      <c r="D33" s="28" t="s">
        <v>122</v>
      </c>
      <c r="E33" s="29" t="s">
        <v>25</v>
      </c>
      <c r="F33" s="29" t="s">
        <v>35</v>
      </c>
      <c r="G33" s="30" t="s">
        <v>123</v>
      </c>
      <c r="H33" s="31" t="s">
        <v>47</v>
      </c>
      <c r="I33" s="29" t="s">
        <v>48</v>
      </c>
      <c r="J33" s="28" t="s">
        <v>124</v>
      </c>
      <c r="K33" s="33" t="s">
        <v>21</v>
      </c>
    </row>
    <row r="34" ht="15.75" customHeight="1">
      <c r="A34" s="15">
        <f t="shared" si="2"/>
        <v>25</v>
      </c>
      <c r="B34" s="16" t="s">
        <v>125</v>
      </c>
      <c r="C34" s="28" t="s">
        <v>126</v>
      </c>
      <c r="D34" s="28" t="s">
        <v>127</v>
      </c>
      <c r="E34" s="29" t="s">
        <v>25</v>
      </c>
      <c r="F34" s="29" t="s">
        <v>35</v>
      </c>
      <c r="G34" s="29" t="s">
        <v>128</v>
      </c>
      <c r="H34" s="31" t="s">
        <v>47</v>
      </c>
      <c r="I34" s="29" t="s">
        <v>48</v>
      </c>
      <c r="J34" s="28" t="s">
        <v>129</v>
      </c>
      <c r="K34" s="33" t="s">
        <v>21</v>
      </c>
    </row>
    <row r="35" ht="15.75" customHeight="1">
      <c r="A35" s="15">
        <f t="shared" si="2"/>
        <v>26</v>
      </c>
      <c r="B35" s="16" t="s">
        <v>130</v>
      </c>
      <c r="C35" s="28" t="s">
        <v>131</v>
      </c>
      <c r="D35" s="28" t="s">
        <v>132</v>
      </c>
      <c r="E35" s="29" t="s">
        <v>25</v>
      </c>
      <c r="F35" s="29" t="s">
        <v>35</v>
      </c>
      <c r="G35" s="29" t="s">
        <v>133</v>
      </c>
      <c r="H35" s="31" t="s">
        <v>47</v>
      </c>
      <c r="I35" s="29" t="s">
        <v>48</v>
      </c>
      <c r="J35" s="28" t="s">
        <v>134</v>
      </c>
      <c r="K35" s="33" t="s">
        <v>21</v>
      </c>
    </row>
    <row r="36" ht="15.75" customHeight="1">
      <c r="A36" s="15">
        <f t="shared" si="2"/>
        <v>27</v>
      </c>
      <c r="B36" s="16" t="s">
        <v>135</v>
      </c>
      <c r="C36" s="17" t="s">
        <v>136</v>
      </c>
      <c r="D36" s="17" t="s">
        <v>137</v>
      </c>
      <c r="E36" s="15" t="s">
        <v>16</v>
      </c>
      <c r="F36" s="15" t="s">
        <v>35</v>
      </c>
      <c r="G36" s="15" t="s">
        <v>18</v>
      </c>
      <c r="H36" s="18" t="s">
        <v>47</v>
      </c>
      <c r="I36" s="15" t="s">
        <v>48</v>
      </c>
      <c r="J36" s="17" t="s">
        <v>138</v>
      </c>
      <c r="K36" s="16" t="s">
        <v>21</v>
      </c>
    </row>
    <row r="37" ht="15.75" customHeight="1">
      <c r="A37" s="15">
        <f t="shared" si="2"/>
        <v>28</v>
      </c>
      <c r="B37" s="16" t="s">
        <v>139</v>
      </c>
      <c r="C37" s="17" t="s">
        <v>140</v>
      </c>
      <c r="D37" s="17" t="s">
        <v>141</v>
      </c>
      <c r="E37" s="15" t="s">
        <v>25</v>
      </c>
      <c r="F37" s="15" t="s">
        <v>135</v>
      </c>
      <c r="G37" s="15" t="s">
        <v>65</v>
      </c>
      <c r="H37" s="18" t="s">
        <v>27</v>
      </c>
      <c r="I37" s="15" t="s">
        <v>19</v>
      </c>
      <c r="J37" s="19" t="s">
        <v>66</v>
      </c>
      <c r="K37" s="16" t="s">
        <v>21</v>
      </c>
    </row>
    <row r="38" ht="15.75" customHeight="1">
      <c r="A38" s="15">
        <f t="shared" si="2"/>
        <v>29</v>
      </c>
      <c r="B38" s="16" t="s">
        <v>142</v>
      </c>
      <c r="C38" s="17" t="s">
        <v>143</v>
      </c>
      <c r="D38" s="17" t="s">
        <v>144</v>
      </c>
      <c r="E38" s="15" t="s">
        <v>25</v>
      </c>
      <c r="F38" s="15" t="s">
        <v>135</v>
      </c>
      <c r="G38" s="15" t="s">
        <v>145</v>
      </c>
      <c r="H38" s="18" t="s">
        <v>27</v>
      </c>
      <c r="I38" s="15" t="s">
        <v>19</v>
      </c>
      <c r="J38" s="17"/>
      <c r="K38" s="16" t="s">
        <v>21</v>
      </c>
    </row>
    <row r="39" ht="15.75" customHeight="1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3"/>
    </row>
    <row r="40" ht="15.75" customHeight="1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6"/>
    </row>
    <row r="41" ht="15.75" customHeight="1">
      <c r="A41" s="8" t="s">
        <v>1</v>
      </c>
      <c r="B41" s="8" t="s">
        <v>2</v>
      </c>
      <c r="C41" s="9" t="s">
        <v>3</v>
      </c>
      <c r="D41" s="9" t="s">
        <v>4</v>
      </c>
      <c r="E41" s="8" t="s">
        <v>5</v>
      </c>
      <c r="F41" s="8" t="s">
        <v>6</v>
      </c>
      <c r="G41" s="8" t="s">
        <v>7</v>
      </c>
      <c r="H41" s="10" t="s">
        <v>8</v>
      </c>
      <c r="I41" s="8" t="s">
        <v>9</v>
      </c>
      <c r="J41" s="9" t="s">
        <v>10</v>
      </c>
      <c r="K41" s="11" t="s">
        <v>11</v>
      </c>
    </row>
    <row r="42" ht="15.75" customHeight="1">
      <c r="A42" s="27" t="s">
        <v>146</v>
      </c>
      <c r="B42" s="2"/>
      <c r="C42" s="2"/>
      <c r="D42" s="2"/>
      <c r="E42" s="2"/>
      <c r="F42" s="2"/>
      <c r="G42" s="2"/>
      <c r="H42" s="2"/>
      <c r="I42" s="2"/>
      <c r="J42" s="13"/>
      <c r="K42" s="14"/>
    </row>
    <row r="43" ht="15.75" customHeight="1">
      <c r="A43" s="15">
        <f>A38+1</f>
        <v>30</v>
      </c>
      <c r="B43" s="16" t="s">
        <v>147</v>
      </c>
      <c r="C43" s="17" t="s">
        <v>148</v>
      </c>
      <c r="D43" s="17" t="s">
        <v>149</v>
      </c>
      <c r="E43" s="15" t="s">
        <v>16</v>
      </c>
      <c r="F43" s="15" t="s">
        <v>35</v>
      </c>
      <c r="G43" s="15" t="s">
        <v>18</v>
      </c>
      <c r="H43" s="18" t="s">
        <v>47</v>
      </c>
      <c r="I43" s="15" t="s">
        <v>48</v>
      </c>
      <c r="J43" s="17" t="s">
        <v>150</v>
      </c>
      <c r="K43" s="16" t="s">
        <v>21</v>
      </c>
    </row>
    <row r="44" ht="15.75" customHeight="1">
      <c r="A44" s="15">
        <f t="shared" ref="A44:A45" si="3">A43+1</f>
        <v>31</v>
      </c>
      <c r="B44" s="16" t="s">
        <v>151</v>
      </c>
      <c r="C44" s="17" t="s">
        <v>152</v>
      </c>
      <c r="D44" s="17" t="s">
        <v>153</v>
      </c>
      <c r="E44" s="15" t="s">
        <v>16</v>
      </c>
      <c r="F44" s="15" t="s">
        <v>147</v>
      </c>
      <c r="G44" s="15" t="s">
        <v>18</v>
      </c>
      <c r="H44" s="18" t="s">
        <v>154</v>
      </c>
      <c r="I44" s="15" t="s">
        <v>19</v>
      </c>
      <c r="J44" s="17" t="s">
        <v>155</v>
      </c>
      <c r="K44" s="16" t="s">
        <v>21</v>
      </c>
    </row>
    <row r="45" ht="15.75" customHeight="1">
      <c r="A45" s="15">
        <f t="shared" si="3"/>
        <v>32</v>
      </c>
      <c r="B45" s="16" t="s">
        <v>156</v>
      </c>
      <c r="C45" s="17" t="s">
        <v>157</v>
      </c>
      <c r="D45" s="17" t="s">
        <v>158</v>
      </c>
      <c r="E45" s="15" t="s">
        <v>25</v>
      </c>
      <c r="F45" s="15" t="s">
        <v>151</v>
      </c>
      <c r="G45" s="15" t="s">
        <v>128</v>
      </c>
      <c r="H45" s="18" t="s">
        <v>27</v>
      </c>
      <c r="I45" s="15" t="s">
        <v>19</v>
      </c>
      <c r="J45" s="19" t="s">
        <v>159</v>
      </c>
      <c r="K45" s="16" t="s">
        <v>21</v>
      </c>
    </row>
    <row r="46" ht="15.75" customHeight="1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3"/>
    </row>
    <row r="47" ht="15.75" customHeight="1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6"/>
    </row>
    <row r="48" ht="15.75" customHeight="1">
      <c r="A48" s="8" t="s">
        <v>1</v>
      </c>
      <c r="B48" s="8" t="s">
        <v>2</v>
      </c>
      <c r="C48" s="9" t="s">
        <v>3</v>
      </c>
      <c r="D48" s="9" t="s">
        <v>4</v>
      </c>
      <c r="E48" s="8" t="s">
        <v>5</v>
      </c>
      <c r="F48" s="8" t="s">
        <v>6</v>
      </c>
      <c r="G48" s="8" t="s">
        <v>7</v>
      </c>
      <c r="H48" s="10" t="s">
        <v>8</v>
      </c>
      <c r="I48" s="8" t="s">
        <v>9</v>
      </c>
      <c r="J48" s="9" t="s">
        <v>10</v>
      </c>
      <c r="K48" s="11" t="s">
        <v>11</v>
      </c>
    </row>
    <row r="49" ht="15.75" customHeight="1">
      <c r="A49" s="12" t="s">
        <v>160</v>
      </c>
      <c r="B49" s="2"/>
      <c r="C49" s="2"/>
      <c r="D49" s="2"/>
      <c r="E49" s="2"/>
      <c r="F49" s="2"/>
      <c r="G49" s="2"/>
      <c r="H49" s="2"/>
      <c r="I49" s="2"/>
      <c r="J49" s="13"/>
      <c r="K49" s="14"/>
    </row>
    <row r="50" ht="15.75" customHeight="1">
      <c r="A50" s="15">
        <f>A45+1</f>
        <v>33</v>
      </c>
      <c r="B50" s="16" t="s">
        <v>161</v>
      </c>
      <c r="C50" s="17" t="s">
        <v>162</v>
      </c>
      <c r="D50" s="17" t="s">
        <v>163</v>
      </c>
      <c r="E50" s="15" t="s">
        <v>16</v>
      </c>
      <c r="F50" s="15" t="s">
        <v>13</v>
      </c>
      <c r="G50" s="15" t="s">
        <v>18</v>
      </c>
      <c r="H50" s="18" t="s">
        <v>27</v>
      </c>
      <c r="I50" s="15" t="s">
        <v>19</v>
      </c>
      <c r="J50" s="17"/>
      <c r="K50" s="16" t="s">
        <v>21</v>
      </c>
    </row>
    <row r="51" ht="15.75" customHeight="1">
      <c r="A51" s="15">
        <f t="shared" ref="A51:A55" si="4">A50+1</f>
        <v>34</v>
      </c>
      <c r="B51" s="16" t="s">
        <v>164</v>
      </c>
      <c r="C51" s="17" t="s">
        <v>165</v>
      </c>
      <c r="D51" s="17" t="s">
        <v>166</v>
      </c>
      <c r="E51" s="15" t="s">
        <v>167</v>
      </c>
      <c r="F51" s="15" t="s">
        <v>161</v>
      </c>
      <c r="G51" s="15" t="s">
        <v>168</v>
      </c>
      <c r="H51" s="18" t="s">
        <v>27</v>
      </c>
      <c r="I51" s="15" t="s">
        <v>19</v>
      </c>
      <c r="J51" s="19" t="s">
        <v>169</v>
      </c>
      <c r="K51" s="16" t="s">
        <v>21</v>
      </c>
    </row>
    <row r="52" ht="15.75" customHeight="1">
      <c r="A52" s="15">
        <f t="shared" si="4"/>
        <v>35</v>
      </c>
      <c r="B52" s="16" t="s">
        <v>170</v>
      </c>
      <c r="C52" s="17" t="s">
        <v>171</v>
      </c>
      <c r="D52" s="17" t="s">
        <v>172</v>
      </c>
      <c r="E52" s="15" t="s">
        <v>167</v>
      </c>
      <c r="F52" s="15" t="s">
        <v>161</v>
      </c>
      <c r="G52" s="15" t="s">
        <v>173</v>
      </c>
      <c r="H52" s="18" t="s">
        <v>27</v>
      </c>
      <c r="I52" s="15" t="s">
        <v>19</v>
      </c>
      <c r="J52" s="17"/>
      <c r="K52" s="16" t="s">
        <v>21</v>
      </c>
    </row>
    <row r="53" ht="15.75" customHeight="1">
      <c r="A53" s="15">
        <f t="shared" si="4"/>
        <v>36</v>
      </c>
      <c r="B53" s="16" t="s">
        <v>174</v>
      </c>
      <c r="C53" s="17" t="s">
        <v>175</v>
      </c>
      <c r="D53" s="17" t="s">
        <v>176</v>
      </c>
      <c r="E53" s="15" t="s">
        <v>25</v>
      </c>
      <c r="F53" s="15" t="s">
        <v>161</v>
      </c>
      <c r="G53" s="20" t="s">
        <v>177</v>
      </c>
      <c r="H53" s="18" t="s">
        <v>27</v>
      </c>
      <c r="I53" s="15" t="s">
        <v>19</v>
      </c>
      <c r="J53" s="17"/>
      <c r="K53" s="16" t="s">
        <v>21</v>
      </c>
    </row>
    <row r="54" ht="15.75" customHeight="1">
      <c r="A54" s="15">
        <f t="shared" si="4"/>
        <v>37</v>
      </c>
      <c r="B54" s="16" t="s">
        <v>178</v>
      </c>
      <c r="C54" s="17" t="s">
        <v>179</v>
      </c>
      <c r="D54" s="17" t="s">
        <v>180</v>
      </c>
      <c r="E54" s="15" t="s">
        <v>25</v>
      </c>
      <c r="F54" s="15" t="s">
        <v>161</v>
      </c>
      <c r="G54" s="20" t="s">
        <v>181</v>
      </c>
      <c r="H54" s="18" t="s">
        <v>47</v>
      </c>
      <c r="I54" s="15" t="s">
        <v>48</v>
      </c>
      <c r="J54" s="17"/>
      <c r="K54" s="16" t="s">
        <v>21</v>
      </c>
    </row>
    <row r="55" ht="15.75" customHeight="1">
      <c r="A55" s="15">
        <f t="shared" si="4"/>
        <v>38</v>
      </c>
      <c r="B55" s="16" t="s">
        <v>182</v>
      </c>
      <c r="C55" s="17" t="s">
        <v>183</v>
      </c>
      <c r="D55" s="17" t="s">
        <v>184</v>
      </c>
      <c r="E55" s="15" t="s">
        <v>25</v>
      </c>
      <c r="F55" s="15" t="s">
        <v>161</v>
      </c>
      <c r="G55" s="15" t="s">
        <v>41</v>
      </c>
      <c r="H55" s="18" t="s">
        <v>27</v>
      </c>
      <c r="I55" s="15" t="s">
        <v>19</v>
      </c>
      <c r="J55" s="19" t="s">
        <v>185</v>
      </c>
      <c r="K55" s="16" t="s">
        <v>21</v>
      </c>
    </row>
    <row r="56" ht="15.75" customHeight="1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23"/>
    </row>
    <row r="57" ht="15.75" customHeight="1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6"/>
    </row>
    <row r="58" ht="15.75" customHeight="1">
      <c r="A58" s="8" t="s">
        <v>1</v>
      </c>
      <c r="B58" s="8" t="s">
        <v>2</v>
      </c>
      <c r="C58" s="9" t="s">
        <v>3</v>
      </c>
      <c r="D58" s="9" t="s">
        <v>4</v>
      </c>
      <c r="E58" s="8" t="s">
        <v>5</v>
      </c>
      <c r="F58" s="8" t="s">
        <v>6</v>
      </c>
      <c r="G58" s="8" t="s">
        <v>7</v>
      </c>
      <c r="H58" s="10" t="s">
        <v>8</v>
      </c>
      <c r="I58" s="8" t="s">
        <v>9</v>
      </c>
      <c r="J58" s="9" t="s">
        <v>10</v>
      </c>
      <c r="K58" s="11" t="s">
        <v>11</v>
      </c>
    </row>
    <row r="59" ht="15.75" customHeight="1">
      <c r="A59" s="27" t="s">
        <v>186</v>
      </c>
      <c r="B59" s="2"/>
      <c r="C59" s="2"/>
      <c r="D59" s="2"/>
      <c r="E59" s="2"/>
      <c r="F59" s="2"/>
      <c r="G59" s="2"/>
      <c r="H59" s="2"/>
      <c r="I59" s="2"/>
      <c r="J59" s="13"/>
      <c r="K59" s="14"/>
    </row>
    <row r="60" ht="15.75" customHeight="1">
      <c r="A60" s="15">
        <f>A55+1</f>
        <v>39</v>
      </c>
      <c r="B60" s="16" t="s">
        <v>187</v>
      </c>
      <c r="C60" s="17" t="s">
        <v>188</v>
      </c>
      <c r="D60" s="17" t="s">
        <v>189</v>
      </c>
      <c r="E60" s="15" t="s">
        <v>16</v>
      </c>
      <c r="F60" s="15" t="s">
        <v>161</v>
      </c>
      <c r="G60" s="15" t="s">
        <v>18</v>
      </c>
      <c r="H60" s="18" t="s">
        <v>27</v>
      </c>
      <c r="I60" s="15" t="s">
        <v>19</v>
      </c>
      <c r="J60" s="17"/>
      <c r="K60" s="16" t="s">
        <v>21</v>
      </c>
    </row>
    <row r="61" ht="15.75" customHeight="1">
      <c r="A61" s="15">
        <f t="shared" ref="A61:A71" si="5">A60+1</f>
        <v>40</v>
      </c>
      <c r="B61" s="16" t="s">
        <v>190</v>
      </c>
      <c r="C61" s="17" t="s">
        <v>191</v>
      </c>
      <c r="D61" s="17" t="s">
        <v>192</v>
      </c>
      <c r="E61" s="15" t="s">
        <v>25</v>
      </c>
      <c r="F61" s="15" t="s">
        <v>187</v>
      </c>
      <c r="G61" s="20" t="s">
        <v>177</v>
      </c>
      <c r="H61" s="18" t="s">
        <v>27</v>
      </c>
      <c r="I61" s="15" t="s">
        <v>19</v>
      </c>
      <c r="J61" s="17"/>
      <c r="K61" s="16" t="s">
        <v>21</v>
      </c>
    </row>
    <row r="62" ht="15.75" customHeight="1">
      <c r="A62" s="15">
        <f t="shared" si="5"/>
        <v>41</v>
      </c>
      <c r="B62" s="16" t="s">
        <v>193</v>
      </c>
      <c r="C62" s="17" t="s">
        <v>194</v>
      </c>
      <c r="D62" s="17" t="s">
        <v>195</v>
      </c>
      <c r="E62" s="15" t="s">
        <v>25</v>
      </c>
      <c r="F62" s="15" t="s">
        <v>187</v>
      </c>
      <c r="G62" s="20" t="s">
        <v>181</v>
      </c>
      <c r="H62" s="18" t="s">
        <v>27</v>
      </c>
      <c r="I62" s="15" t="s">
        <v>19</v>
      </c>
      <c r="J62" s="17"/>
      <c r="K62" s="16" t="s">
        <v>21</v>
      </c>
    </row>
    <row r="63" ht="15.75" customHeight="1">
      <c r="A63" s="15">
        <f t="shared" si="5"/>
        <v>42</v>
      </c>
      <c r="B63" s="16" t="s">
        <v>196</v>
      </c>
      <c r="C63" s="17" t="s">
        <v>197</v>
      </c>
      <c r="D63" s="17" t="s">
        <v>198</v>
      </c>
      <c r="E63" s="15" t="s">
        <v>25</v>
      </c>
      <c r="F63" s="15" t="s">
        <v>187</v>
      </c>
      <c r="G63" s="20" t="s">
        <v>181</v>
      </c>
      <c r="H63" s="18" t="s">
        <v>47</v>
      </c>
      <c r="I63" s="15" t="s">
        <v>48</v>
      </c>
      <c r="J63" s="17"/>
      <c r="K63" s="16" t="s">
        <v>21</v>
      </c>
    </row>
    <row r="64" ht="15.75" customHeight="1">
      <c r="A64" s="15">
        <f t="shared" si="5"/>
        <v>43</v>
      </c>
      <c r="B64" s="16" t="s">
        <v>199</v>
      </c>
      <c r="C64" s="17" t="s">
        <v>200</v>
      </c>
      <c r="D64" s="17" t="s">
        <v>201</v>
      </c>
      <c r="E64" s="15" t="s">
        <v>25</v>
      </c>
      <c r="F64" s="15" t="s">
        <v>187</v>
      </c>
      <c r="G64" s="20" t="s">
        <v>177</v>
      </c>
      <c r="H64" s="18" t="s">
        <v>47</v>
      </c>
      <c r="I64" s="15" t="s">
        <v>48</v>
      </c>
      <c r="J64" s="17"/>
      <c r="K64" s="16" t="s">
        <v>21</v>
      </c>
    </row>
    <row r="65" ht="15.75" customHeight="1">
      <c r="A65" s="15">
        <f t="shared" si="5"/>
        <v>44</v>
      </c>
      <c r="B65" s="16" t="s">
        <v>202</v>
      </c>
      <c r="C65" s="17" t="s">
        <v>203</v>
      </c>
      <c r="D65" s="17" t="s">
        <v>204</v>
      </c>
      <c r="E65" s="15" t="s">
        <v>25</v>
      </c>
      <c r="F65" s="15" t="s">
        <v>187</v>
      </c>
      <c r="G65" s="15" t="s">
        <v>46</v>
      </c>
      <c r="H65" s="18" t="s">
        <v>27</v>
      </c>
      <c r="I65" s="15" t="s">
        <v>19</v>
      </c>
      <c r="J65" s="17" t="s">
        <v>205</v>
      </c>
      <c r="K65" s="16" t="s">
        <v>21</v>
      </c>
    </row>
    <row r="66" ht="15.75" customHeight="1">
      <c r="A66" s="15">
        <f t="shared" si="5"/>
        <v>45</v>
      </c>
      <c r="B66" s="16" t="s">
        <v>206</v>
      </c>
      <c r="C66" s="17" t="s">
        <v>207</v>
      </c>
      <c r="D66" s="17" t="s">
        <v>208</v>
      </c>
      <c r="E66" s="15" t="s">
        <v>25</v>
      </c>
      <c r="F66" s="15" t="s">
        <v>187</v>
      </c>
      <c r="G66" s="20" t="s">
        <v>177</v>
      </c>
      <c r="H66" s="18" t="s">
        <v>27</v>
      </c>
      <c r="I66" s="15" t="s">
        <v>19</v>
      </c>
      <c r="J66" s="17"/>
      <c r="K66" s="16" t="s">
        <v>21</v>
      </c>
    </row>
    <row r="67" ht="15.75" customHeight="1">
      <c r="A67" s="15">
        <f t="shared" si="5"/>
        <v>46</v>
      </c>
      <c r="B67" s="16" t="s">
        <v>209</v>
      </c>
      <c r="C67" s="17" t="s">
        <v>210</v>
      </c>
      <c r="D67" s="17" t="s">
        <v>211</v>
      </c>
      <c r="E67" s="15" t="s">
        <v>25</v>
      </c>
      <c r="F67" s="15" t="s">
        <v>187</v>
      </c>
      <c r="G67" s="15" t="s">
        <v>87</v>
      </c>
      <c r="H67" s="18" t="s">
        <v>27</v>
      </c>
      <c r="I67" s="15" t="s">
        <v>19</v>
      </c>
      <c r="J67" s="17"/>
      <c r="K67" s="16" t="s">
        <v>21</v>
      </c>
    </row>
    <row r="68" ht="15.75" customHeight="1">
      <c r="A68" s="15">
        <f t="shared" si="5"/>
        <v>47</v>
      </c>
      <c r="B68" s="16" t="s">
        <v>212</v>
      </c>
      <c r="C68" s="17" t="s">
        <v>213</v>
      </c>
      <c r="D68" s="17" t="s">
        <v>214</v>
      </c>
      <c r="E68" s="15" t="s">
        <v>25</v>
      </c>
      <c r="F68" s="15" t="s">
        <v>187</v>
      </c>
      <c r="G68" s="15" t="s">
        <v>215</v>
      </c>
      <c r="H68" s="18" t="s">
        <v>47</v>
      </c>
      <c r="I68" s="15" t="s">
        <v>48</v>
      </c>
      <c r="J68" s="17" t="s">
        <v>216</v>
      </c>
      <c r="K68" s="16" t="s">
        <v>21</v>
      </c>
    </row>
    <row r="69" ht="15.75" customHeight="1">
      <c r="A69" s="15">
        <f t="shared" si="5"/>
        <v>48</v>
      </c>
      <c r="B69" s="16" t="s">
        <v>217</v>
      </c>
      <c r="C69" s="17" t="s">
        <v>218</v>
      </c>
      <c r="D69" s="17" t="s">
        <v>219</v>
      </c>
      <c r="E69" s="15" t="s">
        <v>25</v>
      </c>
      <c r="F69" s="15" t="s">
        <v>187</v>
      </c>
      <c r="G69" s="15" t="s">
        <v>220</v>
      </c>
      <c r="H69" s="18" t="s">
        <v>47</v>
      </c>
      <c r="I69" s="15" t="s">
        <v>48</v>
      </c>
      <c r="J69" s="17" t="s">
        <v>221</v>
      </c>
      <c r="K69" s="16" t="s">
        <v>21</v>
      </c>
    </row>
    <row r="70" ht="15.75" customHeight="1">
      <c r="A70" s="15">
        <f t="shared" si="5"/>
        <v>49</v>
      </c>
      <c r="B70" s="16" t="s">
        <v>222</v>
      </c>
      <c r="C70" s="17" t="s">
        <v>223</v>
      </c>
      <c r="D70" s="17" t="s">
        <v>224</v>
      </c>
      <c r="E70" s="15" t="s">
        <v>25</v>
      </c>
      <c r="F70" s="15" t="s">
        <v>187</v>
      </c>
      <c r="G70" s="20" t="s">
        <v>181</v>
      </c>
      <c r="H70" s="18" t="s">
        <v>47</v>
      </c>
      <c r="I70" s="15" t="s">
        <v>48</v>
      </c>
      <c r="J70" s="17" t="s">
        <v>225</v>
      </c>
      <c r="K70" s="16" t="s">
        <v>21</v>
      </c>
    </row>
    <row r="71" ht="15.75" customHeight="1">
      <c r="A71" s="15">
        <f t="shared" si="5"/>
        <v>50</v>
      </c>
      <c r="B71" s="16" t="s">
        <v>226</v>
      </c>
      <c r="C71" s="17" t="s">
        <v>227</v>
      </c>
      <c r="D71" s="17" t="s">
        <v>228</v>
      </c>
      <c r="E71" s="15" t="s">
        <v>25</v>
      </c>
      <c r="F71" s="15" t="s">
        <v>187</v>
      </c>
      <c r="G71" s="15" t="s">
        <v>229</v>
      </c>
      <c r="H71" s="18" t="s">
        <v>47</v>
      </c>
      <c r="I71" s="15" t="s">
        <v>48</v>
      </c>
      <c r="J71" s="17" t="s">
        <v>230</v>
      </c>
      <c r="K71" s="16" t="s">
        <v>21</v>
      </c>
    </row>
    <row r="72" ht="15.75" customHeight="1">
      <c r="A72" s="21"/>
      <c r="B72" s="22"/>
      <c r="C72" s="22"/>
      <c r="D72" s="22"/>
      <c r="E72" s="22"/>
      <c r="F72" s="22"/>
      <c r="G72" s="22"/>
      <c r="H72" s="22"/>
      <c r="I72" s="22"/>
      <c r="J72" s="22"/>
      <c r="K72" s="23"/>
    </row>
    <row r="73" ht="15.75" customHeight="1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6"/>
    </row>
    <row r="74" ht="15.75" customHeight="1">
      <c r="A74" s="8" t="s">
        <v>1</v>
      </c>
      <c r="B74" s="8" t="s">
        <v>2</v>
      </c>
      <c r="C74" s="9" t="s">
        <v>3</v>
      </c>
      <c r="D74" s="9" t="s">
        <v>4</v>
      </c>
      <c r="E74" s="8" t="s">
        <v>5</v>
      </c>
      <c r="F74" s="8" t="s">
        <v>6</v>
      </c>
      <c r="G74" s="8" t="s">
        <v>7</v>
      </c>
      <c r="H74" s="10" t="s">
        <v>8</v>
      </c>
      <c r="I74" s="8" t="s">
        <v>9</v>
      </c>
      <c r="J74" s="9" t="s">
        <v>10</v>
      </c>
      <c r="K74" s="11" t="s">
        <v>11</v>
      </c>
    </row>
    <row r="75" ht="15.75" customHeight="1">
      <c r="A75" s="12" t="s">
        <v>231</v>
      </c>
      <c r="B75" s="2"/>
      <c r="C75" s="2"/>
      <c r="D75" s="2"/>
      <c r="E75" s="2"/>
      <c r="F75" s="2"/>
      <c r="G75" s="2"/>
      <c r="H75" s="2"/>
      <c r="I75" s="2"/>
      <c r="J75" s="13"/>
      <c r="K75" s="14"/>
    </row>
    <row r="76" ht="15.75" customHeight="1">
      <c r="A76" s="15">
        <f>A71+1</f>
        <v>51</v>
      </c>
      <c r="B76" s="16" t="s">
        <v>232</v>
      </c>
      <c r="C76" s="17" t="s">
        <v>233</v>
      </c>
      <c r="D76" s="17" t="s">
        <v>234</v>
      </c>
      <c r="E76" s="15" t="s">
        <v>16</v>
      </c>
      <c r="F76" s="15" t="s">
        <v>13</v>
      </c>
      <c r="G76" s="15" t="s">
        <v>18</v>
      </c>
      <c r="H76" s="18" t="s">
        <v>27</v>
      </c>
      <c r="I76" s="15" t="s">
        <v>19</v>
      </c>
      <c r="J76" s="17" t="s">
        <v>235</v>
      </c>
      <c r="K76" s="16" t="s">
        <v>21</v>
      </c>
    </row>
    <row r="77" ht="15.75" customHeight="1">
      <c r="A77" s="15">
        <f t="shared" ref="A77:A84" si="6">A76+1</f>
        <v>52</v>
      </c>
      <c r="B77" s="16" t="s">
        <v>236</v>
      </c>
      <c r="C77" s="17" t="s">
        <v>237</v>
      </c>
      <c r="D77" s="17" t="s">
        <v>238</v>
      </c>
      <c r="E77" s="15" t="s">
        <v>16</v>
      </c>
      <c r="F77" s="15" t="s">
        <v>232</v>
      </c>
      <c r="G77" s="15" t="s">
        <v>18</v>
      </c>
      <c r="H77" s="18" t="s">
        <v>239</v>
      </c>
      <c r="I77" s="15" t="s">
        <v>19</v>
      </c>
      <c r="J77" s="17" t="s">
        <v>155</v>
      </c>
      <c r="K77" s="16" t="s">
        <v>21</v>
      </c>
    </row>
    <row r="78" ht="15.75" customHeight="1">
      <c r="A78" s="15">
        <f t="shared" si="6"/>
        <v>53</v>
      </c>
      <c r="B78" s="16" t="s">
        <v>240</v>
      </c>
      <c r="C78" s="17" t="s">
        <v>241</v>
      </c>
      <c r="D78" s="17" t="s">
        <v>242</v>
      </c>
      <c r="E78" s="15" t="s">
        <v>25</v>
      </c>
      <c r="F78" s="15" t="s">
        <v>236</v>
      </c>
      <c r="G78" s="15" t="s">
        <v>243</v>
      </c>
      <c r="H78" s="18" t="s">
        <v>27</v>
      </c>
      <c r="I78" s="15" t="s">
        <v>19</v>
      </c>
      <c r="J78" s="19" t="s">
        <v>244</v>
      </c>
      <c r="K78" s="16" t="s">
        <v>21</v>
      </c>
    </row>
    <row r="79" ht="15.75" customHeight="1">
      <c r="A79" s="15">
        <f t="shared" si="6"/>
        <v>54</v>
      </c>
      <c r="B79" s="16" t="s">
        <v>245</v>
      </c>
      <c r="C79" s="17" t="s">
        <v>246</v>
      </c>
      <c r="D79" s="17" t="s">
        <v>247</v>
      </c>
      <c r="E79" s="15" t="s">
        <v>25</v>
      </c>
      <c r="F79" s="15" t="s">
        <v>236</v>
      </c>
      <c r="G79" s="15" t="s">
        <v>75</v>
      </c>
      <c r="H79" s="18" t="s">
        <v>47</v>
      </c>
      <c r="I79" s="15" t="s">
        <v>48</v>
      </c>
      <c r="J79" s="19" t="s">
        <v>248</v>
      </c>
      <c r="K79" s="16" t="s">
        <v>21</v>
      </c>
    </row>
    <row r="80" ht="15.75" customHeight="1">
      <c r="A80" s="15">
        <f t="shared" si="6"/>
        <v>55</v>
      </c>
      <c r="B80" s="16" t="s">
        <v>249</v>
      </c>
      <c r="C80" s="17" t="s">
        <v>165</v>
      </c>
      <c r="D80" s="17" t="s">
        <v>250</v>
      </c>
      <c r="E80" s="15" t="s">
        <v>167</v>
      </c>
      <c r="F80" s="15" t="s">
        <v>236</v>
      </c>
      <c r="G80" s="15" t="s">
        <v>168</v>
      </c>
      <c r="H80" s="18" t="s">
        <v>27</v>
      </c>
      <c r="I80" s="15" t="s">
        <v>19</v>
      </c>
      <c r="J80" s="17"/>
      <c r="K80" s="16" t="s">
        <v>21</v>
      </c>
    </row>
    <row r="81" ht="15.75" customHeight="1">
      <c r="A81" s="15">
        <f t="shared" si="6"/>
        <v>56</v>
      </c>
      <c r="B81" s="16" t="s">
        <v>251</v>
      </c>
      <c r="C81" s="17" t="s">
        <v>171</v>
      </c>
      <c r="D81" s="17" t="s">
        <v>252</v>
      </c>
      <c r="E81" s="15" t="s">
        <v>167</v>
      </c>
      <c r="F81" s="15" t="s">
        <v>236</v>
      </c>
      <c r="G81" s="15" t="s">
        <v>173</v>
      </c>
      <c r="H81" s="18" t="s">
        <v>27</v>
      </c>
      <c r="I81" s="15" t="s">
        <v>19</v>
      </c>
      <c r="J81" s="17"/>
      <c r="K81" s="16" t="s">
        <v>21</v>
      </c>
    </row>
    <row r="82" ht="15.75" customHeight="1">
      <c r="A82" s="15">
        <f t="shared" si="6"/>
        <v>57</v>
      </c>
      <c r="B82" s="16" t="s">
        <v>253</v>
      </c>
      <c r="C82" s="17" t="s">
        <v>175</v>
      </c>
      <c r="D82" s="17" t="s">
        <v>254</v>
      </c>
      <c r="E82" s="15" t="s">
        <v>25</v>
      </c>
      <c r="F82" s="15" t="s">
        <v>236</v>
      </c>
      <c r="G82" s="20" t="s">
        <v>177</v>
      </c>
      <c r="H82" s="18" t="s">
        <v>27</v>
      </c>
      <c r="I82" s="15" t="s">
        <v>19</v>
      </c>
      <c r="J82" s="17"/>
      <c r="K82" s="16" t="s">
        <v>21</v>
      </c>
    </row>
    <row r="83" ht="15.75" customHeight="1">
      <c r="A83" s="15">
        <f t="shared" si="6"/>
        <v>58</v>
      </c>
      <c r="B83" s="16" t="s">
        <v>255</v>
      </c>
      <c r="C83" s="17" t="s">
        <v>256</v>
      </c>
      <c r="D83" s="17" t="s">
        <v>257</v>
      </c>
      <c r="E83" s="15" t="s">
        <v>25</v>
      </c>
      <c r="F83" s="15" t="s">
        <v>236</v>
      </c>
      <c r="G83" s="20" t="s">
        <v>258</v>
      </c>
      <c r="H83" s="18" t="s">
        <v>47</v>
      </c>
      <c r="I83" s="15" t="s">
        <v>48</v>
      </c>
      <c r="J83" s="19" t="s">
        <v>259</v>
      </c>
      <c r="K83" s="16" t="s">
        <v>21</v>
      </c>
    </row>
    <row r="84" ht="15.75" customHeight="1">
      <c r="A84" s="15">
        <f t="shared" si="6"/>
        <v>59</v>
      </c>
      <c r="B84" s="16" t="s">
        <v>260</v>
      </c>
      <c r="C84" s="28" t="s">
        <v>261</v>
      </c>
      <c r="D84" s="17" t="s">
        <v>262</v>
      </c>
      <c r="E84" s="15" t="s">
        <v>25</v>
      </c>
      <c r="F84" s="15" t="s">
        <v>236</v>
      </c>
      <c r="G84" s="15" t="s">
        <v>75</v>
      </c>
      <c r="H84" s="18" t="s">
        <v>47</v>
      </c>
      <c r="I84" s="15" t="s">
        <v>48</v>
      </c>
      <c r="J84" s="19" t="s">
        <v>263</v>
      </c>
      <c r="K84" s="16" t="s">
        <v>21</v>
      </c>
    </row>
    <row r="85" ht="15.75" customHeight="1">
      <c r="A85" s="21"/>
      <c r="B85" s="22"/>
      <c r="C85" s="22"/>
      <c r="D85" s="22"/>
      <c r="E85" s="22"/>
      <c r="F85" s="22"/>
      <c r="G85" s="22"/>
      <c r="H85" s="22"/>
      <c r="I85" s="22"/>
      <c r="J85" s="22"/>
      <c r="K85" s="23"/>
    </row>
    <row r="86" ht="15.75" customHeight="1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6"/>
    </row>
    <row r="87" ht="15.75" customHeight="1">
      <c r="A87" s="8" t="s">
        <v>1</v>
      </c>
      <c r="B87" s="8" t="s">
        <v>2</v>
      </c>
      <c r="C87" s="9" t="s">
        <v>3</v>
      </c>
      <c r="D87" s="9" t="s">
        <v>4</v>
      </c>
      <c r="E87" s="8" t="s">
        <v>5</v>
      </c>
      <c r="F87" s="8" t="s">
        <v>6</v>
      </c>
      <c r="G87" s="8" t="s">
        <v>7</v>
      </c>
      <c r="H87" s="10" t="s">
        <v>8</v>
      </c>
      <c r="I87" s="8" t="s">
        <v>9</v>
      </c>
      <c r="J87" s="9" t="s">
        <v>10</v>
      </c>
      <c r="K87" s="11" t="s">
        <v>11</v>
      </c>
    </row>
    <row r="88" ht="15.75" customHeight="1">
      <c r="A88" s="12" t="s">
        <v>264</v>
      </c>
      <c r="B88" s="2"/>
      <c r="C88" s="2"/>
      <c r="D88" s="2"/>
      <c r="E88" s="2"/>
      <c r="F88" s="2"/>
      <c r="G88" s="2"/>
      <c r="H88" s="2"/>
      <c r="I88" s="2"/>
      <c r="J88" s="13"/>
      <c r="K88" s="14"/>
    </row>
    <row r="89" ht="15.75" customHeight="1">
      <c r="A89" s="15">
        <f>A84+1</f>
        <v>60</v>
      </c>
      <c r="B89" s="16" t="s">
        <v>265</v>
      </c>
      <c r="C89" s="17" t="s">
        <v>266</v>
      </c>
      <c r="D89" s="17" t="s">
        <v>267</v>
      </c>
      <c r="E89" s="15" t="s">
        <v>16</v>
      </c>
      <c r="F89" s="15" t="s">
        <v>236</v>
      </c>
      <c r="G89" s="15" t="s">
        <v>18</v>
      </c>
      <c r="H89" s="18" t="s">
        <v>47</v>
      </c>
      <c r="I89" s="15" t="s">
        <v>48</v>
      </c>
      <c r="J89" s="19" t="s">
        <v>268</v>
      </c>
      <c r="K89" s="16" t="s">
        <v>21</v>
      </c>
    </row>
    <row r="90" ht="15.75" customHeight="1">
      <c r="A90" s="15">
        <f t="shared" ref="A90:A100" si="7">A89+1</f>
        <v>61</v>
      </c>
      <c r="B90" s="16" t="s">
        <v>269</v>
      </c>
      <c r="C90" s="17" t="s">
        <v>191</v>
      </c>
      <c r="D90" s="17" t="s">
        <v>192</v>
      </c>
      <c r="E90" s="15" t="s">
        <v>25</v>
      </c>
      <c r="F90" s="15" t="s">
        <v>265</v>
      </c>
      <c r="G90" s="20" t="s">
        <v>177</v>
      </c>
      <c r="H90" s="18" t="s">
        <v>27</v>
      </c>
      <c r="I90" s="15" t="s">
        <v>19</v>
      </c>
      <c r="J90" s="17"/>
      <c r="K90" s="16" t="s">
        <v>21</v>
      </c>
    </row>
    <row r="91" ht="15.75" customHeight="1">
      <c r="A91" s="15">
        <f t="shared" si="7"/>
        <v>62</v>
      </c>
      <c r="B91" s="16" t="s">
        <v>270</v>
      </c>
      <c r="C91" s="17" t="s">
        <v>194</v>
      </c>
      <c r="D91" s="17" t="s">
        <v>195</v>
      </c>
      <c r="E91" s="15" t="s">
        <v>25</v>
      </c>
      <c r="F91" s="15" t="s">
        <v>265</v>
      </c>
      <c r="G91" s="20" t="s">
        <v>181</v>
      </c>
      <c r="H91" s="18" t="s">
        <v>27</v>
      </c>
      <c r="I91" s="15" t="s">
        <v>19</v>
      </c>
      <c r="J91" s="17"/>
      <c r="K91" s="16" t="s">
        <v>21</v>
      </c>
    </row>
    <row r="92" ht="15.75" customHeight="1">
      <c r="A92" s="15">
        <f t="shared" si="7"/>
        <v>63</v>
      </c>
      <c r="B92" s="16" t="s">
        <v>271</v>
      </c>
      <c r="C92" s="17" t="s">
        <v>197</v>
      </c>
      <c r="D92" s="17" t="s">
        <v>198</v>
      </c>
      <c r="E92" s="15" t="s">
        <v>25</v>
      </c>
      <c r="F92" s="15" t="s">
        <v>265</v>
      </c>
      <c r="G92" s="20" t="s">
        <v>181</v>
      </c>
      <c r="H92" s="18" t="s">
        <v>47</v>
      </c>
      <c r="I92" s="15" t="s">
        <v>48</v>
      </c>
      <c r="J92" s="17"/>
      <c r="K92" s="16" t="s">
        <v>21</v>
      </c>
    </row>
    <row r="93" ht="15.75" customHeight="1">
      <c r="A93" s="15">
        <f t="shared" si="7"/>
        <v>64</v>
      </c>
      <c r="B93" s="16" t="s">
        <v>272</v>
      </c>
      <c r="C93" s="17" t="s">
        <v>200</v>
      </c>
      <c r="D93" s="17" t="s">
        <v>201</v>
      </c>
      <c r="E93" s="15" t="s">
        <v>25</v>
      </c>
      <c r="F93" s="15" t="s">
        <v>265</v>
      </c>
      <c r="G93" s="20" t="s">
        <v>177</v>
      </c>
      <c r="H93" s="18" t="s">
        <v>47</v>
      </c>
      <c r="I93" s="15" t="s">
        <v>48</v>
      </c>
      <c r="J93" s="17"/>
      <c r="K93" s="16" t="s">
        <v>21</v>
      </c>
    </row>
    <row r="94" ht="15.75" customHeight="1">
      <c r="A94" s="15">
        <f t="shared" si="7"/>
        <v>65</v>
      </c>
      <c r="B94" s="16" t="s">
        <v>273</v>
      </c>
      <c r="C94" s="17" t="s">
        <v>203</v>
      </c>
      <c r="D94" s="17" t="s">
        <v>204</v>
      </c>
      <c r="E94" s="15" t="s">
        <v>25</v>
      </c>
      <c r="F94" s="15" t="s">
        <v>265</v>
      </c>
      <c r="G94" s="15" t="s">
        <v>46</v>
      </c>
      <c r="H94" s="18" t="s">
        <v>27</v>
      </c>
      <c r="I94" s="15" t="s">
        <v>19</v>
      </c>
      <c r="J94" s="17" t="s">
        <v>205</v>
      </c>
      <c r="K94" s="16" t="s">
        <v>21</v>
      </c>
    </row>
    <row r="95" ht="15.75" customHeight="1">
      <c r="A95" s="15">
        <f t="shared" si="7"/>
        <v>66</v>
      </c>
      <c r="B95" s="16" t="s">
        <v>274</v>
      </c>
      <c r="C95" s="17" t="s">
        <v>207</v>
      </c>
      <c r="D95" s="17" t="s">
        <v>208</v>
      </c>
      <c r="E95" s="15" t="s">
        <v>25</v>
      </c>
      <c r="F95" s="15" t="s">
        <v>265</v>
      </c>
      <c r="G95" s="20" t="s">
        <v>177</v>
      </c>
      <c r="H95" s="18" t="s">
        <v>27</v>
      </c>
      <c r="I95" s="15" t="s">
        <v>19</v>
      </c>
      <c r="J95" s="17"/>
      <c r="K95" s="16" t="s">
        <v>21</v>
      </c>
    </row>
    <row r="96" ht="15.75" customHeight="1">
      <c r="A96" s="15">
        <f t="shared" si="7"/>
        <v>67</v>
      </c>
      <c r="B96" s="16" t="s">
        <v>275</v>
      </c>
      <c r="C96" s="17" t="s">
        <v>210</v>
      </c>
      <c r="D96" s="17" t="s">
        <v>211</v>
      </c>
      <c r="E96" s="15" t="s">
        <v>25</v>
      </c>
      <c r="F96" s="15" t="s">
        <v>265</v>
      </c>
      <c r="G96" s="15" t="s">
        <v>87</v>
      </c>
      <c r="H96" s="18" t="s">
        <v>27</v>
      </c>
      <c r="I96" s="15" t="s">
        <v>19</v>
      </c>
      <c r="J96" s="17"/>
      <c r="K96" s="16" t="s">
        <v>21</v>
      </c>
    </row>
    <row r="97" ht="15.75" customHeight="1">
      <c r="A97" s="15">
        <f t="shared" si="7"/>
        <v>68</v>
      </c>
      <c r="B97" s="16" t="s">
        <v>276</v>
      </c>
      <c r="C97" s="17" t="s">
        <v>213</v>
      </c>
      <c r="D97" s="17" t="s">
        <v>214</v>
      </c>
      <c r="E97" s="15" t="s">
        <v>25</v>
      </c>
      <c r="F97" s="15" t="s">
        <v>265</v>
      </c>
      <c r="G97" s="15" t="s">
        <v>215</v>
      </c>
      <c r="H97" s="18" t="s">
        <v>47</v>
      </c>
      <c r="I97" s="15" t="s">
        <v>48</v>
      </c>
      <c r="J97" s="17" t="s">
        <v>216</v>
      </c>
      <c r="K97" s="16" t="s">
        <v>21</v>
      </c>
    </row>
    <row r="98" ht="15.75" customHeight="1">
      <c r="A98" s="15">
        <f t="shared" si="7"/>
        <v>69</v>
      </c>
      <c r="B98" s="16" t="s">
        <v>277</v>
      </c>
      <c r="C98" s="17" t="s">
        <v>218</v>
      </c>
      <c r="D98" s="17" t="s">
        <v>219</v>
      </c>
      <c r="E98" s="15" t="s">
        <v>25</v>
      </c>
      <c r="F98" s="15" t="s">
        <v>265</v>
      </c>
      <c r="G98" s="15" t="s">
        <v>278</v>
      </c>
      <c r="H98" s="18" t="s">
        <v>47</v>
      </c>
      <c r="I98" s="15" t="s">
        <v>48</v>
      </c>
      <c r="J98" s="17"/>
      <c r="K98" s="16" t="s">
        <v>21</v>
      </c>
    </row>
    <row r="99" ht="15.75" customHeight="1">
      <c r="A99" s="15">
        <f t="shared" si="7"/>
        <v>70</v>
      </c>
      <c r="B99" s="16" t="s">
        <v>279</v>
      </c>
      <c r="C99" s="17" t="s">
        <v>223</v>
      </c>
      <c r="D99" s="17" t="s">
        <v>224</v>
      </c>
      <c r="E99" s="15" t="s">
        <v>25</v>
      </c>
      <c r="F99" s="15" t="s">
        <v>265</v>
      </c>
      <c r="G99" s="20" t="s">
        <v>177</v>
      </c>
      <c r="H99" s="18" t="s">
        <v>47</v>
      </c>
      <c r="I99" s="15" t="s">
        <v>48</v>
      </c>
      <c r="J99" s="17"/>
      <c r="K99" s="16" t="s">
        <v>21</v>
      </c>
    </row>
    <row r="100" ht="15.75" customHeight="1">
      <c r="A100" s="15">
        <f t="shared" si="7"/>
        <v>71</v>
      </c>
      <c r="B100" s="16" t="s">
        <v>280</v>
      </c>
      <c r="C100" s="17" t="s">
        <v>227</v>
      </c>
      <c r="D100" s="17" t="s">
        <v>228</v>
      </c>
      <c r="E100" s="15" t="s">
        <v>25</v>
      </c>
      <c r="F100" s="15" t="s">
        <v>265</v>
      </c>
      <c r="G100" s="15" t="s">
        <v>229</v>
      </c>
      <c r="H100" s="18" t="s">
        <v>47</v>
      </c>
      <c r="I100" s="15" t="s">
        <v>48</v>
      </c>
      <c r="J100" s="17" t="s">
        <v>281</v>
      </c>
      <c r="K100" s="16" t="s">
        <v>21</v>
      </c>
    </row>
    <row r="101" ht="15.75" customHeight="1">
      <c r="A101" s="21"/>
      <c r="B101" s="22"/>
      <c r="C101" s="22"/>
      <c r="D101" s="22"/>
      <c r="E101" s="22"/>
      <c r="F101" s="22"/>
      <c r="G101" s="22"/>
      <c r="H101" s="22"/>
      <c r="I101" s="22"/>
      <c r="J101" s="22"/>
      <c r="K101" s="23"/>
    </row>
    <row r="102" ht="15.75" customHeight="1">
      <c r="A102" s="24"/>
      <c r="B102" s="25"/>
      <c r="C102" s="25"/>
      <c r="D102" s="25"/>
      <c r="E102" s="25"/>
      <c r="F102" s="25"/>
      <c r="G102" s="25"/>
      <c r="H102" s="25"/>
      <c r="I102" s="25"/>
      <c r="J102" s="25"/>
      <c r="K102" s="26"/>
    </row>
    <row r="103" ht="15.75" customHeight="1">
      <c r="A103" s="8" t="s">
        <v>1</v>
      </c>
      <c r="B103" s="8" t="s">
        <v>2</v>
      </c>
      <c r="C103" s="9" t="s">
        <v>3</v>
      </c>
      <c r="D103" s="9" t="s">
        <v>4</v>
      </c>
      <c r="E103" s="8" t="s">
        <v>5</v>
      </c>
      <c r="F103" s="8" t="s">
        <v>6</v>
      </c>
      <c r="G103" s="8" t="s">
        <v>7</v>
      </c>
      <c r="H103" s="10" t="s">
        <v>8</v>
      </c>
      <c r="I103" s="8" t="s">
        <v>9</v>
      </c>
      <c r="J103" s="9" t="s">
        <v>10</v>
      </c>
      <c r="K103" s="11" t="s">
        <v>11</v>
      </c>
    </row>
    <row r="104" ht="15.75" customHeight="1">
      <c r="A104" s="12" t="s">
        <v>282</v>
      </c>
      <c r="B104" s="2"/>
      <c r="C104" s="2"/>
      <c r="D104" s="2"/>
      <c r="E104" s="2"/>
      <c r="F104" s="2"/>
      <c r="G104" s="2"/>
      <c r="H104" s="2"/>
      <c r="I104" s="2"/>
      <c r="J104" s="13"/>
      <c r="K104" s="14"/>
    </row>
    <row r="105" ht="15.75" customHeight="1">
      <c r="A105" s="15">
        <f>A100+1</f>
        <v>72</v>
      </c>
      <c r="B105" s="16" t="s">
        <v>283</v>
      </c>
      <c r="C105" s="17" t="s">
        <v>284</v>
      </c>
      <c r="D105" s="17" t="s">
        <v>285</v>
      </c>
      <c r="E105" s="15" t="s">
        <v>16</v>
      </c>
      <c r="F105" s="15" t="s">
        <v>13</v>
      </c>
      <c r="G105" s="15" t="s">
        <v>18</v>
      </c>
      <c r="H105" s="18" t="s">
        <v>27</v>
      </c>
      <c r="I105" s="15" t="s">
        <v>19</v>
      </c>
      <c r="J105" s="17" t="s">
        <v>286</v>
      </c>
      <c r="K105" s="16" t="s">
        <v>21</v>
      </c>
    </row>
    <row r="106" ht="15.75" customHeight="1">
      <c r="A106" s="15">
        <f t="shared" ref="A106:A113" si="8">A105+1</f>
        <v>73</v>
      </c>
      <c r="B106" s="16" t="s">
        <v>287</v>
      </c>
      <c r="C106" s="17" t="s">
        <v>288</v>
      </c>
      <c r="D106" s="17" t="s">
        <v>289</v>
      </c>
      <c r="E106" s="15" t="s">
        <v>16</v>
      </c>
      <c r="F106" s="15" t="s">
        <v>283</v>
      </c>
      <c r="G106" s="15" t="s">
        <v>18</v>
      </c>
      <c r="H106" s="18" t="s">
        <v>239</v>
      </c>
      <c r="I106" s="15" t="s">
        <v>19</v>
      </c>
      <c r="J106" s="17" t="s">
        <v>155</v>
      </c>
      <c r="K106" s="16" t="s">
        <v>21</v>
      </c>
    </row>
    <row r="107" ht="15.75" customHeight="1">
      <c r="A107" s="15">
        <f t="shared" si="8"/>
        <v>74</v>
      </c>
      <c r="B107" s="16" t="s">
        <v>290</v>
      </c>
      <c r="C107" s="17" t="s">
        <v>291</v>
      </c>
      <c r="D107" s="17" t="s">
        <v>292</v>
      </c>
      <c r="E107" s="15" t="s">
        <v>25</v>
      </c>
      <c r="F107" s="15" t="s">
        <v>287</v>
      </c>
      <c r="G107" s="15" t="s">
        <v>243</v>
      </c>
      <c r="H107" s="18" t="s">
        <v>27</v>
      </c>
      <c r="I107" s="15" t="s">
        <v>19</v>
      </c>
      <c r="J107" s="17"/>
      <c r="K107" s="16" t="s">
        <v>21</v>
      </c>
    </row>
    <row r="108" ht="15.75" customHeight="1">
      <c r="A108" s="15">
        <f t="shared" si="8"/>
        <v>75</v>
      </c>
      <c r="B108" s="16" t="s">
        <v>293</v>
      </c>
      <c r="C108" s="17" t="s">
        <v>246</v>
      </c>
      <c r="D108" s="17" t="s">
        <v>294</v>
      </c>
      <c r="E108" s="15" t="s">
        <v>25</v>
      </c>
      <c r="F108" s="15" t="s">
        <v>287</v>
      </c>
      <c r="G108" s="15" t="s">
        <v>75</v>
      </c>
      <c r="H108" s="18" t="s">
        <v>47</v>
      </c>
      <c r="I108" s="15" t="s">
        <v>48</v>
      </c>
      <c r="J108" s="19" t="s">
        <v>295</v>
      </c>
      <c r="K108" s="16" t="s">
        <v>21</v>
      </c>
    </row>
    <row r="109" ht="15.75" customHeight="1">
      <c r="A109" s="15">
        <f t="shared" si="8"/>
        <v>76</v>
      </c>
      <c r="B109" s="16" t="s">
        <v>296</v>
      </c>
      <c r="C109" s="17" t="s">
        <v>165</v>
      </c>
      <c r="D109" s="17" t="s">
        <v>297</v>
      </c>
      <c r="E109" s="15" t="s">
        <v>167</v>
      </c>
      <c r="F109" s="15" t="s">
        <v>287</v>
      </c>
      <c r="G109" s="15" t="s">
        <v>168</v>
      </c>
      <c r="H109" s="18" t="s">
        <v>27</v>
      </c>
      <c r="I109" s="15" t="s">
        <v>19</v>
      </c>
      <c r="J109" s="17" t="s">
        <v>298</v>
      </c>
      <c r="K109" s="16" t="s">
        <v>21</v>
      </c>
    </row>
    <row r="110" ht="15.75" customHeight="1">
      <c r="A110" s="15">
        <f t="shared" si="8"/>
        <v>77</v>
      </c>
      <c r="B110" s="16" t="s">
        <v>299</v>
      </c>
      <c r="C110" s="17" t="s">
        <v>171</v>
      </c>
      <c r="D110" s="17" t="s">
        <v>300</v>
      </c>
      <c r="E110" s="15" t="s">
        <v>167</v>
      </c>
      <c r="F110" s="15" t="s">
        <v>287</v>
      </c>
      <c r="G110" s="15" t="s">
        <v>173</v>
      </c>
      <c r="H110" s="18" t="s">
        <v>27</v>
      </c>
      <c r="I110" s="15" t="s">
        <v>19</v>
      </c>
      <c r="J110" s="17"/>
      <c r="K110" s="16" t="s">
        <v>21</v>
      </c>
    </row>
    <row r="111" ht="15.75" customHeight="1">
      <c r="A111" s="15">
        <f t="shared" si="8"/>
        <v>78</v>
      </c>
      <c r="B111" s="16" t="s">
        <v>301</v>
      </c>
      <c r="C111" s="17" t="s">
        <v>175</v>
      </c>
      <c r="D111" s="17" t="s">
        <v>302</v>
      </c>
      <c r="E111" s="15" t="s">
        <v>25</v>
      </c>
      <c r="F111" s="15" t="s">
        <v>287</v>
      </c>
      <c r="G111" s="20" t="s">
        <v>177</v>
      </c>
      <c r="H111" s="18" t="s">
        <v>27</v>
      </c>
      <c r="I111" s="15" t="s">
        <v>19</v>
      </c>
      <c r="J111" s="17"/>
      <c r="K111" s="16" t="s">
        <v>21</v>
      </c>
    </row>
    <row r="112" ht="15.75" customHeight="1">
      <c r="A112" s="15">
        <f t="shared" si="8"/>
        <v>79</v>
      </c>
      <c r="B112" s="16" t="s">
        <v>303</v>
      </c>
      <c r="C112" s="17" t="s">
        <v>304</v>
      </c>
      <c r="D112" s="17" t="s">
        <v>305</v>
      </c>
      <c r="E112" s="15" t="s">
        <v>25</v>
      </c>
      <c r="F112" s="15" t="s">
        <v>287</v>
      </c>
      <c r="G112" s="20" t="s">
        <v>258</v>
      </c>
      <c r="H112" s="18" t="s">
        <v>47</v>
      </c>
      <c r="I112" s="15" t="s">
        <v>48</v>
      </c>
      <c r="J112" s="19" t="s">
        <v>306</v>
      </c>
      <c r="K112" s="16" t="s">
        <v>21</v>
      </c>
    </row>
    <row r="113" ht="15.75" customHeight="1">
      <c r="A113" s="15">
        <f t="shared" si="8"/>
        <v>80</v>
      </c>
      <c r="B113" s="16" t="s">
        <v>307</v>
      </c>
      <c r="C113" s="17" t="s">
        <v>261</v>
      </c>
      <c r="D113" s="17" t="s">
        <v>262</v>
      </c>
      <c r="E113" s="15" t="s">
        <v>25</v>
      </c>
      <c r="F113" s="15" t="s">
        <v>287</v>
      </c>
      <c r="G113" s="15" t="s">
        <v>75</v>
      </c>
      <c r="H113" s="18" t="s">
        <v>47</v>
      </c>
      <c r="I113" s="15" t="s">
        <v>48</v>
      </c>
      <c r="J113" s="19" t="s">
        <v>308</v>
      </c>
      <c r="K113" s="16" t="s">
        <v>21</v>
      </c>
    </row>
    <row r="114" ht="15.75" customHeight="1">
      <c r="A114" s="21"/>
      <c r="B114" s="22"/>
      <c r="C114" s="22"/>
      <c r="D114" s="22"/>
      <c r="E114" s="22"/>
      <c r="F114" s="22"/>
      <c r="G114" s="22"/>
      <c r="H114" s="22"/>
      <c r="I114" s="22"/>
      <c r="J114" s="22"/>
      <c r="K114" s="23"/>
    </row>
    <row r="115" ht="15.75" customHeight="1">
      <c r="A115" s="24"/>
      <c r="B115" s="25"/>
      <c r="C115" s="25"/>
      <c r="D115" s="25"/>
      <c r="E115" s="25"/>
      <c r="F115" s="25"/>
      <c r="G115" s="25"/>
      <c r="H115" s="25"/>
      <c r="I115" s="25"/>
      <c r="J115" s="25"/>
      <c r="K115" s="26"/>
    </row>
    <row r="116" ht="15.75" customHeight="1">
      <c r="A116" s="8" t="s">
        <v>1</v>
      </c>
      <c r="B116" s="8" t="s">
        <v>2</v>
      </c>
      <c r="C116" s="9" t="s">
        <v>3</v>
      </c>
      <c r="D116" s="9" t="s">
        <v>4</v>
      </c>
      <c r="E116" s="8" t="s">
        <v>5</v>
      </c>
      <c r="F116" s="8" t="s">
        <v>6</v>
      </c>
      <c r="G116" s="8" t="s">
        <v>7</v>
      </c>
      <c r="H116" s="10" t="s">
        <v>8</v>
      </c>
      <c r="I116" s="8" t="s">
        <v>9</v>
      </c>
      <c r="J116" s="9" t="s">
        <v>10</v>
      </c>
      <c r="K116" s="11" t="s">
        <v>11</v>
      </c>
    </row>
    <row r="117" ht="15.75" customHeight="1">
      <c r="A117" s="27" t="s">
        <v>309</v>
      </c>
      <c r="B117" s="2"/>
      <c r="C117" s="2"/>
      <c r="D117" s="2"/>
      <c r="E117" s="2"/>
      <c r="F117" s="2"/>
      <c r="G117" s="2"/>
      <c r="H117" s="2"/>
      <c r="I117" s="2"/>
      <c r="J117" s="13"/>
      <c r="K117" s="14"/>
    </row>
    <row r="118" ht="15.75" customHeight="1">
      <c r="A118" s="15">
        <f>A113+1</f>
        <v>81</v>
      </c>
      <c r="B118" s="16" t="s">
        <v>310</v>
      </c>
      <c r="C118" s="17" t="s">
        <v>311</v>
      </c>
      <c r="D118" s="17" t="s">
        <v>312</v>
      </c>
      <c r="E118" s="15" t="s">
        <v>16</v>
      </c>
      <c r="F118" s="15" t="s">
        <v>287</v>
      </c>
      <c r="G118" s="15" t="s">
        <v>18</v>
      </c>
      <c r="H118" s="18" t="s">
        <v>27</v>
      </c>
      <c r="I118" s="15" t="s">
        <v>19</v>
      </c>
      <c r="J118" s="17"/>
      <c r="K118" s="16" t="s">
        <v>21</v>
      </c>
    </row>
    <row r="119" ht="15.75" customHeight="1">
      <c r="A119" s="15">
        <f t="shared" ref="A119:A130" si="9">A118+1</f>
        <v>82</v>
      </c>
      <c r="B119" s="16" t="s">
        <v>313</v>
      </c>
      <c r="C119" s="17" t="s">
        <v>191</v>
      </c>
      <c r="D119" s="17" t="s">
        <v>192</v>
      </c>
      <c r="E119" s="15" t="s">
        <v>25</v>
      </c>
      <c r="F119" s="15" t="s">
        <v>310</v>
      </c>
      <c r="G119" s="20" t="s">
        <v>177</v>
      </c>
      <c r="H119" s="18" t="s">
        <v>27</v>
      </c>
      <c r="I119" s="15" t="s">
        <v>19</v>
      </c>
      <c r="J119" s="17"/>
      <c r="K119" s="16" t="s">
        <v>21</v>
      </c>
    </row>
    <row r="120" ht="15.75" customHeight="1">
      <c r="A120" s="15">
        <f t="shared" si="9"/>
        <v>83</v>
      </c>
      <c r="B120" s="16" t="s">
        <v>314</v>
      </c>
      <c r="C120" s="17" t="s">
        <v>194</v>
      </c>
      <c r="D120" s="17" t="s">
        <v>195</v>
      </c>
      <c r="E120" s="15" t="s">
        <v>25</v>
      </c>
      <c r="F120" s="15" t="s">
        <v>310</v>
      </c>
      <c r="G120" s="20" t="s">
        <v>181</v>
      </c>
      <c r="H120" s="18" t="s">
        <v>27</v>
      </c>
      <c r="I120" s="15" t="s">
        <v>19</v>
      </c>
      <c r="J120" s="17"/>
      <c r="K120" s="16" t="s">
        <v>21</v>
      </c>
    </row>
    <row r="121" ht="15.75" customHeight="1">
      <c r="A121" s="15">
        <f t="shared" si="9"/>
        <v>84</v>
      </c>
      <c r="B121" s="16" t="s">
        <v>315</v>
      </c>
      <c r="C121" s="17" t="s">
        <v>197</v>
      </c>
      <c r="D121" s="17" t="s">
        <v>198</v>
      </c>
      <c r="E121" s="15" t="s">
        <v>25</v>
      </c>
      <c r="F121" s="15" t="s">
        <v>310</v>
      </c>
      <c r="G121" s="20" t="s">
        <v>181</v>
      </c>
      <c r="H121" s="18" t="s">
        <v>47</v>
      </c>
      <c r="I121" s="15" t="s">
        <v>48</v>
      </c>
      <c r="J121" s="17"/>
      <c r="K121" s="16" t="s">
        <v>21</v>
      </c>
    </row>
    <row r="122" ht="15.75" customHeight="1">
      <c r="A122" s="15">
        <f t="shared" si="9"/>
        <v>85</v>
      </c>
      <c r="B122" s="16" t="s">
        <v>316</v>
      </c>
      <c r="C122" s="17" t="s">
        <v>200</v>
      </c>
      <c r="D122" s="17" t="s">
        <v>201</v>
      </c>
      <c r="E122" s="15" t="s">
        <v>25</v>
      </c>
      <c r="F122" s="15" t="s">
        <v>310</v>
      </c>
      <c r="G122" s="20" t="s">
        <v>177</v>
      </c>
      <c r="H122" s="18" t="s">
        <v>47</v>
      </c>
      <c r="I122" s="15" t="s">
        <v>48</v>
      </c>
      <c r="J122" s="17"/>
      <c r="K122" s="16" t="s">
        <v>21</v>
      </c>
    </row>
    <row r="123" ht="15.75" customHeight="1">
      <c r="A123" s="15">
        <f t="shared" si="9"/>
        <v>86</v>
      </c>
      <c r="B123" s="16" t="s">
        <v>317</v>
      </c>
      <c r="C123" s="17" t="s">
        <v>203</v>
      </c>
      <c r="D123" s="17" t="s">
        <v>204</v>
      </c>
      <c r="E123" s="15" t="s">
        <v>25</v>
      </c>
      <c r="F123" s="15" t="s">
        <v>310</v>
      </c>
      <c r="G123" s="15" t="s">
        <v>46</v>
      </c>
      <c r="H123" s="18" t="s">
        <v>27</v>
      </c>
      <c r="I123" s="15" t="s">
        <v>19</v>
      </c>
      <c r="J123" s="17"/>
      <c r="K123" s="16" t="s">
        <v>21</v>
      </c>
    </row>
    <row r="124" ht="15.75" customHeight="1">
      <c r="A124" s="15">
        <f t="shared" si="9"/>
        <v>87</v>
      </c>
      <c r="B124" s="16" t="s">
        <v>318</v>
      </c>
      <c r="C124" s="17" t="s">
        <v>207</v>
      </c>
      <c r="D124" s="17" t="s">
        <v>208</v>
      </c>
      <c r="E124" s="15" t="s">
        <v>25</v>
      </c>
      <c r="F124" s="15" t="s">
        <v>310</v>
      </c>
      <c r="G124" s="20" t="s">
        <v>177</v>
      </c>
      <c r="H124" s="18" t="s">
        <v>27</v>
      </c>
      <c r="I124" s="15" t="s">
        <v>19</v>
      </c>
      <c r="J124" s="17"/>
      <c r="K124" s="16" t="s">
        <v>21</v>
      </c>
    </row>
    <row r="125" ht="15.75" customHeight="1">
      <c r="A125" s="15">
        <f t="shared" si="9"/>
        <v>88</v>
      </c>
      <c r="B125" s="16" t="s">
        <v>319</v>
      </c>
      <c r="C125" s="17" t="s">
        <v>210</v>
      </c>
      <c r="D125" s="17" t="s">
        <v>211</v>
      </c>
      <c r="E125" s="15" t="s">
        <v>25</v>
      </c>
      <c r="F125" s="15" t="s">
        <v>310</v>
      </c>
      <c r="G125" s="15" t="s">
        <v>87</v>
      </c>
      <c r="H125" s="18" t="s">
        <v>27</v>
      </c>
      <c r="I125" s="15" t="s">
        <v>19</v>
      </c>
      <c r="J125" s="17"/>
      <c r="K125" s="16" t="s">
        <v>21</v>
      </c>
    </row>
    <row r="126" ht="15.75" customHeight="1">
      <c r="A126" s="15">
        <f t="shared" si="9"/>
        <v>89</v>
      </c>
      <c r="B126" s="16" t="s">
        <v>320</v>
      </c>
      <c r="C126" s="17" t="s">
        <v>213</v>
      </c>
      <c r="D126" s="17" t="s">
        <v>214</v>
      </c>
      <c r="E126" s="15" t="s">
        <v>25</v>
      </c>
      <c r="F126" s="15" t="s">
        <v>310</v>
      </c>
      <c r="G126" s="15" t="s">
        <v>215</v>
      </c>
      <c r="H126" s="18" t="s">
        <v>47</v>
      </c>
      <c r="I126" s="15" t="s">
        <v>48</v>
      </c>
      <c r="J126" s="17" t="s">
        <v>216</v>
      </c>
      <c r="K126" s="16" t="s">
        <v>21</v>
      </c>
    </row>
    <row r="127" ht="15.75" customHeight="1">
      <c r="A127" s="15">
        <f t="shared" si="9"/>
        <v>90</v>
      </c>
      <c r="B127" s="16" t="s">
        <v>321</v>
      </c>
      <c r="C127" s="17" t="s">
        <v>218</v>
      </c>
      <c r="D127" s="17" t="s">
        <v>219</v>
      </c>
      <c r="E127" s="15" t="s">
        <v>25</v>
      </c>
      <c r="F127" s="15" t="s">
        <v>310</v>
      </c>
      <c r="G127" s="15" t="s">
        <v>278</v>
      </c>
      <c r="H127" s="18" t="s">
        <v>47</v>
      </c>
      <c r="I127" s="15" t="s">
        <v>48</v>
      </c>
      <c r="J127" s="17"/>
      <c r="K127" s="16" t="s">
        <v>21</v>
      </c>
    </row>
    <row r="128" ht="15.75" customHeight="1">
      <c r="A128" s="15">
        <f t="shared" si="9"/>
        <v>91</v>
      </c>
      <c r="B128" s="16" t="s">
        <v>322</v>
      </c>
      <c r="C128" s="17" t="s">
        <v>223</v>
      </c>
      <c r="D128" s="17" t="s">
        <v>224</v>
      </c>
      <c r="E128" s="15" t="s">
        <v>25</v>
      </c>
      <c r="F128" s="15" t="s">
        <v>310</v>
      </c>
      <c r="G128" s="20" t="s">
        <v>177</v>
      </c>
      <c r="H128" s="18" t="s">
        <v>47</v>
      </c>
      <c r="I128" s="15" t="s">
        <v>48</v>
      </c>
      <c r="J128" s="17"/>
      <c r="K128" s="16" t="s">
        <v>21</v>
      </c>
    </row>
    <row r="129" ht="15.75" customHeight="1">
      <c r="A129" s="15">
        <f t="shared" si="9"/>
        <v>92</v>
      </c>
      <c r="B129" s="16" t="s">
        <v>323</v>
      </c>
      <c r="C129" s="17" t="s">
        <v>227</v>
      </c>
      <c r="D129" s="17" t="s">
        <v>228</v>
      </c>
      <c r="E129" s="15" t="s">
        <v>25</v>
      </c>
      <c r="F129" s="15" t="s">
        <v>310</v>
      </c>
      <c r="G129" s="15" t="s">
        <v>229</v>
      </c>
      <c r="H129" s="18" t="s">
        <v>47</v>
      </c>
      <c r="I129" s="15" t="s">
        <v>48</v>
      </c>
      <c r="J129" s="17" t="s">
        <v>281</v>
      </c>
      <c r="K129" s="16" t="s">
        <v>21</v>
      </c>
    </row>
    <row r="130" ht="15.75" customHeight="1">
      <c r="A130" s="15">
        <f t="shared" si="9"/>
        <v>93</v>
      </c>
      <c r="B130" s="33" t="s">
        <v>324</v>
      </c>
      <c r="C130" s="28" t="s">
        <v>325</v>
      </c>
      <c r="D130" s="28" t="s">
        <v>326</v>
      </c>
      <c r="E130" s="29" t="s">
        <v>25</v>
      </c>
      <c r="F130" s="29" t="s">
        <v>310</v>
      </c>
      <c r="G130" s="30" t="s">
        <v>327</v>
      </c>
      <c r="H130" s="31" t="s">
        <v>47</v>
      </c>
      <c r="I130" s="29" t="s">
        <v>48</v>
      </c>
      <c r="J130" s="28" t="s">
        <v>328</v>
      </c>
      <c r="K130" s="33" t="s">
        <v>21</v>
      </c>
    </row>
    <row r="131" ht="15.75" customHeight="1">
      <c r="A131" s="21"/>
      <c r="B131" s="22"/>
      <c r="C131" s="22"/>
      <c r="D131" s="22"/>
      <c r="E131" s="22"/>
      <c r="F131" s="22"/>
      <c r="G131" s="22"/>
      <c r="H131" s="22"/>
      <c r="I131" s="22"/>
      <c r="J131" s="22"/>
      <c r="K131" s="23"/>
    </row>
    <row r="132" ht="15.75" customHeight="1">
      <c r="A132" s="24"/>
      <c r="B132" s="25"/>
      <c r="C132" s="25"/>
      <c r="D132" s="25"/>
      <c r="E132" s="25"/>
      <c r="F132" s="25"/>
      <c r="G132" s="25"/>
      <c r="H132" s="25"/>
      <c r="I132" s="25"/>
      <c r="J132" s="25"/>
      <c r="K132" s="26"/>
    </row>
    <row r="133" ht="15.75" customHeight="1">
      <c r="A133" s="8" t="s">
        <v>1</v>
      </c>
      <c r="B133" s="8" t="s">
        <v>2</v>
      </c>
      <c r="C133" s="9" t="s">
        <v>3</v>
      </c>
      <c r="D133" s="9" t="s">
        <v>4</v>
      </c>
      <c r="E133" s="8" t="s">
        <v>5</v>
      </c>
      <c r="F133" s="8" t="s">
        <v>6</v>
      </c>
      <c r="G133" s="8" t="s">
        <v>7</v>
      </c>
      <c r="H133" s="10" t="s">
        <v>8</v>
      </c>
      <c r="I133" s="8" t="s">
        <v>9</v>
      </c>
      <c r="J133" s="9" t="s">
        <v>10</v>
      </c>
      <c r="K133" s="11" t="s">
        <v>11</v>
      </c>
    </row>
    <row r="134" ht="15.75" customHeight="1">
      <c r="A134" s="12" t="s">
        <v>329</v>
      </c>
      <c r="B134" s="2"/>
      <c r="C134" s="2"/>
      <c r="D134" s="2"/>
      <c r="E134" s="2"/>
      <c r="F134" s="2"/>
      <c r="G134" s="2"/>
      <c r="H134" s="2"/>
      <c r="I134" s="2"/>
      <c r="J134" s="13"/>
      <c r="K134" s="14"/>
    </row>
    <row r="135" ht="15.75" customHeight="1">
      <c r="A135" s="15">
        <f>A130+1</f>
        <v>94</v>
      </c>
      <c r="B135" s="16" t="s">
        <v>330</v>
      </c>
      <c r="C135" s="17" t="s">
        <v>331</v>
      </c>
      <c r="D135" s="17" t="s">
        <v>332</v>
      </c>
      <c r="E135" s="15" t="s">
        <v>16</v>
      </c>
      <c r="F135" s="15" t="s">
        <v>13</v>
      </c>
      <c r="G135" s="15" t="s">
        <v>18</v>
      </c>
      <c r="H135" s="18" t="s">
        <v>27</v>
      </c>
      <c r="I135" s="15" t="s">
        <v>19</v>
      </c>
      <c r="J135" s="19" t="s">
        <v>333</v>
      </c>
      <c r="K135" s="16" t="s">
        <v>21</v>
      </c>
    </row>
    <row r="136" ht="15.75" customHeight="1">
      <c r="A136" s="15">
        <f t="shared" ref="A136:A150" si="10">A135+1</f>
        <v>95</v>
      </c>
      <c r="B136" s="16" t="s">
        <v>334</v>
      </c>
      <c r="C136" s="17" t="s">
        <v>335</v>
      </c>
      <c r="D136" s="17" t="s">
        <v>336</v>
      </c>
      <c r="E136" s="15" t="s">
        <v>25</v>
      </c>
      <c r="F136" s="15" t="s">
        <v>330</v>
      </c>
      <c r="G136" s="15" t="s">
        <v>75</v>
      </c>
      <c r="H136" s="18" t="s">
        <v>27</v>
      </c>
      <c r="I136" s="15" t="s">
        <v>19</v>
      </c>
      <c r="J136" s="17" t="s">
        <v>337</v>
      </c>
      <c r="K136" s="16" t="s">
        <v>21</v>
      </c>
    </row>
    <row r="137" ht="15.75" customHeight="1">
      <c r="A137" s="15">
        <f t="shared" si="10"/>
        <v>96</v>
      </c>
      <c r="B137" s="16" t="s">
        <v>338</v>
      </c>
      <c r="C137" s="17" t="s">
        <v>339</v>
      </c>
      <c r="D137" s="17" t="s">
        <v>340</v>
      </c>
      <c r="E137" s="15" t="s">
        <v>16</v>
      </c>
      <c r="F137" s="15" t="s">
        <v>330</v>
      </c>
      <c r="G137" s="15" t="s">
        <v>18</v>
      </c>
      <c r="H137" s="18" t="s">
        <v>47</v>
      </c>
      <c r="I137" s="15" t="s">
        <v>48</v>
      </c>
      <c r="J137" s="17"/>
      <c r="K137" s="16" t="s">
        <v>21</v>
      </c>
    </row>
    <row r="138" ht="15.75" customHeight="1">
      <c r="A138" s="15">
        <f t="shared" si="10"/>
        <v>97</v>
      </c>
      <c r="B138" s="16" t="s">
        <v>341</v>
      </c>
      <c r="C138" s="17" t="s">
        <v>342</v>
      </c>
      <c r="D138" s="17" t="s">
        <v>343</v>
      </c>
      <c r="E138" s="15" t="s">
        <v>25</v>
      </c>
      <c r="F138" s="15" t="s">
        <v>338</v>
      </c>
      <c r="G138" s="20" t="s">
        <v>177</v>
      </c>
      <c r="H138" s="18" t="s">
        <v>47</v>
      </c>
      <c r="I138" s="15" t="s">
        <v>48</v>
      </c>
      <c r="J138" s="17"/>
      <c r="K138" s="16" t="s">
        <v>21</v>
      </c>
    </row>
    <row r="139" ht="15.75" customHeight="1">
      <c r="A139" s="15">
        <f t="shared" si="10"/>
        <v>98</v>
      </c>
      <c r="B139" s="16" t="s">
        <v>344</v>
      </c>
      <c r="C139" s="17" t="s">
        <v>345</v>
      </c>
      <c r="D139" s="17" t="s">
        <v>346</v>
      </c>
      <c r="E139" s="15" t="s">
        <v>25</v>
      </c>
      <c r="F139" s="15" t="s">
        <v>338</v>
      </c>
      <c r="G139" s="15" t="s">
        <v>75</v>
      </c>
      <c r="H139" s="18" t="s">
        <v>47</v>
      </c>
      <c r="I139" s="15" t="s">
        <v>48</v>
      </c>
      <c r="J139" s="19" t="s">
        <v>347</v>
      </c>
      <c r="K139" s="16" t="s">
        <v>21</v>
      </c>
    </row>
    <row r="140" ht="15.75" customHeight="1">
      <c r="A140" s="15">
        <f t="shared" si="10"/>
        <v>99</v>
      </c>
      <c r="B140" s="16" t="s">
        <v>348</v>
      </c>
      <c r="C140" s="17" t="s">
        <v>349</v>
      </c>
      <c r="D140" s="17" t="s">
        <v>350</v>
      </c>
      <c r="E140" s="15" t="s">
        <v>25</v>
      </c>
      <c r="F140" s="15" t="s">
        <v>338</v>
      </c>
      <c r="G140" s="20" t="s">
        <v>177</v>
      </c>
      <c r="H140" s="18" t="s">
        <v>47</v>
      </c>
      <c r="I140" s="15" t="s">
        <v>48</v>
      </c>
      <c r="J140" s="17"/>
      <c r="K140" s="16" t="s">
        <v>21</v>
      </c>
    </row>
    <row r="141" ht="15.75" customHeight="1">
      <c r="A141" s="15">
        <f t="shared" si="10"/>
        <v>100</v>
      </c>
      <c r="B141" s="16" t="s">
        <v>351</v>
      </c>
      <c r="C141" s="17" t="s">
        <v>352</v>
      </c>
      <c r="D141" s="17" t="s">
        <v>353</v>
      </c>
      <c r="E141" s="15" t="s">
        <v>25</v>
      </c>
      <c r="F141" s="15" t="s">
        <v>338</v>
      </c>
      <c r="G141" s="15" t="s">
        <v>75</v>
      </c>
      <c r="H141" s="18" t="s">
        <v>47</v>
      </c>
      <c r="I141" s="15" t="s">
        <v>48</v>
      </c>
      <c r="J141" s="19" t="s">
        <v>354</v>
      </c>
      <c r="K141" s="16" t="s">
        <v>21</v>
      </c>
    </row>
    <row r="142" ht="15.75" customHeight="1">
      <c r="A142" s="15">
        <f t="shared" si="10"/>
        <v>101</v>
      </c>
      <c r="B142" s="16" t="s">
        <v>355</v>
      </c>
      <c r="C142" s="17" t="s">
        <v>356</v>
      </c>
      <c r="D142" s="17" t="s">
        <v>357</v>
      </c>
      <c r="E142" s="15" t="s">
        <v>25</v>
      </c>
      <c r="F142" s="15" t="s">
        <v>338</v>
      </c>
      <c r="G142" s="20" t="s">
        <v>177</v>
      </c>
      <c r="H142" s="18" t="s">
        <v>47</v>
      </c>
      <c r="I142" s="15" t="s">
        <v>48</v>
      </c>
      <c r="J142" s="17"/>
      <c r="K142" s="16" t="s">
        <v>21</v>
      </c>
    </row>
    <row r="143" ht="15.75" customHeight="1">
      <c r="A143" s="15">
        <f t="shared" si="10"/>
        <v>102</v>
      </c>
      <c r="B143" s="16" t="s">
        <v>358</v>
      </c>
      <c r="C143" s="17" t="s">
        <v>359</v>
      </c>
      <c r="D143" s="17" t="s">
        <v>360</v>
      </c>
      <c r="E143" s="15" t="s">
        <v>25</v>
      </c>
      <c r="F143" s="15" t="s">
        <v>330</v>
      </c>
      <c r="G143" s="15" t="s">
        <v>87</v>
      </c>
      <c r="H143" s="18" t="s">
        <v>27</v>
      </c>
      <c r="I143" s="15" t="s">
        <v>19</v>
      </c>
      <c r="J143" s="19" t="s">
        <v>361</v>
      </c>
      <c r="K143" s="16" t="s">
        <v>21</v>
      </c>
    </row>
    <row r="144" ht="15.75" customHeight="1">
      <c r="A144" s="15">
        <f t="shared" si="10"/>
        <v>103</v>
      </c>
      <c r="B144" s="16" t="s">
        <v>362</v>
      </c>
      <c r="C144" s="17" t="s">
        <v>363</v>
      </c>
      <c r="D144" s="17" t="s">
        <v>364</v>
      </c>
      <c r="E144" s="15" t="s">
        <v>25</v>
      </c>
      <c r="F144" s="15" t="s">
        <v>330</v>
      </c>
      <c r="G144" s="20" t="s">
        <v>181</v>
      </c>
      <c r="H144" s="18" t="s">
        <v>47</v>
      </c>
      <c r="I144" s="15" t="s">
        <v>48</v>
      </c>
      <c r="J144" s="17" t="s">
        <v>365</v>
      </c>
      <c r="K144" s="16" t="s">
        <v>21</v>
      </c>
    </row>
    <row r="145" ht="15.75" customHeight="1">
      <c r="A145" s="15">
        <f t="shared" si="10"/>
        <v>104</v>
      </c>
      <c r="B145" s="16" t="s">
        <v>366</v>
      </c>
      <c r="C145" s="17" t="s">
        <v>367</v>
      </c>
      <c r="D145" s="17" t="s">
        <v>368</v>
      </c>
      <c r="E145" s="15" t="s">
        <v>25</v>
      </c>
      <c r="F145" s="15" t="s">
        <v>330</v>
      </c>
      <c r="G145" s="15" t="s">
        <v>87</v>
      </c>
      <c r="H145" s="18" t="s">
        <v>47</v>
      </c>
      <c r="I145" s="15" t="s">
        <v>48</v>
      </c>
      <c r="J145" s="19" t="s">
        <v>369</v>
      </c>
      <c r="K145" s="16" t="s">
        <v>21</v>
      </c>
    </row>
    <row r="146" ht="15.75" customHeight="1">
      <c r="A146" s="15">
        <f t="shared" si="10"/>
        <v>105</v>
      </c>
      <c r="B146" s="16" t="s">
        <v>370</v>
      </c>
      <c r="C146" s="19" t="s">
        <v>371</v>
      </c>
      <c r="D146" s="17" t="s">
        <v>372</v>
      </c>
      <c r="E146" s="15" t="s">
        <v>25</v>
      </c>
      <c r="F146" s="15" t="s">
        <v>330</v>
      </c>
      <c r="G146" s="20" t="s">
        <v>373</v>
      </c>
      <c r="H146" s="18" t="s">
        <v>47</v>
      </c>
      <c r="I146" s="15" t="s">
        <v>48</v>
      </c>
      <c r="J146" s="17"/>
      <c r="K146" s="16" t="s">
        <v>21</v>
      </c>
    </row>
    <row r="147" ht="15.75" customHeight="1">
      <c r="A147" s="15">
        <f t="shared" si="10"/>
        <v>106</v>
      </c>
      <c r="B147" s="16" t="s">
        <v>374</v>
      </c>
      <c r="C147" s="17" t="s">
        <v>375</v>
      </c>
      <c r="D147" s="17" t="s">
        <v>376</v>
      </c>
      <c r="E147" s="15" t="s">
        <v>25</v>
      </c>
      <c r="F147" s="15" t="s">
        <v>330</v>
      </c>
      <c r="G147" s="20" t="s">
        <v>377</v>
      </c>
      <c r="H147" s="18" t="s">
        <v>47</v>
      </c>
      <c r="I147" s="15" t="s">
        <v>48</v>
      </c>
      <c r="J147" s="19" t="s">
        <v>378</v>
      </c>
      <c r="K147" s="16" t="s">
        <v>21</v>
      </c>
    </row>
    <row r="148" ht="15.75" customHeight="1">
      <c r="A148" s="15">
        <f t="shared" si="10"/>
        <v>107</v>
      </c>
      <c r="B148" s="16" t="s">
        <v>379</v>
      </c>
      <c r="C148" s="17" t="s">
        <v>380</v>
      </c>
      <c r="D148" s="17" t="s">
        <v>381</v>
      </c>
      <c r="E148" s="15" t="s">
        <v>25</v>
      </c>
      <c r="F148" s="15" t="s">
        <v>330</v>
      </c>
      <c r="G148" s="20" t="s">
        <v>382</v>
      </c>
      <c r="H148" s="18" t="s">
        <v>47</v>
      </c>
      <c r="I148" s="15" t="s">
        <v>48</v>
      </c>
      <c r="J148" s="19" t="s">
        <v>383</v>
      </c>
      <c r="K148" s="16" t="s">
        <v>21</v>
      </c>
    </row>
    <row r="149" ht="15.75" customHeight="1">
      <c r="A149" s="15">
        <f t="shared" si="10"/>
        <v>108</v>
      </c>
      <c r="B149" s="16" t="s">
        <v>384</v>
      </c>
      <c r="C149" s="17" t="s">
        <v>385</v>
      </c>
      <c r="D149" s="17" t="s">
        <v>386</v>
      </c>
      <c r="E149" s="15" t="s">
        <v>25</v>
      </c>
      <c r="F149" s="15" t="s">
        <v>330</v>
      </c>
      <c r="G149" s="20" t="s">
        <v>177</v>
      </c>
      <c r="H149" s="18" t="s">
        <v>47</v>
      </c>
      <c r="I149" s="15" t="s">
        <v>48</v>
      </c>
      <c r="J149" s="17"/>
      <c r="K149" s="16" t="s">
        <v>21</v>
      </c>
    </row>
    <row r="150" ht="15.75" customHeight="1">
      <c r="A150" s="15">
        <f t="shared" si="10"/>
        <v>109</v>
      </c>
      <c r="B150" s="16" t="s">
        <v>387</v>
      </c>
      <c r="C150" s="17" t="s">
        <v>388</v>
      </c>
      <c r="D150" s="17" t="s">
        <v>389</v>
      </c>
      <c r="E150" s="15" t="s">
        <v>25</v>
      </c>
      <c r="F150" s="15" t="s">
        <v>330</v>
      </c>
      <c r="G150" s="20" t="s">
        <v>177</v>
      </c>
      <c r="H150" s="18" t="s">
        <v>47</v>
      </c>
      <c r="I150" s="15" t="s">
        <v>48</v>
      </c>
      <c r="J150" s="17"/>
      <c r="K150" s="16" t="s">
        <v>21</v>
      </c>
    </row>
    <row r="151" ht="15.75" customHeight="1">
      <c r="A151" s="21"/>
      <c r="B151" s="22"/>
      <c r="C151" s="22"/>
      <c r="D151" s="22"/>
      <c r="E151" s="22"/>
      <c r="F151" s="22"/>
      <c r="G151" s="22"/>
      <c r="H151" s="22"/>
      <c r="I151" s="22"/>
      <c r="J151" s="22"/>
      <c r="K151" s="23"/>
    </row>
    <row r="152" ht="15.75" customHeight="1">
      <c r="A152" s="24"/>
      <c r="B152" s="25"/>
      <c r="C152" s="25"/>
      <c r="D152" s="25"/>
      <c r="E152" s="25"/>
      <c r="F152" s="25"/>
      <c r="G152" s="25"/>
      <c r="H152" s="25"/>
      <c r="I152" s="25"/>
      <c r="J152" s="25"/>
      <c r="K152" s="26"/>
    </row>
    <row r="153" ht="15.75" customHeight="1">
      <c r="A153" s="8" t="s">
        <v>1</v>
      </c>
      <c r="B153" s="8" t="s">
        <v>2</v>
      </c>
      <c r="C153" s="9" t="s">
        <v>3</v>
      </c>
      <c r="D153" s="9" t="s">
        <v>4</v>
      </c>
      <c r="E153" s="8" t="s">
        <v>5</v>
      </c>
      <c r="F153" s="8" t="s">
        <v>6</v>
      </c>
      <c r="G153" s="8" t="s">
        <v>7</v>
      </c>
      <c r="H153" s="10" t="s">
        <v>8</v>
      </c>
      <c r="I153" s="8" t="s">
        <v>9</v>
      </c>
      <c r="J153" s="9" t="s">
        <v>10</v>
      </c>
      <c r="K153" s="11" t="s">
        <v>11</v>
      </c>
    </row>
    <row r="154" ht="15.75" customHeight="1">
      <c r="A154" s="27" t="s">
        <v>390</v>
      </c>
      <c r="B154" s="2"/>
      <c r="C154" s="2"/>
      <c r="D154" s="2"/>
      <c r="E154" s="2"/>
      <c r="F154" s="2"/>
      <c r="G154" s="2"/>
      <c r="H154" s="2"/>
      <c r="I154" s="2"/>
      <c r="J154" s="13"/>
      <c r="K154" s="14"/>
    </row>
    <row r="155" ht="15.75" customHeight="1">
      <c r="A155" s="15">
        <f>A150+1</f>
        <v>110</v>
      </c>
      <c r="B155" s="16" t="s">
        <v>391</v>
      </c>
      <c r="C155" s="17" t="s">
        <v>392</v>
      </c>
      <c r="D155" s="17" t="s">
        <v>393</v>
      </c>
      <c r="E155" s="15" t="s">
        <v>16</v>
      </c>
      <c r="F155" s="15" t="s">
        <v>330</v>
      </c>
      <c r="G155" s="15" t="s">
        <v>18</v>
      </c>
      <c r="H155" s="18" t="s">
        <v>27</v>
      </c>
      <c r="I155" s="15" t="s">
        <v>19</v>
      </c>
      <c r="J155" s="17"/>
      <c r="K155" s="16" t="s">
        <v>21</v>
      </c>
    </row>
    <row r="156" ht="15.75" customHeight="1">
      <c r="A156" s="15">
        <f t="shared" ref="A156:A165" si="11">A155+1</f>
        <v>111</v>
      </c>
      <c r="B156" s="16" t="s">
        <v>394</v>
      </c>
      <c r="C156" s="17" t="s">
        <v>191</v>
      </c>
      <c r="D156" s="17" t="s">
        <v>192</v>
      </c>
      <c r="E156" s="15" t="s">
        <v>25</v>
      </c>
      <c r="F156" s="15" t="s">
        <v>391</v>
      </c>
      <c r="G156" s="20" t="s">
        <v>177</v>
      </c>
      <c r="H156" s="18" t="s">
        <v>27</v>
      </c>
      <c r="I156" s="15" t="s">
        <v>19</v>
      </c>
      <c r="J156" s="17"/>
      <c r="K156" s="16" t="s">
        <v>21</v>
      </c>
    </row>
    <row r="157" ht="15.75" customHeight="1">
      <c r="A157" s="15">
        <f t="shared" si="11"/>
        <v>112</v>
      </c>
      <c r="B157" s="16" t="s">
        <v>395</v>
      </c>
      <c r="C157" s="17" t="s">
        <v>194</v>
      </c>
      <c r="D157" s="17" t="s">
        <v>195</v>
      </c>
      <c r="E157" s="15" t="s">
        <v>25</v>
      </c>
      <c r="F157" s="15" t="s">
        <v>391</v>
      </c>
      <c r="G157" s="20" t="s">
        <v>181</v>
      </c>
      <c r="H157" s="18" t="s">
        <v>27</v>
      </c>
      <c r="I157" s="15" t="s">
        <v>19</v>
      </c>
      <c r="J157" s="17"/>
      <c r="K157" s="16" t="s">
        <v>21</v>
      </c>
    </row>
    <row r="158" ht="15.75" customHeight="1">
      <c r="A158" s="15">
        <f t="shared" si="11"/>
        <v>113</v>
      </c>
      <c r="B158" s="16" t="s">
        <v>396</v>
      </c>
      <c r="C158" s="17" t="s">
        <v>197</v>
      </c>
      <c r="D158" s="17" t="s">
        <v>198</v>
      </c>
      <c r="E158" s="15" t="s">
        <v>25</v>
      </c>
      <c r="F158" s="15" t="s">
        <v>391</v>
      </c>
      <c r="G158" s="20" t="s">
        <v>181</v>
      </c>
      <c r="H158" s="18" t="s">
        <v>47</v>
      </c>
      <c r="I158" s="15" t="s">
        <v>48</v>
      </c>
      <c r="J158" s="17"/>
      <c r="K158" s="16" t="s">
        <v>21</v>
      </c>
    </row>
    <row r="159" ht="15.75" customHeight="1">
      <c r="A159" s="15">
        <f t="shared" si="11"/>
        <v>114</v>
      </c>
      <c r="B159" s="16" t="s">
        <v>397</v>
      </c>
      <c r="C159" s="17" t="s">
        <v>200</v>
      </c>
      <c r="D159" s="17" t="s">
        <v>201</v>
      </c>
      <c r="E159" s="15" t="s">
        <v>25</v>
      </c>
      <c r="F159" s="15" t="s">
        <v>391</v>
      </c>
      <c r="G159" s="20" t="s">
        <v>177</v>
      </c>
      <c r="H159" s="18" t="s">
        <v>47</v>
      </c>
      <c r="I159" s="15" t="s">
        <v>48</v>
      </c>
      <c r="J159" s="17"/>
      <c r="K159" s="16" t="s">
        <v>21</v>
      </c>
    </row>
    <row r="160" ht="15.75" customHeight="1">
      <c r="A160" s="15">
        <f t="shared" si="11"/>
        <v>115</v>
      </c>
      <c r="B160" s="16" t="s">
        <v>398</v>
      </c>
      <c r="C160" s="17" t="s">
        <v>203</v>
      </c>
      <c r="D160" s="17" t="s">
        <v>204</v>
      </c>
      <c r="E160" s="15" t="s">
        <v>25</v>
      </c>
      <c r="F160" s="15" t="s">
        <v>391</v>
      </c>
      <c r="G160" s="15" t="s">
        <v>46</v>
      </c>
      <c r="H160" s="18" t="s">
        <v>27</v>
      </c>
      <c r="I160" s="15" t="s">
        <v>19</v>
      </c>
      <c r="J160" s="17"/>
      <c r="K160" s="16" t="s">
        <v>21</v>
      </c>
    </row>
    <row r="161" ht="15.75" customHeight="1">
      <c r="A161" s="15">
        <f t="shared" si="11"/>
        <v>116</v>
      </c>
      <c r="B161" s="16" t="s">
        <v>399</v>
      </c>
      <c r="C161" s="17" t="s">
        <v>207</v>
      </c>
      <c r="D161" s="17" t="s">
        <v>208</v>
      </c>
      <c r="E161" s="15" t="s">
        <v>25</v>
      </c>
      <c r="F161" s="15" t="s">
        <v>391</v>
      </c>
      <c r="G161" s="20" t="s">
        <v>177</v>
      </c>
      <c r="H161" s="18" t="s">
        <v>27</v>
      </c>
      <c r="I161" s="15" t="s">
        <v>19</v>
      </c>
      <c r="J161" s="17"/>
      <c r="K161" s="16" t="s">
        <v>21</v>
      </c>
    </row>
    <row r="162" ht="15.75" customHeight="1">
      <c r="A162" s="15">
        <f t="shared" si="11"/>
        <v>117</v>
      </c>
      <c r="B162" s="16" t="s">
        <v>400</v>
      </c>
      <c r="C162" s="17" t="s">
        <v>210</v>
      </c>
      <c r="D162" s="17" t="s">
        <v>211</v>
      </c>
      <c r="E162" s="15" t="s">
        <v>25</v>
      </c>
      <c r="F162" s="15" t="s">
        <v>391</v>
      </c>
      <c r="G162" s="15" t="s">
        <v>87</v>
      </c>
      <c r="H162" s="18" t="s">
        <v>27</v>
      </c>
      <c r="I162" s="15" t="s">
        <v>19</v>
      </c>
      <c r="J162" s="17"/>
      <c r="K162" s="16" t="s">
        <v>21</v>
      </c>
    </row>
    <row r="163" ht="15.75" customHeight="1">
      <c r="A163" s="15">
        <f t="shared" si="11"/>
        <v>118</v>
      </c>
      <c r="B163" s="16" t="s">
        <v>401</v>
      </c>
      <c r="C163" s="17" t="s">
        <v>213</v>
      </c>
      <c r="D163" s="17" t="s">
        <v>214</v>
      </c>
      <c r="E163" s="15" t="s">
        <v>25</v>
      </c>
      <c r="F163" s="15" t="s">
        <v>391</v>
      </c>
      <c r="G163" s="15" t="s">
        <v>215</v>
      </c>
      <c r="H163" s="18" t="s">
        <v>47</v>
      </c>
      <c r="I163" s="15" t="s">
        <v>48</v>
      </c>
      <c r="J163" s="17" t="s">
        <v>216</v>
      </c>
      <c r="K163" s="16" t="s">
        <v>21</v>
      </c>
    </row>
    <row r="164" ht="15.75" customHeight="1">
      <c r="A164" s="15">
        <f t="shared" si="11"/>
        <v>119</v>
      </c>
      <c r="B164" s="16" t="s">
        <v>402</v>
      </c>
      <c r="C164" s="17" t="s">
        <v>218</v>
      </c>
      <c r="D164" s="17" t="s">
        <v>219</v>
      </c>
      <c r="E164" s="15" t="s">
        <v>25</v>
      </c>
      <c r="F164" s="15" t="s">
        <v>391</v>
      </c>
      <c r="G164" s="15" t="s">
        <v>278</v>
      </c>
      <c r="H164" s="18" t="s">
        <v>47</v>
      </c>
      <c r="I164" s="15" t="s">
        <v>48</v>
      </c>
      <c r="J164" s="17"/>
      <c r="K164" s="16" t="s">
        <v>21</v>
      </c>
    </row>
    <row r="165" ht="15.75" customHeight="1">
      <c r="A165" s="15">
        <f t="shared" si="11"/>
        <v>120</v>
      </c>
      <c r="B165" s="16" t="s">
        <v>403</v>
      </c>
      <c r="C165" s="17" t="s">
        <v>223</v>
      </c>
      <c r="D165" s="17" t="s">
        <v>224</v>
      </c>
      <c r="E165" s="15" t="s">
        <v>25</v>
      </c>
      <c r="F165" s="15" t="s">
        <v>391</v>
      </c>
      <c r="G165" s="20" t="s">
        <v>177</v>
      </c>
      <c r="H165" s="18" t="s">
        <v>47</v>
      </c>
      <c r="I165" s="15" t="s">
        <v>48</v>
      </c>
      <c r="J165" s="17"/>
      <c r="K165" s="16" t="s">
        <v>21</v>
      </c>
    </row>
    <row r="166" ht="15.75" customHeight="1">
      <c r="A166" s="21"/>
      <c r="B166" s="22"/>
      <c r="C166" s="22"/>
      <c r="D166" s="22"/>
      <c r="E166" s="22"/>
      <c r="F166" s="22"/>
      <c r="G166" s="22"/>
      <c r="H166" s="22"/>
      <c r="I166" s="22"/>
      <c r="J166" s="22"/>
      <c r="K166" s="23"/>
    </row>
    <row r="167" ht="15.75" customHeight="1">
      <c r="A167" s="24"/>
      <c r="B167" s="25"/>
      <c r="C167" s="25"/>
      <c r="D167" s="25"/>
      <c r="E167" s="25"/>
      <c r="F167" s="25"/>
      <c r="G167" s="25"/>
      <c r="H167" s="25"/>
      <c r="I167" s="25"/>
      <c r="J167" s="25"/>
      <c r="K167" s="26"/>
    </row>
    <row r="168" ht="15.75" customHeight="1">
      <c r="A168" s="8" t="s">
        <v>1</v>
      </c>
      <c r="B168" s="8" t="s">
        <v>2</v>
      </c>
      <c r="C168" s="9" t="s">
        <v>3</v>
      </c>
      <c r="D168" s="9" t="s">
        <v>4</v>
      </c>
      <c r="E168" s="8" t="s">
        <v>5</v>
      </c>
      <c r="F168" s="8" t="s">
        <v>6</v>
      </c>
      <c r="G168" s="8" t="s">
        <v>7</v>
      </c>
      <c r="H168" s="10" t="s">
        <v>8</v>
      </c>
      <c r="I168" s="8" t="s">
        <v>9</v>
      </c>
      <c r="J168" s="9" t="s">
        <v>10</v>
      </c>
      <c r="K168" s="11" t="s">
        <v>11</v>
      </c>
    </row>
    <row r="169" ht="15.75" customHeight="1">
      <c r="A169" s="12" t="s">
        <v>404</v>
      </c>
      <c r="B169" s="2"/>
      <c r="C169" s="2"/>
      <c r="D169" s="2"/>
      <c r="E169" s="2"/>
      <c r="F169" s="2"/>
      <c r="G169" s="2"/>
      <c r="H169" s="2"/>
      <c r="I169" s="2"/>
      <c r="J169" s="13"/>
      <c r="K169" s="14"/>
    </row>
    <row r="170" ht="15.75" customHeight="1">
      <c r="A170" s="15">
        <f>A165+1</f>
        <v>121</v>
      </c>
      <c r="B170" s="16" t="s">
        <v>405</v>
      </c>
      <c r="C170" s="17" t="s">
        <v>406</v>
      </c>
      <c r="D170" s="17" t="s">
        <v>407</v>
      </c>
      <c r="E170" s="15" t="s">
        <v>16</v>
      </c>
      <c r="F170" s="15" t="s">
        <v>13</v>
      </c>
      <c r="G170" s="15" t="s">
        <v>18</v>
      </c>
      <c r="H170" s="18" t="s">
        <v>47</v>
      </c>
      <c r="I170" s="15" t="s">
        <v>48</v>
      </c>
      <c r="J170" s="17"/>
      <c r="K170" s="16" t="s">
        <v>21</v>
      </c>
    </row>
    <row r="171" ht="15.75" customHeight="1">
      <c r="A171" s="15">
        <f t="shared" ref="A171:A174" si="12">A170+1</f>
        <v>122</v>
      </c>
      <c r="B171" s="16" t="s">
        <v>408</v>
      </c>
      <c r="C171" s="17" t="s">
        <v>409</v>
      </c>
      <c r="D171" s="17" t="s">
        <v>410</v>
      </c>
      <c r="E171" s="15" t="s">
        <v>16</v>
      </c>
      <c r="F171" s="15" t="s">
        <v>405</v>
      </c>
      <c r="G171" s="15" t="s">
        <v>18</v>
      </c>
      <c r="H171" s="18" t="s">
        <v>411</v>
      </c>
      <c r="I171" s="15" t="s">
        <v>19</v>
      </c>
      <c r="J171" s="17" t="s">
        <v>155</v>
      </c>
      <c r="K171" s="16" t="s">
        <v>21</v>
      </c>
    </row>
    <row r="172" ht="15.75" customHeight="1">
      <c r="A172" s="15">
        <f t="shared" si="12"/>
        <v>123</v>
      </c>
      <c r="B172" s="16" t="s">
        <v>412</v>
      </c>
      <c r="C172" s="17" t="s">
        <v>413</v>
      </c>
      <c r="D172" s="17" t="s">
        <v>414</v>
      </c>
      <c r="E172" s="15" t="s">
        <v>25</v>
      </c>
      <c r="F172" s="15" t="s">
        <v>408</v>
      </c>
      <c r="G172" s="15" t="s">
        <v>243</v>
      </c>
      <c r="H172" s="18" t="s">
        <v>27</v>
      </c>
      <c r="I172" s="15" t="s">
        <v>19</v>
      </c>
      <c r="J172" s="19" t="s">
        <v>414</v>
      </c>
      <c r="K172" s="16" t="s">
        <v>21</v>
      </c>
    </row>
    <row r="173" ht="15.75" customHeight="1">
      <c r="A173" s="15">
        <f t="shared" si="12"/>
        <v>124</v>
      </c>
      <c r="B173" s="16" t="s">
        <v>415</v>
      </c>
      <c r="C173" s="17" t="s">
        <v>165</v>
      </c>
      <c r="D173" s="17" t="s">
        <v>416</v>
      </c>
      <c r="E173" s="15" t="s">
        <v>167</v>
      </c>
      <c r="F173" s="15" t="s">
        <v>408</v>
      </c>
      <c r="G173" s="15" t="s">
        <v>168</v>
      </c>
      <c r="H173" s="18" t="s">
        <v>27</v>
      </c>
      <c r="I173" s="15" t="s">
        <v>19</v>
      </c>
      <c r="J173" s="17" t="s">
        <v>417</v>
      </c>
      <c r="K173" s="16" t="s">
        <v>21</v>
      </c>
    </row>
    <row r="174" ht="15.75" customHeight="1">
      <c r="A174" s="15">
        <f t="shared" si="12"/>
        <v>125</v>
      </c>
      <c r="B174" s="16" t="s">
        <v>418</v>
      </c>
      <c r="C174" s="17" t="s">
        <v>171</v>
      </c>
      <c r="D174" s="17" t="s">
        <v>419</v>
      </c>
      <c r="E174" s="15" t="s">
        <v>167</v>
      </c>
      <c r="F174" s="15" t="s">
        <v>408</v>
      </c>
      <c r="G174" s="15" t="s">
        <v>173</v>
      </c>
      <c r="H174" s="18" t="s">
        <v>27</v>
      </c>
      <c r="I174" s="15" t="s">
        <v>19</v>
      </c>
      <c r="J174" s="17"/>
      <c r="K174" s="16" t="s">
        <v>21</v>
      </c>
    </row>
    <row r="175" ht="15.75" customHeight="1">
      <c r="A175" s="21"/>
      <c r="B175" s="22"/>
      <c r="C175" s="22"/>
      <c r="D175" s="22"/>
      <c r="E175" s="22"/>
      <c r="F175" s="22"/>
      <c r="G175" s="22"/>
      <c r="H175" s="22"/>
      <c r="I175" s="22"/>
      <c r="J175" s="22"/>
      <c r="K175" s="23"/>
    </row>
    <row r="176" ht="15.75" customHeight="1">
      <c r="A176" s="24"/>
      <c r="B176" s="25"/>
      <c r="C176" s="25"/>
      <c r="D176" s="25"/>
      <c r="E176" s="25"/>
      <c r="F176" s="25"/>
      <c r="G176" s="25"/>
      <c r="H176" s="25"/>
      <c r="I176" s="25"/>
      <c r="J176" s="25"/>
      <c r="K176" s="26"/>
    </row>
    <row r="177" ht="15.75" customHeight="1">
      <c r="A177" s="8" t="s">
        <v>1</v>
      </c>
      <c r="B177" s="8" t="s">
        <v>2</v>
      </c>
      <c r="C177" s="9" t="s">
        <v>3</v>
      </c>
      <c r="D177" s="9" t="s">
        <v>4</v>
      </c>
      <c r="E177" s="8" t="s">
        <v>5</v>
      </c>
      <c r="F177" s="8" t="s">
        <v>6</v>
      </c>
      <c r="G177" s="8" t="s">
        <v>7</v>
      </c>
      <c r="H177" s="10" t="s">
        <v>8</v>
      </c>
      <c r="I177" s="8" t="s">
        <v>9</v>
      </c>
      <c r="J177" s="9" t="s">
        <v>10</v>
      </c>
      <c r="K177" s="11" t="s">
        <v>11</v>
      </c>
    </row>
    <row r="178" ht="15.75" customHeight="1">
      <c r="A178" s="12" t="s">
        <v>420</v>
      </c>
      <c r="B178" s="2"/>
      <c r="C178" s="2"/>
      <c r="D178" s="2"/>
      <c r="E178" s="2"/>
      <c r="F178" s="2"/>
      <c r="G178" s="2"/>
      <c r="H178" s="2"/>
      <c r="I178" s="2"/>
      <c r="J178" s="13"/>
      <c r="K178" s="14"/>
    </row>
    <row r="179" ht="15.75" customHeight="1">
      <c r="A179" s="15">
        <f>A174+1</f>
        <v>126</v>
      </c>
      <c r="B179" s="16" t="s">
        <v>421</v>
      </c>
      <c r="C179" s="17" t="s">
        <v>422</v>
      </c>
      <c r="D179" s="17" t="s">
        <v>423</v>
      </c>
      <c r="E179" s="15" t="s">
        <v>16</v>
      </c>
      <c r="F179" s="15" t="s">
        <v>13</v>
      </c>
      <c r="G179" s="15" t="s">
        <v>18</v>
      </c>
      <c r="H179" s="18" t="s">
        <v>27</v>
      </c>
      <c r="I179" s="15" t="s">
        <v>19</v>
      </c>
      <c r="J179" s="17"/>
      <c r="K179" s="16" t="s">
        <v>21</v>
      </c>
    </row>
    <row r="180" ht="15.75" customHeight="1">
      <c r="A180" s="15">
        <f t="shared" ref="A180:A202" si="13">A179+1</f>
        <v>127</v>
      </c>
      <c r="B180" s="16" t="s">
        <v>424</v>
      </c>
      <c r="C180" s="17" t="s">
        <v>425</v>
      </c>
      <c r="D180" s="17" t="s">
        <v>426</v>
      </c>
      <c r="E180" s="15" t="s">
        <v>25</v>
      </c>
      <c r="F180" s="15" t="s">
        <v>421</v>
      </c>
      <c r="G180" s="20" t="s">
        <v>258</v>
      </c>
      <c r="H180" s="18" t="s">
        <v>47</v>
      </c>
      <c r="I180" s="15" t="s">
        <v>48</v>
      </c>
      <c r="J180" s="19" t="s">
        <v>427</v>
      </c>
      <c r="K180" s="16" t="s">
        <v>21</v>
      </c>
    </row>
    <row r="181" ht="15.75" customHeight="1">
      <c r="A181" s="15">
        <f t="shared" si="13"/>
        <v>128</v>
      </c>
      <c r="B181" s="16" t="s">
        <v>428</v>
      </c>
      <c r="C181" s="17" t="s">
        <v>429</v>
      </c>
      <c r="D181" s="17" t="s">
        <v>430</v>
      </c>
      <c r="E181" s="15" t="s">
        <v>25</v>
      </c>
      <c r="F181" s="15" t="s">
        <v>421</v>
      </c>
      <c r="G181" s="20" t="s">
        <v>377</v>
      </c>
      <c r="H181" s="18" t="s">
        <v>27</v>
      </c>
      <c r="I181" s="15" t="s">
        <v>19</v>
      </c>
      <c r="J181" s="19" t="s">
        <v>431</v>
      </c>
      <c r="K181" s="16" t="s">
        <v>21</v>
      </c>
    </row>
    <row r="182" ht="15.75" customHeight="1">
      <c r="A182" s="15">
        <f t="shared" si="13"/>
        <v>129</v>
      </c>
      <c r="B182" s="16" t="s">
        <v>432</v>
      </c>
      <c r="C182" s="17" t="s">
        <v>433</v>
      </c>
      <c r="D182" s="17" t="s">
        <v>434</v>
      </c>
      <c r="E182" s="15" t="s">
        <v>25</v>
      </c>
      <c r="F182" s="15" t="s">
        <v>421</v>
      </c>
      <c r="G182" s="15" t="s">
        <v>75</v>
      </c>
      <c r="H182" s="18" t="s">
        <v>47</v>
      </c>
      <c r="I182" s="15" t="s">
        <v>48</v>
      </c>
      <c r="J182" s="19" t="s">
        <v>435</v>
      </c>
      <c r="K182" s="16" t="s">
        <v>21</v>
      </c>
    </row>
    <row r="183" ht="15.75" customHeight="1">
      <c r="A183" s="15">
        <f t="shared" si="13"/>
        <v>130</v>
      </c>
      <c r="B183" s="16" t="s">
        <v>436</v>
      </c>
      <c r="C183" s="17" t="s">
        <v>437</v>
      </c>
      <c r="D183" s="17" t="s">
        <v>438</v>
      </c>
      <c r="E183" s="15" t="s">
        <v>16</v>
      </c>
      <c r="F183" s="15" t="s">
        <v>421</v>
      </c>
      <c r="G183" s="15" t="s">
        <v>18</v>
      </c>
      <c r="H183" s="18" t="s">
        <v>47</v>
      </c>
      <c r="I183" s="15" t="s">
        <v>48</v>
      </c>
      <c r="J183" s="17" t="s">
        <v>439</v>
      </c>
      <c r="K183" s="16" t="s">
        <v>21</v>
      </c>
    </row>
    <row r="184" ht="15.75" customHeight="1">
      <c r="A184" s="15">
        <f t="shared" si="13"/>
        <v>131</v>
      </c>
      <c r="B184" s="16" t="s">
        <v>440</v>
      </c>
      <c r="C184" s="17" t="s">
        <v>441</v>
      </c>
      <c r="D184" s="17" t="s">
        <v>442</v>
      </c>
      <c r="E184" s="15" t="s">
        <v>25</v>
      </c>
      <c r="F184" s="15" t="str">
        <f>B183</f>
        <v>G05</v>
      </c>
      <c r="G184" s="20" t="s">
        <v>377</v>
      </c>
      <c r="H184" s="18" t="s">
        <v>27</v>
      </c>
      <c r="I184" s="15" t="s">
        <v>19</v>
      </c>
      <c r="J184" s="17"/>
      <c r="K184" s="16" t="s">
        <v>21</v>
      </c>
    </row>
    <row r="185" ht="15.75" customHeight="1">
      <c r="A185" s="15">
        <f t="shared" si="13"/>
        <v>132</v>
      </c>
      <c r="B185" s="16" t="s">
        <v>443</v>
      </c>
      <c r="C185" s="19" t="s">
        <v>444</v>
      </c>
      <c r="D185" s="17" t="s">
        <v>445</v>
      </c>
      <c r="E185" s="15" t="s">
        <v>16</v>
      </c>
      <c r="F185" s="15" t="s">
        <v>421</v>
      </c>
      <c r="G185" s="15" t="s">
        <v>18</v>
      </c>
      <c r="H185" s="18" t="s">
        <v>47</v>
      </c>
      <c r="I185" s="15" t="s">
        <v>48</v>
      </c>
      <c r="J185" s="19" t="s">
        <v>446</v>
      </c>
      <c r="K185" s="16" t="s">
        <v>21</v>
      </c>
    </row>
    <row r="186" ht="15.75" customHeight="1">
      <c r="A186" s="15">
        <f t="shared" si="13"/>
        <v>133</v>
      </c>
      <c r="B186" s="16" t="s">
        <v>447</v>
      </c>
      <c r="C186" s="19" t="s">
        <v>448</v>
      </c>
      <c r="D186" s="17" t="s">
        <v>449</v>
      </c>
      <c r="E186" s="15" t="s">
        <v>25</v>
      </c>
      <c r="F186" s="15" t="s">
        <v>443</v>
      </c>
      <c r="G186" s="20" t="s">
        <v>377</v>
      </c>
      <c r="H186" s="18" t="s">
        <v>47</v>
      </c>
      <c r="I186" s="15" t="s">
        <v>48</v>
      </c>
      <c r="J186" s="19" t="s">
        <v>450</v>
      </c>
      <c r="K186" s="16" t="s">
        <v>21</v>
      </c>
    </row>
    <row r="187" ht="15.75" customHeight="1">
      <c r="A187" s="15">
        <f t="shared" si="13"/>
        <v>134</v>
      </c>
      <c r="B187" s="16" t="s">
        <v>451</v>
      </c>
      <c r="C187" s="17" t="s">
        <v>452</v>
      </c>
      <c r="D187" s="17" t="s">
        <v>453</v>
      </c>
      <c r="E187" s="15" t="s">
        <v>25</v>
      </c>
      <c r="F187" s="15" t="s">
        <v>443</v>
      </c>
      <c r="G187" s="20" t="s">
        <v>377</v>
      </c>
      <c r="H187" s="18" t="s">
        <v>47</v>
      </c>
      <c r="I187" s="15" t="s">
        <v>48</v>
      </c>
      <c r="J187" s="19" t="s">
        <v>454</v>
      </c>
      <c r="K187" s="16" t="s">
        <v>21</v>
      </c>
    </row>
    <row r="188" ht="15.75" customHeight="1">
      <c r="A188" s="15">
        <f t="shared" si="13"/>
        <v>135</v>
      </c>
      <c r="B188" s="16" t="s">
        <v>455</v>
      </c>
      <c r="C188" s="17" t="s">
        <v>456</v>
      </c>
      <c r="D188" s="17" t="s">
        <v>457</v>
      </c>
      <c r="E188" s="15" t="s">
        <v>25</v>
      </c>
      <c r="F188" s="15" t="s">
        <v>443</v>
      </c>
      <c r="G188" s="20" t="s">
        <v>377</v>
      </c>
      <c r="H188" s="18" t="s">
        <v>47</v>
      </c>
      <c r="I188" s="15" t="s">
        <v>48</v>
      </c>
      <c r="J188" s="19" t="s">
        <v>458</v>
      </c>
      <c r="K188" s="16" t="s">
        <v>21</v>
      </c>
    </row>
    <row r="189" ht="15.75" customHeight="1">
      <c r="A189" s="15">
        <f t="shared" si="13"/>
        <v>136</v>
      </c>
      <c r="B189" s="16" t="s">
        <v>459</v>
      </c>
      <c r="C189" s="32" t="s">
        <v>460</v>
      </c>
      <c r="D189" s="19" t="s">
        <v>461</v>
      </c>
      <c r="E189" s="15" t="s">
        <v>25</v>
      </c>
      <c r="F189" s="20" t="s">
        <v>443</v>
      </c>
      <c r="G189" s="20" t="s">
        <v>377</v>
      </c>
      <c r="H189" s="18" t="s">
        <v>47</v>
      </c>
      <c r="I189" s="15" t="s">
        <v>48</v>
      </c>
      <c r="J189" s="19" t="s">
        <v>462</v>
      </c>
      <c r="K189" s="16" t="s">
        <v>21</v>
      </c>
    </row>
    <row r="190" ht="15.75" customHeight="1">
      <c r="A190" s="15">
        <f t="shared" si="13"/>
        <v>137</v>
      </c>
      <c r="B190" s="16" t="s">
        <v>463</v>
      </c>
      <c r="C190" s="19" t="s">
        <v>464</v>
      </c>
      <c r="D190" s="17" t="s">
        <v>465</v>
      </c>
      <c r="E190" s="15" t="s">
        <v>25</v>
      </c>
      <c r="F190" s="15" t="s">
        <v>443</v>
      </c>
      <c r="G190" s="20" t="s">
        <v>377</v>
      </c>
      <c r="H190" s="18" t="s">
        <v>27</v>
      </c>
      <c r="I190" s="15" t="s">
        <v>19</v>
      </c>
      <c r="J190" s="19" t="s">
        <v>466</v>
      </c>
      <c r="K190" s="16" t="s">
        <v>21</v>
      </c>
    </row>
    <row r="191" ht="15.75" customHeight="1">
      <c r="A191" s="15">
        <f t="shared" si="13"/>
        <v>138</v>
      </c>
      <c r="B191" s="16" t="s">
        <v>467</v>
      </c>
      <c r="C191" s="17" t="s">
        <v>468</v>
      </c>
      <c r="D191" s="17" t="s">
        <v>469</v>
      </c>
      <c r="E191" s="15" t="s">
        <v>25</v>
      </c>
      <c r="F191" s="15" t="s">
        <v>421</v>
      </c>
      <c r="G191" s="15" t="s">
        <v>75</v>
      </c>
      <c r="H191" s="18" t="s">
        <v>47</v>
      </c>
      <c r="I191" s="15" t="s">
        <v>48</v>
      </c>
      <c r="J191" s="19" t="s">
        <v>470</v>
      </c>
      <c r="K191" s="16" t="s">
        <v>21</v>
      </c>
    </row>
    <row r="192" ht="15.75" customHeight="1">
      <c r="A192" s="15">
        <f t="shared" si="13"/>
        <v>139</v>
      </c>
      <c r="B192" s="16" t="s">
        <v>471</v>
      </c>
      <c r="C192" s="19" t="s">
        <v>472</v>
      </c>
      <c r="D192" s="19" t="s">
        <v>473</v>
      </c>
      <c r="E192" s="15" t="s">
        <v>25</v>
      </c>
      <c r="F192" s="15" t="s">
        <v>421</v>
      </c>
      <c r="G192" s="20" t="s">
        <v>474</v>
      </c>
      <c r="H192" s="18" t="s">
        <v>47</v>
      </c>
      <c r="I192" s="15" t="s">
        <v>48</v>
      </c>
      <c r="J192" s="19" t="s">
        <v>475</v>
      </c>
      <c r="K192" s="16" t="s">
        <v>21</v>
      </c>
    </row>
    <row r="193" ht="15.75" customHeight="1">
      <c r="A193" s="15">
        <f t="shared" si="13"/>
        <v>140</v>
      </c>
      <c r="B193" s="16" t="s">
        <v>476</v>
      </c>
      <c r="C193" s="17" t="s">
        <v>477</v>
      </c>
      <c r="D193" s="17" t="s">
        <v>478</v>
      </c>
      <c r="E193" s="15" t="s">
        <v>16</v>
      </c>
      <c r="F193" s="15" t="s">
        <v>421</v>
      </c>
      <c r="G193" s="15" t="s">
        <v>18</v>
      </c>
      <c r="H193" s="18" t="s">
        <v>27</v>
      </c>
      <c r="I193" s="15" t="s">
        <v>19</v>
      </c>
      <c r="J193" s="17"/>
      <c r="K193" s="16" t="s">
        <v>21</v>
      </c>
    </row>
    <row r="194" ht="15.75" customHeight="1">
      <c r="A194" s="15">
        <f t="shared" si="13"/>
        <v>141</v>
      </c>
      <c r="B194" s="16" t="s">
        <v>479</v>
      </c>
      <c r="C194" s="17" t="s">
        <v>480</v>
      </c>
      <c r="D194" s="17" t="s">
        <v>481</v>
      </c>
      <c r="E194" s="15" t="s">
        <v>25</v>
      </c>
      <c r="F194" s="15" t="str">
        <f>B193</f>
        <v>G15</v>
      </c>
      <c r="G194" s="20" t="s">
        <v>41</v>
      </c>
      <c r="H194" s="18" t="s">
        <v>27</v>
      </c>
      <c r="I194" s="15" t="s">
        <v>19</v>
      </c>
      <c r="J194" s="19" t="s">
        <v>482</v>
      </c>
      <c r="K194" s="16" t="s">
        <v>21</v>
      </c>
    </row>
    <row r="195" ht="15.75" customHeight="1">
      <c r="A195" s="15">
        <f t="shared" si="13"/>
        <v>142</v>
      </c>
      <c r="B195" s="16" t="s">
        <v>483</v>
      </c>
      <c r="C195" s="17" t="s">
        <v>484</v>
      </c>
      <c r="D195" s="17" t="s">
        <v>485</v>
      </c>
      <c r="E195" s="15" t="s">
        <v>25</v>
      </c>
      <c r="F195" s="15" t="str">
        <f>B193</f>
        <v>G15</v>
      </c>
      <c r="G195" s="20" t="s">
        <v>181</v>
      </c>
      <c r="H195" s="18" t="s">
        <v>47</v>
      </c>
      <c r="I195" s="15" t="s">
        <v>48</v>
      </c>
      <c r="J195" s="19" t="s">
        <v>486</v>
      </c>
      <c r="K195" s="16" t="s">
        <v>21</v>
      </c>
    </row>
    <row r="196" ht="15.75" customHeight="1">
      <c r="A196" s="15">
        <f t="shared" si="13"/>
        <v>143</v>
      </c>
      <c r="B196" s="16" t="s">
        <v>487</v>
      </c>
      <c r="C196" s="17" t="s">
        <v>488</v>
      </c>
      <c r="D196" s="17" t="s">
        <v>489</v>
      </c>
      <c r="E196" s="15" t="s">
        <v>25</v>
      </c>
      <c r="F196" s="15" t="str">
        <f>B193</f>
        <v>G15</v>
      </c>
      <c r="G196" s="15" t="s">
        <v>65</v>
      </c>
      <c r="H196" s="18" t="s">
        <v>27</v>
      </c>
      <c r="I196" s="15" t="s">
        <v>19</v>
      </c>
      <c r="J196" s="19" t="s">
        <v>490</v>
      </c>
      <c r="K196" s="16" t="s">
        <v>21</v>
      </c>
    </row>
    <row r="197" ht="15.75" customHeight="1">
      <c r="A197" s="15">
        <f t="shared" si="13"/>
        <v>144</v>
      </c>
      <c r="B197" s="16" t="s">
        <v>491</v>
      </c>
      <c r="C197" s="17" t="s">
        <v>492</v>
      </c>
      <c r="D197" s="17" t="s">
        <v>493</v>
      </c>
      <c r="E197" s="15" t="s">
        <v>16</v>
      </c>
      <c r="F197" s="15" t="s">
        <v>421</v>
      </c>
      <c r="G197" s="15" t="s">
        <v>18</v>
      </c>
      <c r="H197" s="18" t="s">
        <v>47</v>
      </c>
      <c r="I197" s="15" t="s">
        <v>48</v>
      </c>
      <c r="J197" s="19" t="s">
        <v>494</v>
      </c>
      <c r="K197" s="16" t="s">
        <v>21</v>
      </c>
    </row>
    <row r="198" ht="15.75" customHeight="1">
      <c r="A198" s="15">
        <f t="shared" si="13"/>
        <v>145</v>
      </c>
      <c r="B198" s="16" t="s">
        <v>495</v>
      </c>
      <c r="C198" s="17" t="s">
        <v>496</v>
      </c>
      <c r="D198" s="17" t="s">
        <v>497</v>
      </c>
      <c r="E198" s="15" t="s">
        <v>16</v>
      </c>
      <c r="F198" s="15" t="s">
        <v>491</v>
      </c>
      <c r="G198" s="15" t="s">
        <v>18</v>
      </c>
      <c r="H198" s="18" t="s">
        <v>27</v>
      </c>
      <c r="I198" s="15" t="s">
        <v>19</v>
      </c>
      <c r="J198" s="17" t="s">
        <v>155</v>
      </c>
      <c r="K198" s="16" t="s">
        <v>21</v>
      </c>
    </row>
    <row r="199" ht="15.75" customHeight="1">
      <c r="A199" s="15">
        <f t="shared" si="13"/>
        <v>146</v>
      </c>
      <c r="B199" s="16" t="s">
        <v>498</v>
      </c>
      <c r="C199" s="17" t="s">
        <v>499</v>
      </c>
      <c r="D199" s="17" t="s">
        <v>500</v>
      </c>
      <c r="E199" s="15" t="s">
        <v>25</v>
      </c>
      <c r="F199" s="15" t="s">
        <v>495</v>
      </c>
      <c r="G199" s="15" t="s">
        <v>75</v>
      </c>
      <c r="H199" s="18" t="s">
        <v>27</v>
      </c>
      <c r="I199" s="15" t="s">
        <v>19</v>
      </c>
      <c r="J199" s="19" t="s">
        <v>501</v>
      </c>
      <c r="K199" s="16" t="s">
        <v>21</v>
      </c>
    </row>
    <row r="200" ht="15.75" customHeight="1">
      <c r="A200" s="15">
        <f t="shared" si="13"/>
        <v>147</v>
      </c>
      <c r="B200" s="16" t="s">
        <v>502</v>
      </c>
      <c r="C200" s="17" t="s">
        <v>503</v>
      </c>
      <c r="D200" s="17" t="s">
        <v>504</v>
      </c>
      <c r="E200" s="15" t="s">
        <v>25</v>
      </c>
      <c r="F200" s="15" t="s">
        <v>495</v>
      </c>
      <c r="G200" s="15" t="s">
        <v>168</v>
      </c>
      <c r="H200" s="18" t="s">
        <v>47</v>
      </c>
      <c r="I200" s="15" t="s">
        <v>48</v>
      </c>
      <c r="J200" s="19" t="s">
        <v>505</v>
      </c>
      <c r="K200" s="16" t="s">
        <v>21</v>
      </c>
    </row>
    <row r="201" ht="15.75" customHeight="1">
      <c r="A201" s="15">
        <f t="shared" si="13"/>
        <v>148</v>
      </c>
      <c r="B201" s="16" t="s">
        <v>506</v>
      </c>
      <c r="C201" s="19" t="s">
        <v>507</v>
      </c>
      <c r="D201" s="19" t="s">
        <v>508</v>
      </c>
      <c r="E201" s="15" t="s">
        <v>25</v>
      </c>
      <c r="F201" s="15" t="s">
        <v>495</v>
      </c>
      <c r="G201" s="20" t="s">
        <v>509</v>
      </c>
      <c r="H201" s="18" t="s">
        <v>47</v>
      </c>
      <c r="I201" s="15" t="s">
        <v>48</v>
      </c>
      <c r="J201" s="19" t="s">
        <v>510</v>
      </c>
      <c r="K201" s="16"/>
    </row>
    <row r="202" ht="15.75" customHeight="1">
      <c r="A202" s="15">
        <f t="shared" si="13"/>
        <v>149</v>
      </c>
      <c r="B202" s="16" t="s">
        <v>511</v>
      </c>
      <c r="C202" s="17" t="s">
        <v>512</v>
      </c>
      <c r="D202" s="28" t="s">
        <v>513</v>
      </c>
      <c r="E202" s="15" t="s">
        <v>25</v>
      </c>
      <c r="F202" s="15" t="s">
        <v>421</v>
      </c>
      <c r="G202" s="15" t="s">
        <v>75</v>
      </c>
      <c r="H202" s="18" t="s">
        <v>47</v>
      </c>
      <c r="I202" s="15" t="s">
        <v>48</v>
      </c>
      <c r="J202" s="19" t="s">
        <v>514</v>
      </c>
      <c r="K202" s="16" t="s">
        <v>21</v>
      </c>
    </row>
    <row r="203" ht="15.75" customHeight="1">
      <c r="A203" s="21"/>
      <c r="B203" s="22"/>
      <c r="C203" s="22"/>
      <c r="D203" s="22"/>
      <c r="E203" s="22"/>
      <c r="F203" s="22"/>
      <c r="G203" s="22"/>
      <c r="H203" s="22"/>
      <c r="I203" s="22"/>
      <c r="J203" s="22"/>
      <c r="K203" s="23"/>
    </row>
    <row r="204" ht="15.75" customHeight="1">
      <c r="A204" s="24"/>
      <c r="B204" s="25"/>
      <c r="C204" s="25"/>
      <c r="D204" s="25"/>
      <c r="E204" s="25"/>
      <c r="F204" s="25"/>
      <c r="G204" s="25"/>
      <c r="H204" s="25"/>
      <c r="I204" s="25"/>
      <c r="J204" s="25"/>
      <c r="K204" s="26"/>
    </row>
    <row r="205" ht="15.75" customHeight="1">
      <c r="A205" s="8" t="s">
        <v>1</v>
      </c>
      <c r="B205" s="8" t="s">
        <v>2</v>
      </c>
      <c r="C205" s="9" t="s">
        <v>3</v>
      </c>
      <c r="D205" s="9" t="s">
        <v>4</v>
      </c>
      <c r="E205" s="8" t="s">
        <v>5</v>
      </c>
      <c r="F205" s="8" t="s">
        <v>6</v>
      </c>
      <c r="G205" s="8" t="s">
        <v>7</v>
      </c>
      <c r="H205" s="10" t="s">
        <v>8</v>
      </c>
      <c r="I205" s="8" t="s">
        <v>9</v>
      </c>
      <c r="J205" s="9" t="s">
        <v>10</v>
      </c>
      <c r="K205" s="11" t="s">
        <v>11</v>
      </c>
    </row>
    <row r="206" ht="15.75" customHeight="1">
      <c r="A206" s="27" t="s">
        <v>515</v>
      </c>
      <c r="B206" s="2"/>
      <c r="C206" s="2"/>
      <c r="D206" s="2"/>
      <c r="E206" s="2"/>
      <c r="F206" s="2"/>
      <c r="G206" s="2"/>
      <c r="H206" s="2"/>
      <c r="I206" s="2"/>
      <c r="J206" s="13"/>
      <c r="K206" s="14"/>
    </row>
    <row r="207" ht="15.75" customHeight="1">
      <c r="A207" s="15">
        <f>A202+1</f>
        <v>150</v>
      </c>
      <c r="B207" s="34" t="s">
        <v>516</v>
      </c>
      <c r="C207" s="17" t="s">
        <v>517</v>
      </c>
      <c r="D207" s="17" t="s">
        <v>518</v>
      </c>
      <c r="E207" s="15" t="s">
        <v>16</v>
      </c>
      <c r="F207" s="15" t="s">
        <v>421</v>
      </c>
      <c r="G207" s="15" t="s">
        <v>18</v>
      </c>
      <c r="H207" s="18" t="s">
        <v>47</v>
      </c>
      <c r="I207" s="15" t="s">
        <v>48</v>
      </c>
      <c r="J207" s="19" t="s">
        <v>519</v>
      </c>
      <c r="K207" s="16" t="s">
        <v>21</v>
      </c>
    </row>
    <row r="208" ht="15.75" customHeight="1">
      <c r="A208" s="15">
        <f t="shared" ref="A208:A213" si="14">A207+1</f>
        <v>151</v>
      </c>
      <c r="B208" s="34" t="s">
        <v>520</v>
      </c>
      <c r="C208" s="17" t="s">
        <v>521</v>
      </c>
      <c r="D208" s="17" t="s">
        <v>522</v>
      </c>
      <c r="E208" s="15" t="s">
        <v>16</v>
      </c>
      <c r="F208" s="20" t="s">
        <v>516</v>
      </c>
      <c r="G208" s="15" t="s">
        <v>18</v>
      </c>
      <c r="H208" s="18" t="s">
        <v>239</v>
      </c>
      <c r="I208" s="15" t="s">
        <v>19</v>
      </c>
      <c r="J208" s="17" t="s">
        <v>155</v>
      </c>
      <c r="K208" s="16" t="s">
        <v>21</v>
      </c>
    </row>
    <row r="209" ht="15.75" customHeight="1">
      <c r="A209" s="15">
        <f t="shared" si="14"/>
        <v>152</v>
      </c>
      <c r="B209" s="34" t="s">
        <v>523</v>
      </c>
      <c r="C209" s="17" t="s">
        <v>524</v>
      </c>
      <c r="D209" s="17" t="s">
        <v>525</v>
      </c>
      <c r="E209" s="15" t="s">
        <v>25</v>
      </c>
      <c r="F209" s="20" t="s">
        <v>520</v>
      </c>
      <c r="G209" s="15" t="s">
        <v>243</v>
      </c>
      <c r="H209" s="18" t="s">
        <v>27</v>
      </c>
      <c r="I209" s="15" t="s">
        <v>19</v>
      </c>
      <c r="J209" s="17"/>
      <c r="K209" s="16" t="s">
        <v>21</v>
      </c>
    </row>
    <row r="210" ht="15.75" customHeight="1">
      <c r="A210" s="15">
        <f t="shared" si="14"/>
        <v>153</v>
      </c>
      <c r="B210" s="34" t="s">
        <v>526</v>
      </c>
      <c r="C210" s="17" t="s">
        <v>165</v>
      </c>
      <c r="D210" s="17" t="s">
        <v>527</v>
      </c>
      <c r="E210" s="15" t="s">
        <v>167</v>
      </c>
      <c r="F210" s="20" t="s">
        <v>520</v>
      </c>
      <c r="G210" s="15" t="s">
        <v>168</v>
      </c>
      <c r="H210" s="18" t="s">
        <v>27</v>
      </c>
      <c r="I210" s="15" t="s">
        <v>19</v>
      </c>
      <c r="J210" s="17" t="s">
        <v>528</v>
      </c>
      <c r="K210" s="16" t="s">
        <v>21</v>
      </c>
    </row>
    <row r="211" ht="15.75" customHeight="1">
      <c r="A211" s="15">
        <f t="shared" si="14"/>
        <v>154</v>
      </c>
      <c r="B211" s="34" t="s">
        <v>529</v>
      </c>
      <c r="C211" s="17" t="s">
        <v>171</v>
      </c>
      <c r="D211" s="17" t="s">
        <v>530</v>
      </c>
      <c r="E211" s="15" t="s">
        <v>167</v>
      </c>
      <c r="F211" s="20" t="s">
        <v>520</v>
      </c>
      <c r="G211" s="15" t="s">
        <v>173</v>
      </c>
      <c r="H211" s="18" t="s">
        <v>27</v>
      </c>
      <c r="I211" s="15" t="s">
        <v>19</v>
      </c>
      <c r="J211" s="17"/>
      <c r="K211" s="16" t="s">
        <v>21</v>
      </c>
    </row>
    <row r="212" ht="15.75" customHeight="1">
      <c r="A212" s="15">
        <f t="shared" si="14"/>
        <v>155</v>
      </c>
      <c r="B212" s="34" t="s">
        <v>531</v>
      </c>
      <c r="C212" s="17" t="s">
        <v>175</v>
      </c>
      <c r="D212" s="17" t="s">
        <v>532</v>
      </c>
      <c r="E212" s="15" t="s">
        <v>25</v>
      </c>
      <c r="F212" s="20" t="s">
        <v>520</v>
      </c>
      <c r="G212" s="20" t="s">
        <v>177</v>
      </c>
      <c r="H212" s="18" t="s">
        <v>27</v>
      </c>
      <c r="I212" s="15" t="s">
        <v>19</v>
      </c>
      <c r="J212" s="17"/>
      <c r="K212" s="16" t="s">
        <v>21</v>
      </c>
    </row>
    <row r="213" ht="15.75" customHeight="1">
      <c r="A213" s="15">
        <f t="shared" si="14"/>
        <v>156</v>
      </c>
      <c r="B213" s="34" t="s">
        <v>533</v>
      </c>
      <c r="C213" s="17" t="s">
        <v>534</v>
      </c>
      <c r="D213" s="17" t="s">
        <v>535</v>
      </c>
      <c r="E213" s="15" t="s">
        <v>25</v>
      </c>
      <c r="F213" s="20" t="s">
        <v>520</v>
      </c>
      <c r="G213" s="20" t="s">
        <v>377</v>
      </c>
      <c r="H213" s="18" t="s">
        <v>27</v>
      </c>
      <c r="I213" s="15" t="s">
        <v>19</v>
      </c>
      <c r="J213" s="17"/>
      <c r="K213" s="16" t="s">
        <v>21</v>
      </c>
    </row>
    <row r="214" ht="15.75" customHeight="1">
      <c r="A214" s="21"/>
      <c r="B214" s="22"/>
      <c r="C214" s="22"/>
      <c r="D214" s="22"/>
      <c r="E214" s="22"/>
      <c r="F214" s="22"/>
      <c r="G214" s="22"/>
      <c r="H214" s="22"/>
      <c r="I214" s="22"/>
      <c r="J214" s="22"/>
      <c r="K214" s="23"/>
    </row>
    <row r="215" ht="15.75" customHeight="1">
      <c r="A215" s="24"/>
      <c r="B215" s="25"/>
      <c r="C215" s="25"/>
      <c r="D215" s="25"/>
      <c r="E215" s="25"/>
      <c r="F215" s="25"/>
      <c r="G215" s="25"/>
      <c r="H215" s="25"/>
      <c r="I215" s="25"/>
      <c r="J215" s="25"/>
      <c r="K215" s="26"/>
    </row>
    <row r="216" ht="15.75" customHeight="1">
      <c r="A216" s="8" t="s">
        <v>1</v>
      </c>
      <c r="B216" s="8" t="s">
        <v>2</v>
      </c>
      <c r="C216" s="9" t="s">
        <v>3</v>
      </c>
      <c r="D216" s="9" t="s">
        <v>4</v>
      </c>
      <c r="E216" s="8" t="s">
        <v>5</v>
      </c>
      <c r="F216" s="8" t="s">
        <v>6</v>
      </c>
      <c r="G216" s="8" t="s">
        <v>7</v>
      </c>
      <c r="H216" s="10" t="s">
        <v>8</v>
      </c>
      <c r="I216" s="8" t="s">
        <v>9</v>
      </c>
      <c r="J216" s="9" t="s">
        <v>10</v>
      </c>
      <c r="K216" s="11" t="s">
        <v>11</v>
      </c>
    </row>
    <row r="217" ht="15.75" customHeight="1">
      <c r="A217" s="27" t="s">
        <v>536</v>
      </c>
      <c r="B217" s="2"/>
      <c r="C217" s="2"/>
      <c r="D217" s="2"/>
      <c r="E217" s="2"/>
      <c r="F217" s="2"/>
      <c r="G217" s="2"/>
      <c r="H217" s="2"/>
      <c r="I217" s="2"/>
      <c r="J217" s="13"/>
      <c r="K217" s="14"/>
    </row>
    <row r="218" ht="15.75" customHeight="1">
      <c r="A218" s="15">
        <f>A213+1</f>
        <v>157</v>
      </c>
      <c r="B218" s="34" t="s">
        <v>537</v>
      </c>
      <c r="C218" s="19" t="s">
        <v>538</v>
      </c>
      <c r="D218" s="19" t="s">
        <v>539</v>
      </c>
      <c r="E218" s="15" t="s">
        <v>16</v>
      </c>
      <c r="F218" s="15" t="str">
        <f>B183</f>
        <v>G05</v>
      </c>
      <c r="G218" s="15" t="s">
        <v>18</v>
      </c>
      <c r="H218" s="35" t="s">
        <v>27</v>
      </c>
      <c r="I218" s="20" t="s">
        <v>19</v>
      </c>
      <c r="J218" s="19" t="s">
        <v>540</v>
      </c>
      <c r="K218" s="16" t="s">
        <v>21</v>
      </c>
    </row>
    <row r="219" ht="15.75" customHeight="1">
      <c r="A219" s="15">
        <f t="shared" ref="A219:A244" si="15">A218+1</f>
        <v>158</v>
      </c>
      <c r="B219" s="34" t="s">
        <v>541</v>
      </c>
      <c r="C219" s="17" t="s">
        <v>335</v>
      </c>
      <c r="D219" s="17" t="s">
        <v>336</v>
      </c>
      <c r="E219" s="15" t="s">
        <v>25</v>
      </c>
      <c r="F219" s="15" t="str">
        <f>B218</f>
        <v>Gb01</v>
      </c>
      <c r="G219" s="15" t="s">
        <v>75</v>
      </c>
      <c r="H219" s="18" t="s">
        <v>27</v>
      </c>
      <c r="I219" s="15" t="s">
        <v>19</v>
      </c>
      <c r="J219" s="17" t="s">
        <v>337</v>
      </c>
      <c r="K219" s="16" t="s">
        <v>21</v>
      </c>
    </row>
    <row r="220" ht="15.75" customHeight="1">
      <c r="A220" s="15">
        <f t="shared" si="15"/>
        <v>159</v>
      </c>
      <c r="B220" s="34" t="s">
        <v>542</v>
      </c>
      <c r="C220" s="17" t="s">
        <v>339</v>
      </c>
      <c r="D220" s="17" t="s">
        <v>340</v>
      </c>
      <c r="E220" s="15" t="s">
        <v>16</v>
      </c>
      <c r="F220" s="15" t="str">
        <f>B218</f>
        <v>Gb01</v>
      </c>
      <c r="G220" s="15" t="s">
        <v>18</v>
      </c>
      <c r="H220" s="18" t="s">
        <v>47</v>
      </c>
      <c r="I220" s="15" t="s">
        <v>48</v>
      </c>
      <c r="J220" s="17"/>
      <c r="K220" s="16" t="s">
        <v>21</v>
      </c>
    </row>
    <row r="221" ht="15.75" customHeight="1">
      <c r="A221" s="15">
        <f t="shared" si="15"/>
        <v>160</v>
      </c>
      <c r="B221" s="34" t="s">
        <v>543</v>
      </c>
      <c r="C221" s="17" t="s">
        <v>342</v>
      </c>
      <c r="D221" s="17" t="s">
        <v>343</v>
      </c>
      <c r="E221" s="15" t="s">
        <v>25</v>
      </c>
      <c r="F221" s="15" t="str">
        <f>B220</f>
        <v>Gb03</v>
      </c>
      <c r="G221" s="20" t="s">
        <v>177</v>
      </c>
      <c r="H221" s="18" t="s">
        <v>47</v>
      </c>
      <c r="I221" s="15" t="s">
        <v>48</v>
      </c>
      <c r="J221" s="17"/>
      <c r="K221" s="16" t="s">
        <v>21</v>
      </c>
    </row>
    <row r="222" ht="15.75" customHeight="1">
      <c r="A222" s="15">
        <f t="shared" si="15"/>
        <v>161</v>
      </c>
      <c r="B222" s="34" t="s">
        <v>544</v>
      </c>
      <c r="C222" s="17" t="s">
        <v>345</v>
      </c>
      <c r="D222" s="17" t="s">
        <v>346</v>
      </c>
      <c r="E222" s="15" t="s">
        <v>25</v>
      </c>
      <c r="F222" s="15" t="str">
        <f>B220</f>
        <v>Gb03</v>
      </c>
      <c r="G222" s="15" t="s">
        <v>75</v>
      </c>
      <c r="H222" s="18" t="s">
        <v>47</v>
      </c>
      <c r="I222" s="15" t="s">
        <v>48</v>
      </c>
      <c r="J222" s="19" t="s">
        <v>347</v>
      </c>
      <c r="K222" s="16" t="s">
        <v>21</v>
      </c>
    </row>
    <row r="223" ht="15.75" customHeight="1">
      <c r="A223" s="15">
        <f t="shared" si="15"/>
        <v>162</v>
      </c>
      <c r="B223" s="34" t="s">
        <v>545</v>
      </c>
      <c r="C223" s="17" t="s">
        <v>349</v>
      </c>
      <c r="D223" s="17" t="s">
        <v>350</v>
      </c>
      <c r="E223" s="15" t="s">
        <v>25</v>
      </c>
      <c r="F223" s="15" t="str">
        <f>B220</f>
        <v>Gb03</v>
      </c>
      <c r="G223" s="20" t="s">
        <v>177</v>
      </c>
      <c r="H223" s="18" t="s">
        <v>47</v>
      </c>
      <c r="I223" s="15" t="s">
        <v>48</v>
      </c>
      <c r="J223" s="17"/>
      <c r="K223" s="16" t="s">
        <v>21</v>
      </c>
    </row>
    <row r="224" ht="15.75" customHeight="1">
      <c r="A224" s="15">
        <f t="shared" si="15"/>
        <v>163</v>
      </c>
      <c r="B224" s="34" t="s">
        <v>546</v>
      </c>
      <c r="C224" s="17" t="s">
        <v>352</v>
      </c>
      <c r="D224" s="17" t="s">
        <v>353</v>
      </c>
      <c r="E224" s="15" t="s">
        <v>25</v>
      </c>
      <c r="F224" s="15" t="str">
        <f>B220</f>
        <v>Gb03</v>
      </c>
      <c r="G224" s="15" t="s">
        <v>75</v>
      </c>
      <c r="H224" s="18" t="s">
        <v>47</v>
      </c>
      <c r="I224" s="15" t="s">
        <v>48</v>
      </c>
      <c r="J224" s="19" t="s">
        <v>354</v>
      </c>
      <c r="K224" s="16" t="s">
        <v>21</v>
      </c>
    </row>
    <row r="225" ht="15.75" customHeight="1">
      <c r="A225" s="15">
        <f t="shared" si="15"/>
        <v>164</v>
      </c>
      <c r="B225" s="34" t="s">
        <v>547</v>
      </c>
      <c r="C225" s="17" t="s">
        <v>356</v>
      </c>
      <c r="D225" s="17" t="s">
        <v>357</v>
      </c>
      <c r="E225" s="15" t="s">
        <v>25</v>
      </c>
      <c r="F225" s="15" t="str">
        <f>B220</f>
        <v>Gb03</v>
      </c>
      <c r="G225" s="20" t="s">
        <v>177</v>
      </c>
      <c r="H225" s="18" t="s">
        <v>47</v>
      </c>
      <c r="I225" s="15" t="s">
        <v>48</v>
      </c>
      <c r="J225" s="17"/>
      <c r="K225" s="16" t="s">
        <v>21</v>
      </c>
    </row>
    <row r="226" ht="15.75" customHeight="1">
      <c r="A226" s="15">
        <f t="shared" si="15"/>
        <v>165</v>
      </c>
      <c r="B226" s="34" t="s">
        <v>548</v>
      </c>
      <c r="C226" s="17" t="s">
        <v>359</v>
      </c>
      <c r="D226" s="17" t="s">
        <v>360</v>
      </c>
      <c r="E226" s="15" t="s">
        <v>25</v>
      </c>
      <c r="F226" s="15" t="str">
        <f>B218</f>
        <v>Gb01</v>
      </c>
      <c r="G226" s="15" t="s">
        <v>87</v>
      </c>
      <c r="H226" s="18" t="s">
        <v>27</v>
      </c>
      <c r="I226" s="15" t="s">
        <v>19</v>
      </c>
      <c r="J226" s="19" t="s">
        <v>361</v>
      </c>
      <c r="K226" s="16" t="s">
        <v>21</v>
      </c>
    </row>
    <row r="227" ht="15.75" customHeight="1">
      <c r="A227" s="15">
        <f t="shared" si="15"/>
        <v>166</v>
      </c>
      <c r="B227" s="34" t="s">
        <v>549</v>
      </c>
      <c r="C227" s="17" t="s">
        <v>363</v>
      </c>
      <c r="D227" s="17" t="s">
        <v>364</v>
      </c>
      <c r="E227" s="15" t="s">
        <v>25</v>
      </c>
      <c r="F227" s="15" t="str">
        <f>B218</f>
        <v>Gb01</v>
      </c>
      <c r="G227" s="20" t="s">
        <v>181</v>
      </c>
      <c r="H227" s="18" t="s">
        <v>47</v>
      </c>
      <c r="I227" s="15" t="s">
        <v>48</v>
      </c>
      <c r="J227" s="17" t="s">
        <v>365</v>
      </c>
      <c r="K227" s="16" t="s">
        <v>21</v>
      </c>
    </row>
    <row r="228" ht="15.75" customHeight="1">
      <c r="A228" s="15">
        <f t="shared" si="15"/>
        <v>167</v>
      </c>
      <c r="B228" s="34" t="s">
        <v>550</v>
      </c>
      <c r="C228" s="17" t="s">
        <v>367</v>
      </c>
      <c r="D228" s="17" t="s">
        <v>368</v>
      </c>
      <c r="E228" s="15" t="s">
        <v>25</v>
      </c>
      <c r="F228" s="15" t="str">
        <f>B218</f>
        <v>Gb01</v>
      </c>
      <c r="G228" s="15" t="s">
        <v>87</v>
      </c>
      <c r="H228" s="18" t="s">
        <v>47</v>
      </c>
      <c r="I228" s="15" t="s">
        <v>48</v>
      </c>
      <c r="J228" s="19" t="s">
        <v>369</v>
      </c>
      <c r="K228" s="16" t="s">
        <v>21</v>
      </c>
    </row>
    <row r="229" ht="15.75" customHeight="1">
      <c r="A229" s="15">
        <f t="shared" si="15"/>
        <v>168</v>
      </c>
      <c r="B229" s="34" t="s">
        <v>551</v>
      </c>
      <c r="C229" s="19" t="s">
        <v>371</v>
      </c>
      <c r="D229" s="17" t="s">
        <v>372</v>
      </c>
      <c r="E229" s="15" t="s">
        <v>25</v>
      </c>
      <c r="F229" s="15" t="str">
        <f>B218</f>
        <v>Gb01</v>
      </c>
      <c r="G229" s="20" t="s">
        <v>373</v>
      </c>
      <c r="H229" s="18" t="s">
        <v>47</v>
      </c>
      <c r="I229" s="15" t="s">
        <v>48</v>
      </c>
      <c r="J229" s="17"/>
      <c r="K229" s="16" t="s">
        <v>21</v>
      </c>
    </row>
    <row r="230" ht="15.75" customHeight="1">
      <c r="A230" s="15">
        <f t="shared" si="15"/>
        <v>169</v>
      </c>
      <c r="B230" s="34" t="s">
        <v>552</v>
      </c>
      <c r="C230" s="17" t="s">
        <v>375</v>
      </c>
      <c r="D230" s="17" t="s">
        <v>376</v>
      </c>
      <c r="E230" s="15" t="s">
        <v>25</v>
      </c>
      <c r="F230" s="15" t="str">
        <f>B218</f>
        <v>Gb01</v>
      </c>
      <c r="G230" s="20" t="s">
        <v>377</v>
      </c>
      <c r="H230" s="18" t="s">
        <v>47</v>
      </c>
      <c r="I230" s="15" t="s">
        <v>48</v>
      </c>
      <c r="J230" s="19" t="s">
        <v>553</v>
      </c>
      <c r="K230" s="16" t="s">
        <v>21</v>
      </c>
    </row>
    <row r="231" ht="15.75" customHeight="1">
      <c r="A231" s="15">
        <f t="shared" si="15"/>
        <v>170</v>
      </c>
      <c r="B231" s="34" t="s">
        <v>554</v>
      </c>
      <c r="C231" s="17" t="s">
        <v>380</v>
      </c>
      <c r="D231" s="17" t="s">
        <v>381</v>
      </c>
      <c r="E231" s="15" t="s">
        <v>25</v>
      </c>
      <c r="F231" s="15" t="str">
        <f>B218</f>
        <v>Gb01</v>
      </c>
      <c r="G231" s="20" t="s">
        <v>382</v>
      </c>
      <c r="H231" s="18" t="s">
        <v>47</v>
      </c>
      <c r="I231" s="15" t="s">
        <v>48</v>
      </c>
      <c r="J231" s="19" t="s">
        <v>555</v>
      </c>
      <c r="K231" s="16" t="s">
        <v>21</v>
      </c>
    </row>
    <row r="232" ht="15.75" customHeight="1">
      <c r="A232" s="15">
        <f t="shared" si="15"/>
        <v>171</v>
      </c>
      <c r="B232" s="34" t="s">
        <v>556</v>
      </c>
      <c r="C232" s="17" t="s">
        <v>385</v>
      </c>
      <c r="D232" s="17" t="s">
        <v>386</v>
      </c>
      <c r="E232" s="15" t="s">
        <v>25</v>
      </c>
      <c r="F232" s="15" t="str">
        <f>B218</f>
        <v>Gb01</v>
      </c>
      <c r="G232" s="20" t="s">
        <v>177</v>
      </c>
      <c r="H232" s="18" t="s">
        <v>47</v>
      </c>
      <c r="I232" s="15" t="s">
        <v>48</v>
      </c>
      <c r="J232" s="17"/>
      <c r="K232" s="16" t="s">
        <v>21</v>
      </c>
    </row>
    <row r="233" ht="15.75" customHeight="1">
      <c r="A233" s="15">
        <f t="shared" si="15"/>
        <v>172</v>
      </c>
      <c r="B233" s="34" t="s">
        <v>557</v>
      </c>
      <c r="C233" s="17" t="s">
        <v>388</v>
      </c>
      <c r="D233" s="17" t="s">
        <v>389</v>
      </c>
      <c r="E233" s="15" t="s">
        <v>25</v>
      </c>
      <c r="F233" s="15" t="str">
        <f>B218</f>
        <v>Gb01</v>
      </c>
      <c r="G233" s="20" t="s">
        <v>177</v>
      </c>
      <c r="H233" s="18" t="s">
        <v>47</v>
      </c>
      <c r="I233" s="15" t="s">
        <v>48</v>
      </c>
      <c r="J233" s="17"/>
      <c r="K233" s="16" t="s">
        <v>21</v>
      </c>
    </row>
    <row r="234" ht="15.75" customHeight="1">
      <c r="A234" s="15">
        <f t="shared" si="15"/>
        <v>173</v>
      </c>
      <c r="B234" s="34" t="s">
        <v>558</v>
      </c>
      <c r="C234" s="17" t="s">
        <v>392</v>
      </c>
      <c r="D234" s="17" t="s">
        <v>393</v>
      </c>
      <c r="E234" s="15" t="s">
        <v>16</v>
      </c>
      <c r="F234" s="15" t="str">
        <f>B218</f>
        <v>Gb01</v>
      </c>
      <c r="G234" s="15" t="s">
        <v>18</v>
      </c>
      <c r="H234" s="18" t="s">
        <v>27</v>
      </c>
      <c r="I234" s="15" t="s">
        <v>19</v>
      </c>
      <c r="J234" s="17"/>
      <c r="K234" s="16" t="s">
        <v>21</v>
      </c>
    </row>
    <row r="235" ht="15.75" customHeight="1">
      <c r="A235" s="15">
        <f t="shared" si="15"/>
        <v>174</v>
      </c>
      <c r="B235" s="34" t="s">
        <v>559</v>
      </c>
      <c r="C235" s="17" t="s">
        <v>191</v>
      </c>
      <c r="D235" s="17" t="s">
        <v>192</v>
      </c>
      <c r="E235" s="15" t="s">
        <v>25</v>
      </c>
      <c r="F235" s="15" t="str">
        <f>B234</f>
        <v>Gb17</v>
      </c>
      <c r="G235" s="20" t="s">
        <v>177</v>
      </c>
      <c r="H235" s="18" t="s">
        <v>27</v>
      </c>
      <c r="I235" s="15" t="s">
        <v>19</v>
      </c>
      <c r="J235" s="17"/>
      <c r="K235" s="16" t="s">
        <v>21</v>
      </c>
    </row>
    <row r="236" ht="15.75" customHeight="1">
      <c r="A236" s="15">
        <f t="shared" si="15"/>
        <v>175</v>
      </c>
      <c r="B236" s="34" t="s">
        <v>560</v>
      </c>
      <c r="C236" s="17" t="s">
        <v>194</v>
      </c>
      <c r="D236" s="17" t="s">
        <v>195</v>
      </c>
      <c r="E236" s="15" t="s">
        <v>25</v>
      </c>
      <c r="F236" s="15" t="str">
        <f>B234</f>
        <v>Gb17</v>
      </c>
      <c r="G236" s="20" t="s">
        <v>181</v>
      </c>
      <c r="H236" s="18" t="s">
        <v>27</v>
      </c>
      <c r="I236" s="15" t="s">
        <v>19</v>
      </c>
      <c r="J236" s="17"/>
      <c r="K236" s="16" t="s">
        <v>21</v>
      </c>
    </row>
    <row r="237" ht="15.75" customHeight="1">
      <c r="A237" s="15">
        <f t="shared" si="15"/>
        <v>176</v>
      </c>
      <c r="B237" s="34" t="s">
        <v>561</v>
      </c>
      <c r="C237" s="17" t="s">
        <v>197</v>
      </c>
      <c r="D237" s="17" t="s">
        <v>198</v>
      </c>
      <c r="E237" s="15" t="s">
        <v>25</v>
      </c>
      <c r="F237" s="15" t="str">
        <f>B234</f>
        <v>Gb17</v>
      </c>
      <c r="G237" s="20" t="s">
        <v>181</v>
      </c>
      <c r="H237" s="18" t="s">
        <v>47</v>
      </c>
      <c r="I237" s="15" t="s">
        <v>48</v>
      </c>
      <c r="J237" s="17"/>
      <c r="K237" s="16" t="s">
        <v>21</v>
      </c>
    </row>
    <row r="238" ht="15.75" customHeight="1">
      <c r="A238" s="15">
        <f t="shared" si="15"/>
        <v>177</v>
      </c>
      <c r="B238" s="34" t="s">
        <v>562</v>
      </c>
      <c r="C238" s="17" t="s">
        <v>200</v>
      </c>
      <c r="D238" s="17" t="s">
        <v>201</v>
      </c>
      <c r="E238" s="15" t="s">
        <v>25</v>
      </c>
      <c r="F238" s="15" t="str">
        <f>B234</f>
        <v>Gb17</v>
      </c>
      <c r="G238" s="20" t="s">
        <v>177</v>
      </c>
      <c r="H238" s="18" t="s">
        <v>47</v>
      </c>
      <c r="I238" s="15" t="s">
        <v>48</v>
      </c>
      <c r="J238" s="17"/>
      <c r="K238" s="16" t="s">
        <v>21</v>
      </c>
    </row>
    <row r="239" ht="15.75" customHeight="1">
      <c r="A239" s="15">
        <f t="shared" si="15"/>
        <v>178</v>
      </c>
      <c r="B239" s="34" t="s">
        <v>563</v>
      </c>
      <c r="C239" s="17" t="s">
        <v>203</v>
      </c>
      <c r="D239" s="17" t="s">
        <v>204</v>
      </c>
      <c r="E239" s="15" t="s">
        <v>25</v>
      </c>
      <c r="F239" s="15" t="str">
        <f>B234</f>
        <v>Gb17</v>
      </c>
      <c r="G239" s="15" t="s">
        <v>46</v>
      </c>
      <c r="H239" s="18" t="s">
        <v>27</v>
      </c>
      <c r="I239" s="15" t="s">
        <v>19</v>
      </c>
      <c r="J239" s="17"/>
      <c r="K239" s="16" t="s">
        <v>21</v>
      </c>
    </row>
    <row r="240" ht="15.75" customHeight="1">
      <c r="A240" s="15">
        <f t="shared" si="15"/>
        <v>179</v>
      </c>
      <c r="B240" s="34" t="s">
        <v>564</v>
      </c>
      <c r="C240" s="17" t="s">
        <v>207</v>
      </c>
      <c r="D240" s="17" t="s">
        <v>208</v>
      </c>
      <c r="E240" s="15" t="s">
        <v>25</v>
      </c>
      <c r="F240" s="15" t="str">
        <f>B234</f>
        <v>Gb17</v>
      </c>
      <c r="G240" s="20" t="s">
        <v>177</v>
      </c>
      <c r="H240" s="18" t="s">
        <v>27</v>
      </c>
      <c r="I240" s="15" t="s">
        <v>19</v>
      </c>
      <c r="J240" s="17"/>
      <c r="K240" s="16" t="s">
        <v>21</v>
      </c>
    </row>
    <row r="241" ht="15.75" customHeight="1">
      <c r="A241" s="15">
        <f t="shared" si="15"/>
        <v>180</v>
      </c>
      <c r="B241" s="34" t="s">
        <v>565</v>
      </c>
      <c r="C241" s="17" t="s">
        <v>210</v>
      </c>
      <c r="D241" s="17" t="s">
        <v>211</v>
      </c>
      <c r="E241" s="15" t="s">
        <v>25</v>
      </c>
      <c r="F241" s="15" t="str">
        <f>B234</f>
        <v>Gb17</v>
      </c>
      <c r="G241" s="15" t="s">
        <v>87</v>
      </c>
      <c r="H241" s="18" t="s">
        <v>27</v>
      </c>
      <c r="I241" s="15" t="s">
        <v>19</v>
      </c>
      <c r="J241" s="17"/>
      <c r="K241" s="16" t="s">
        <v>21</v>
      </c>
    </row>
    <row r="242" ht="15.75" customHeight="1">
      <c r="A242" s="15">
        <f t="shared" si="15"/>
        <v>181</v>
      </c>
      <c r="B242" s="34" t="s">
        <v>566</v>
      </c>
      <c r="C242" s="17" t="s">
        <v>213</v>
      </c>
      <c r="D242" s="17" t="s">
        <v>214</v>
      </c>
      <c r="E242" s="15" t="s">
        <v>25</v>
      </c>
      <c r="F242" s="15" t="str">
        <f>B234</f>
        <v>Gb17</v>
      </c>
      <c r="G242" s="15" t="s">
        <v>215</v>
      </c>
      <c r="H242" s="18" t="s">
        <v>47</v>
      </c>
      <c r="I242" s="15" t="s">
        <v>48</v>
      </c>
      <c r="J242" s="17" t="s">
        <v>216</v>
      </c>
      <c r="K242" s="16" t="s">
        <v>21</v>
      </c>
    </row>
    <row r="243" ht="15.75" customHeight="1">
      <c r="A243" s="15">
        <f t="shared" si="15"/>
        <v>182</v>
      </c>
      <c r="B243" s="34" t="s">
        <v>567</v>
      </c>
      <c r="C243" s="17" t="s">
        <v>218</v>
      </c>
      <c r="D243" s="17" t="s">
        <v>219</v>
      </c>
      <c r="E243" s="15" t="s">
        <v>25</v>
      </c>
      <c r="F243" s="15" t="str">
        <f>B234</f>
        <v>Gb17</v>
      </c>
      <c r="G243" s="15" t="s">
        <v>278</v>
      </c>
      <c r="H243" s="18" t="s">
        <v>47</v>
      </c>
      <c r="I243" s="15" t="s">
        <v>48</v>
      </c>
      <c r="J243" s="17"/>
      <c r="K243" s="16" t="s">
        <v>21</v>
      </c>
    </row>
    <row r="244" ht="15.75" customHeight="1">
      <c r="A244" s="15">
        <f t="shared" si="15"/>
        <v>183</v>
      </c>
      <c r="B244" s="34" t="s">
        <v>568</v>
      </c>
      <c r="C244" s="17" t="s">
        <v>223</v>
      </c>
      <c r="D244" s="17" t="s">
        <v>224</v>
      </c>
      <c r="E244" s="15" t="s">
        <v>25</v>
      </c>
      <c r="F244" s="15" t="str">
        <f>B234</f>
        <v>Gb17</v>
      </c>
      <c r="G244" s="20" t="s">
        <v>177</v>
      </c>
      <c r="H244" s="18" t="s">
        <v>47</v>
      </c>
      <c r="I244" s="15" t="s">
        <v>48</v>
      </c>
      <c r="J244" s="17"/>
      <c r="K244" s="16" t="s">
        <v>21</v>
      </c>
    </row>
    <row r="245" ht="15.75" customHeight="1">
      <c r="A245" s="21"/>
      <c r="B245" s="22"/>
      <c r="C245" s="22"/>
      <c r="D245" s="22"/>
      <c r="E245" s="22"/>
      <c r="F245" s="22"/>
      <c r="G245" s="22"/>
      <c r="H245" s="22"/>
      <c r="I245" s="22"/>
      <c r="J245" s="22"/>
      <c r="K245" s="23"/>
    </row>
    <row r="246" ht="15.75" customHeight="1">
      <c r="A246" s="24"/>
      <c r="B246" s="25"/>
      <c r="C246" s="25"/>
      <c r="D246" s="25"/>
      <c r="E246" s="25"/>
      <c r="F246" s="25"/>
      <c r="G246" s="25"/>
      <c r="H246" s="25"/>
      <c r="I246" s="25"/>
      <c r="J246" s="25"/>
      <c r="K246" s="26"/>
    </row>
    <row r="247" ht="15.75" customHeight="1">
      <c r="A247" s="8" t="s">
        <v>1</v>
      </c>
      <c r="B247" s="8" t="s">
        <v>2</v>
      </c>
      <c r="C247" s="9" t="s">
        <v>3</v>
      </c>
      <c r="D247" s="9" t="s">
        <v>4</v>
      </c>
      <c r="E247" s="8" t="s">
        <v>5</v>
      </c>
      <c r="F247" s="8" t="s">
        <v>6</v>
      </c>
      <c r="G247" s="8" t="s">
        <v>7</v>
      </c>
      <c r="H247" s="10" t="s">
        <v>8</v>
      </c>
      <c r="I247" s="8" t="s">
        <v>9</v>
      </c>
      <c r="J247" s="9" t="s">
        <v>10</v>
      </c>
      <c r="K247" s="11" t="s">
        <v>11</v>
      </c>
    </row>
    <row r="248" ht="15.75" customHeight="1">
      <c r="A248" s="12" t="s">
        <v>569</v>
      </c>
      <c r="B248" s="2"/>
      <c r="C248" s="2"/>
      <c r="D248" s="2"/>
      <c r="E248" s="2"/>
      <c r="F248" s="2"/>
      <c r="G248" s="2"/>
      <c r="H248" s="2"/>
      <c r="I248" s="2"/>
      <c r="J248" s="13"/>
      <c r="K248" s="14"/>
    </row>
    <row r="249" ht="15.75" customHeight="1">
      <c r="A249" s="15">
        <f>A244+1</f>
        <v>184</v>
      </c>
      <c r="B249" s="16" t="s">
        <v>570</v>
      </c>
      <c r="C249" s="17" t="s">
        <v>571</v>
      </c>
      <c r="D249" s="17" t="s">
        <v>572</v>
      </c>
      <c r="E249" s="15" t="s">
        <v>16</v>
      </c>
      <c r="F249" s="15" t="s">
        <v>13</v>
      </c>
      <c r="G249" s="15" t="s">
        <v>18</v>
      </c>
      <c r="H249" s="18" t="s">
        <v>27</v>
      </c>
      <c r="I249" s="15" t="s">
        <v>19</v>
      </c>
      <c r="J249" s="17"/>
      <c r="K249" s="16" t="s">
        <v>21</v>
      </c>
    </row>
    <row r="250" ht="15.75" customHeight="1">
      <c r="A250" s="15">
        <f t="shared" ref="A250:A262" si="16">A249+1</f>
        <v>185</v>
      </c>
      <c r="B250" s="16" t="s">
        <v>573</v>
      </c>
      <c r="C250" s="17" t="s">
        <v>574</v>
      </c>
      <c r="D250" s="17" t="s">
        <v>575</v>
      </c>
      <c r="E250" s="15" t="s">
        <v>16</v>
      </c>
      <c r="F250" s="15" t="str">
        <f t="shared" ref="F250:F251" si="17">B249</f>
        <v>H01</v>
      </c>
      <c r="G250" s="15" t="s">
        <v>18</v>
      </c>
      <c r="H250" s="18" t="s">
        <v>47</v>
      </c>
      <c r="I250" s="15" t="s">
        <v>48</v>
      </c>
      <c r="J250" s="17"/>
      <c r="K250" s="16" t="s">
        <v>21</v>
      </c>
    </row>
    <row r="251" ht="15.75" customHeight="1">
      <c r="A251" s="15">
        <f t="shared" si="16"/>
        <v>186</v>
      </c>
      <c r="B251" s="16" t="s">
        <v>576</v>
      </c>
      <c r="C251" s="17" t="s">
        <v>577</v>
      </c>
      <c r="D251" s="17" t="s">
        <v>578</v>
      </c>
      <c r="E251" s="15" t="s">
        <v>25</v>
      </c>
      <c r="F251" s="15" t="str">
        <f t="shared" si="17"/>
        <v>H02</v>
      </c>
      <c r="G251" s="15" t="s">
        <v>75</v>
      </c>
      <c r="H251" s="18" t="s">
        <v>27</v>
      </c>
      <c r="I251" s="15" t="s">
        <v>19</v>
      </c>
      <c r="J251" s="17" t="s">
        <v>579</v>
      </c>
      <c r="K251" s="16" t="s">
        <v>21</v>
      </c>
    </row>
    <row r="252" ht="15.75" customHeight="1">
      <c r="A252" s="15">
        <f t="shared" si="16"/>
        <v>187</v>
      </c>
      <c r="B252" s="16" t="s">
        <v>580</v>
      </c>
      <c r="C252" s="17" t="s">
        <v>581</v>
      </c>
      <c r="D252" s="17" t="s">
        <v>582</v>
      </c>
      <c r="E252" s="15" t="s">
        <v>25</v>
      </c>
      <c r="F252" s="15" t="str">
        <f>B250</f>
        <v>H02</v>
      </c>
      <c r="G252" s="20" t="s">
        <v>583</v>
      </c>
      <c r="H252" s="18" t="s">
        <v>27</v>
      </c>
      <c r="I252" s="15" t="s">
        <v>19</v>
      </c>
      <c r="J252" s="17" t="s">
        <v>584</v>
      </c>
      <c r="K252" s="16" t="s">
        <v>21</v>
      </c>
    </row>
    <row r="253" ht="15.75" customHeight="1">
      <c r="A253" s="15">
        <f t="shared" si="16"/>
        <v>188</v>
      </c>
      <c r="B253" s="16" t="s">
        <v>585</v>
      </c>
      <c r="C253" s="17" t="s">
        <v>586</v>
      </c>
      <c r="D253" s="17" t="s">
        <v>587</v>
      </c>
      <c r="E253" s="15" t="s">
        <v>25</v>
      </c>
      <c r="F253" s="15" t="str">
        <f>B250</f>
        <v>H02</v>
      </c>
      <c r="G253" s="15" t="s">
        <v>75</v>
      </c>
      <c r="H253" s="18" t="s">
        <v>27</v>
      </c>
      <c r="I253" s="15" t="s">
        <v>19</v>
      </c>
      <c r="J253" s="19" t="s">
        <v>588</v>
      </c>
      <c r="K253" s="16" t="s">
        <v>21</v>
      </c>
    </row>
    <row r="254" ht="15.75" customHeight="1">
      <c r="A254" s="15">
        <f t="shared" si="16"/>
        <v>189</v>
      </c>
      <c r="B254" s="16" t="s">
        <v>589</v>
      </c>
      <c r="C254" s="17" t="s">
        <v>590</v>
      </c>
      <c r="D254" s="17" t="s">
        <v>591</v>
      </c>
      <c r="E254" s="15" t="s">
        <v>16</v>
      </c>
      <c r="F254" s="15" t="str">
        <f>B249</f>
        <v>H01</v>
      </c>
      <c r="G254" s="15" t="s">
        <v>18</v>
      </c>
      <c r="H254" s="18" t="s">
        <v>27</v>
      </c>
      <c r="I254" s="15" t="s">
        <v>19</v>
      </c>
      <c r="J254" s="17"/>
      <c r="K254" s="16" t="s">
        <v>21</v>
      </c>
    </row>
    <row r="255" ht="15.75" customHeight="1">
      <c r="A255" s="15">
        <f t="shared" si="16"/>
        <v>190</v>
      </c>
      <c r="B255" s="16" t="s">
        <v>592</v>
      </c>
      <c r="C255" s="17" t="s">
        <v>593</v>
      </c>
      <c r="D255" s="17" t="s">
        <v>594</v>
      </c>
      <c r="E255" s="15" t="s">
        <v>25</v>
      </c>
      <c r="F255" s="15" t="str">
        <f>B254</f>
        <v>H06</v>
      </c>
      <c r="G255" s="20" t="s">
        <v>595</v>
      </c>
      <c r="H255" s="18" t="s">
        <v>27</v>
      </c>
      <c r="I255" s="15" t="s">
        <v>19</v>
      </c>
      <c r="J255" s="17" t="s">
        <v>596</v>
      </c>
      <c r="K255" s="16" t="s">
        <v>21</v>
      </c>
    </row>
    <row r="256" ht="15.75" customHeight="1">
      <c r="A256" s="15">
        <f t="shared" si="16"/>
        <v>191</v>
      </c>
      <c r="B256" s="16" t="s">
        <v>597</v>
      </c>
      <c r="C256" s="17" t="s">
        <v>598</v>
      </c>
      <c r="D256" s="17" t="s">
        <v>599</v>
      </c>
      <c r="E256" s="15" t="s">
        <v>25</v>
      </c>
      <c r="F256" s="15" t="str">
        <f>B254</f>
        <v>H06</v>
      </c>
      <c r="G256" s="20" t="s">
        <v>600</v>
      </c>
      <c r="H256" s="18" t="s">
        <v>27</v>
      </c>
      <c r="I256" s="15" t="s">
        <v>19</v>
      </c>
      <c r="J256" s="19" t="s">
        <v>601</v>
      </c>
      <c r="K256" s="16" t="s">
        <v>21</v>
      </c>
    </row>
    <row r="257" ht="15.75" customHeight="1">
      <c r="A257" s="15">
        <f t="shared" si="16"/>
        <v>192</v>
      </c>
      <c r="B257" s="16" t="s">
        <v>602</v>
      </c>
      <c r="C257" s="17" t="s">
        <v>603</v>
      </c>
      <c r="D257" s="17" t="s">
        <v>604</v>
      </c>
      <c r="E257" s="15" t="s">
        <v>16</v>
      </c>
      <c r="F257" s="15" t="str">
        <f>B254</f>
        <v>H06</v>
      </c>
      <c r="G257" s="15" t="s">
        <v>18</v>
      </c>
      <c r="H257" s="18" t="s">
        <v>47</v>
      </c>
      <c r="I257" s="15" t="s">
        <v>48</v>
      </c>
      <c r="J257" s="19" t="s">
        <v>605</v>
      </c>
      <c r="K257" s="16" t="s">
        <v>21</v>
      </c>
    </row>
    <row r="258" ht="15.75" customHeight="1">
      <c r="A258" s="15">
        <f t="shared" si="16"/>
        <v>193</v>
      </c>
      <c r="B258" s="16" t="s">
        <v>606</v>
      </c>
      <c r="C258" s="17" t="s">
        <v>607</v>
      </c>
      <c r="D258" s="17" t="s">
        <v>608</v>
      </c>
      <c r="E258" s="15" t="s">
        <v>25</v>
      </c>
      <c r="F258" s="15" t="str">
        <f>B257</f>
        <v>H09</v>
      </c>
      <c r="G258" s="20" t="s">
        <v>377</v>
      </c>
      <c r="H258" s="18" t="s">
        <v>27</v>
      </c>
      <c r="I258" s="15" t="s">
        <v>19</v>
      </c>
      <c r="J258" s="19" t="s">
        <v>609</v>
      </c>
      <c r="K258" s="16" t="s">
        <v>21</v>
      </c>
    </row>
    <row r="259" ht="15.75" customHeight="1">
      <c r="A259" s="15">
        <f t="shared" si="16"/>
        <v>194</v>
      </c>
      <c r="B259" s="16" t="s">
        <v>610</v>
      </c>
      <c r="C259" s="17" t="s">
        <v>611</v>
      </c>
      <c r="D259" s="17" t="s">
        <v>612</v>
      </c>
      <c r="E259" s="15" t="s">
        <v>25</v>
      </c>
      <c r="F259" s="15" t="str">
        <f>B257</f>
        <v>H09</v>
      </c>
      <c r="G259" s="20" t="s">
        <v>377</v>
      </c>
      <c r="H259" s="18" t="s">
        <v>47</v>
      </c>
      <c r="I259" s="15" t="s">
        <v>48</v>
      </c>
      <c r="J259" s="19" t="s">
        <v>613</v>
      </c>
      <c r="K259" s="16" t="s">
        <v>21</v>
      </c>
    </row>
    <row r="260" ht="15.75" customHeight="1">
      <c r="A260" s="15">
        <f t="shared" si="16"/>
        <v>195</v>
      </c>
      <c r="B260" s="16" t="s">
        <v>614</v>
      </c>
      <c r="C260" s="17" t="s">
        <v>615</v>
      </c>
      <c r="D260" s="17" t="s">
        <v>616</v>
      </c>
      <c r="E260" s="15" t="s">
        <v>25</v>
      </c>
      <c r="F260" s="15" t="str">
        <f>B257</f>
        <v>H09</v>
      </c>
      <c r="G260" s="20" t="s">
        <v>377</v>
      </c>
      <c r="H260" s="18" t="s">
        <v>47</v>
      </c>
      <c r="I260" s="15" t="s">
        <v>48</v>
      </c>
      <c r="J260" s="19" t="s">
        <v>617</v>
      </c>
      <c r="K260" s="16" t="s">
        <v>21</v>
      </c>
    </row>
    <row r="261" ht="15.75" customHeight="1">
      <c r="A261" s="15">
        <f t="shared" si="16"/>
        <v>196</v>
      </c>
      <c r="B261" s="16" t="s">
        <v>618</v>
      </c>
      <c r="C261" s="17" t="s">
        <v>619</v>
      </c>
      <c r="D261" s="17" t="s">
        <v>620</v>
      </c>
      <c r="E261" s="15" t="s">
        <v>25</v>
      </c>
      <c r="F261" s="15" t="str">
        <f>B257</f>
        <v>H09</v>
      </c>
      <c r="G261" s="20" t="s">
        <v>377</v>
      </c>
      <c r="H261" s="18" t="s">
        <v>47</v>
      </c>
      <c r="I261" s="15" t="s">
        <v>48</v>
      </c>
      <c r="J261" s="19" t="s">
        <v>621</v>
      </c>
      <c r="K261" s="16" t="s">
        <v>21</v>
      </c>
    </row>
    <row r="262" ht="15.75" customHeight="1">
      <c r="A262" s="15">
        <f t="shared" si="16"/>
        <v>197</v>
      </c>
      <c r="B262" s="16" t="s">
        <v>622</v>
      </c>
      <c r="C262" s="17" t="s">
        <v>623</v>
      </c>
      <c r="D262" s="28" t="s">
        <v>624</v>
      </c>
      <c r="E262" s="15" t="s">
        <v>25</v>
      </c>
      <c r="F262" s="15" t="str">
        <f>B257</f>
        <v>H09</v>
      </c>
      <c r="G262" s="20" t="s">
        <v>377</v>
      </c>
      <c r="H262" s="18" t="s">
        <v>27</v>
      </c>
      <c r="I262" s="15" t="s">
        <v>19</v>
      </c>
      <c r="J262" s="19" t="s">
        <v>609</v>
      </c>
      <c r="K262" s="16" t="s">
        <v>21</v>
      </c>
    </row>
    <row r="263" ht="15.75" customHeight="1">
      <c r="A263" s="21"/>
      <c r="B263" s="22"/>
      <c r="C263" s="22"/>
      <c r="D263" s="22"/>
      <c r="E263" s="22"/>
      <c r="F263" s="22"/>
      <c r="G263" s="22"/>
      <c r="H263" s="22"/>
      <c r="I263" s="22"/>
      <c r="J263" s="22"/>
      <c r="K263" s="23"/>
    </row>
    <row r="264" ht="15.75" customHeight="1">
      <c r="A264" s="24"/>
      <c r="B264" s="25"/>
      <c r="C264" s="25"/>
      <c r="D264" s="25"/>
      <c r="E264" s="25"/>
      <c r="F264" s="25"/>
      <c r="G264" s="25"/>
      <c r="H264" s="25"/>
      <c r="I264" s="25"/>
      <c r="J264" s="25"/>
      <c r="K264" s="26"/>
    </row>
    <row r="265" ht="15.75" customHeight="1">
      <c r="A265" s="8" t="s">
        <v>1</v>
      </c>
      <c r="B265" s="8" t="s">
        <v>2</v>
      </c>
      <c r="C265" s="9" t="s">
        <v>3</v>
      </c>
      <c r="D265" s="9" t="s">
        <v>4</v>
      </c>
      <c r="E265" s="8" t="s">
        <v>5</v>
      </c>
      <c r="F265" s="8" t="s">
        <v>6</v>
      </c>
      <c r="G265" s="8" t="s">
        <v>7</v>
      </c>
      <c r="H265" s="10" t="s">
        <v>8</v>
      </c>
      <c r="I265" s="8" t="s">
        <v>9</v>
      </c>
      <c r="J265" s="9" t="s">
        <v>10</v>
      </c>
      <c r="K265" s="11" t="s">
        <v>11</v>
      </c>
    </row>
    <row r="266" ht="15.75" customHeight="1">
      <c r="A266" s="27" t="s">
        <v>625</v>
      </c>
      <c r="B266" s="2"/>
      <c r="C266" s="2"/>
      <c r="D266" s="2"/>
      <c r="E266" s="2"/>
      <c r="F266" s="2"/>
      <c r="G266" s="2"/>
      <c r="H266" s="2"/>
      <c r="I266" s="2"/>
      <c r="J266" s="13"/>
      <c r="K266" s="14"/>
    </row>
    <row r="267" ht="15.75" customHeight="1">
      <c r="A267" s="15">
        <f>A262+1</f>
        <v>198</v>
      </c>
      <c r="B267" s="16" t="s">
        <v>626</v>
      </c>
      <c r="C267" s="17" t="s">
        <v>627</v>
      </c>
      <c r="D267" s="17" t="s">
        <v>628</v>
      </c>
      <c r="E267" s="15" t="s">
        <v>16</v>
      </c>
      <c r="F267" s="15" t="str">
        <f>B257</f>
        <v>H09</v>
      </c>
      <c r="G267" s="15" t="s">
        <v>18</v>
      </c>
      <c r="H267" s="18" t="s">
        <v>27</v>
      </c>
      <c r="I267" s="15" t="s">
        <v>19</v>
      </c>
      <c r="J267" s="17"/>
      <c r="K267" s="16" t="s">
        <v>21</v>
      </c>
    </row>
    <row r="268" ht="15.75" customHeight="1">
      <c r="A268" s="15">
        <f t="shared" ref="A268:A272" si="18">A267+1</f>
        <v>199</v>
      </c>
      <c r="B268" s="16" t="s">
        <v>629</v>
      </c>
      <c r="C268" s="17" t="s">
        <v>630</v>
      </c>
      <c r="D268" s="17" t="s">
        <v>631</v>
      </c>
      <c r="E268" s="15" t="s">
        <v>25</v>
      </c>
      <c r="F268" s="15" t="str">
        <f>B267</f>
        <v>Ha01</v>
      </c>
      <c r="G268" s="20" t="s">
        <v>258</v>
      </c>
      <c r="H268" s="18" t="s">
        <v>27</v>
      </c>
      <c r="I268" s="15" t="s">
        <v>19</v>
      </c>
      <c r="J268" s="17"/>
      <c r="K268" s="16" t="s">
        <v>21</v>
      </c>
    </row>
    <row r="269" ht="15.75" customHeight="1">
      <c r="A269" s="15">
        <f t="shared" si="18"/>
        <v>200</v>
      </c>
      <c r="B269" s="16" t="s">
        <v>632</v>
      </c>
      <c r="C269" s="17" t="s">
        <v>633</v>
      </c>
      <c r="D269" s="17" t="s">
        <v>634</v>
      </c>
      <c r="E269" s="15" t="s">
        <v>16</v>
      </c>
      <c r="F269" s="15" t="str">
        <f>B267</f>
        <v>Ha01</v>
      </c>
      <c r="G269" s="15" t="s">
        <v>18</v>
      </c>
      <c r="H269" s="18" t="s">
        <v>27</v>
      </c>
      <c r="I269" s="15" t="s">
        <v>19</v>
      </c>
      <c r="J269" s="17"/>
      <c r="K269" s="16" t="s">
        <v>21</v>
      </c>
    </row>
    <row r="270" ht="15.75" customHeight="1">
      <c r="A270" s="15">
        <f t="shared" si="18"/>
        <v>201</v>
      </c>
      <c r="B270" s="16" t="s">
        <v>635</v>
      </c>
      <c r="C270" s="17" t="s">
        <v>636</v>
      </c>
      <c r="D270" s="17" t="s">
        <v>637</v>
      </c>
      <c r="E270" s="15" t="s">
        <v>25</v>
      </c>
      <c r="F270" s="15" t="str">
        <f>B269</f>
        <v>Ha03</v>
      </c>
      <c r="G270" s="20" t="s">
        <v>258</v>
      </c>
      <c r="H270" s="18" t="s">
        <v>27</v>
      </c>
      <c r="I270" s="15" t="s">
        <v>19</v>
      </c>
      <c r="J270" s="17"/>
      <c r="K270" s="16" t="s">
        <v>21</v>
      </c>
    </row>
    <row r="271" ht="15.75" customHeight="1">
      <c r="A271" s="15">
        <f t="shared" si="18"/>
        <v>202</v>
      </c>
      <c r="B271" s="16" t="s">
        <v>638</v>
      </c>
      <c r="C271" s="17" t="s">
        <v>639</v>
      </c>
      <c r="D271" s="17" t="s">
        <v>640</v>
      </c>
      <c r="E271" s="15" t="s">
        <v>25</v>
      </c>
      <c r="F271" s="15" t="str">
        <f>B269</f>
        <v>Ha03</v>
      </c>
      <c r="G271" s="20" t="s">
        <v>258</v>
      </c>
      <c r="H271" s="18" t="s">
        <v>27</v>
      </c>
      <c r="I271" s="15" t="s">
        <v>19</v>
      </c>
      <c r="J271" s="17"/>
      <c r="K271" s="16" t="s">
        <v>21</v>
      </c>
    </row>
    <row r="272" ht="15.75" customHeight="1">
      <c r="A272" s="15">
        <f t="shared" si="18"/>
        <v>203</v>
      </c>
      <c r="B272" s="16" t="s">
        <v>641</v>
      </c>
      <c r="C272" s="17" t="s">
        <v>642</v>
      </c>
      <c r="D272" s="28" t="s">
        <v>643</v>
      </c>
      <c r="E272" s="15" t="s">
        <v>25</v>
      </c>
      <c r="F272" s="15" t="str">
        <f>B267</f>
        <v>Ha01</v>
      </c>
      <c r="G272" s="20" t="s">
        <v>377</v>
      </c>
      <c r="H272" s="18" t="s">
        <v>27</v>
      </c>
      <c r="I272" s="15" t="s">
        <v>19</v>
      </c>
      <c r="J272" s="19" t="s">
        <v>644</v>
      </c>
      <c r="K272" s="16" t="s">
        <v>21</v>
      </c>
    </row>
    <row r="273" ht="15.75" customHeight="1">
      <c r="A273" s="21"/>
      <c r="B273" s="22"/>
      <c r="C273" s="22"/>
      <c r="D273" s="22"/>
      <c r="E273" s="22"/>
      <c r="F273" s="22"/>
      <c r="G273" s="22"/>
      <c r="H273" s="22"/>
      <c r="I273" s="22"/>
      <c r="J273" s="22"/>
      <c r="K273" s="23"/>
    </row>
    <row r="274" ht="15.75" customHeight="1">
      <c r="A274" s="24"/>
      <c r="B274" s="25"/>
      <c r="C274" s="25"/>
      <c r="D274" s="25"/>
      <c r="E274" s="25"/>
      <c r="F274" s="25"/>
      <c r="G274" s="25"/>
      <c r="H274" s="25"/>
      <c r="I274" s="25"/>
      <c r="J274" s="25"/>
      <c r="K274" s="26"/>
    </row>
    <row r="275" ht="15.75" customHeight="1">
      <c r="A275" s="8" t="s">
        <v>1</v>
      </c>
      <c r="B275" s="8" t="s">
        <v>2</v>
      </c>
      <c r="C275" s="9" t="s">
        <v>3</v>
      </c>
      <c r="D275" s="9" t="s">
        <v>4</v>
      </c>
      <c r="E275" s="8" t="s">
        <v>5</v>
      </c>
      <c r="F275" s="8" t="s">
        <v>6</v>
      </c>
      <c r="G275" s="8" t="s">
        <v>7</v>
      </c>
      <c r="H275" s="10" t="s">
        <v>8</v>
      </c>
      <c r="I275" s="8" t="s">
        <v>9</v>
      </c>
      <c r="J275" s="9" t="s">
        <v>10</v>
      </c>
      <c r="K275" s="11" t="s">
        <v>11</v>
      </c>
    </row>
    <row r="276" ht="15.75" customHeight="1">
      <c r="A276" s="27" t="s">
        <v>645</v>
      </c>
      <c r="B276" s="2"/>
      <c r="C276" s="2"/>
      <c r="D276" s="2"/>
      <c r="E276" s="2"/>
      <c r="F276" s="2"/>
      <c r="G276" s="2"/>
      <c r="H276" s="2"/>
      <c r="I276" s="2"/>
      <c r="J276" s="13"/>
      <c r="K276" s="14"/>
    </row>
    <row r="277" ht="15.75" customHeight="1">
      <c r="A277" s="15">
        <f>A272+1</f>
        <v>204</v>
      </c>
      <c r="B277" s="16" t="s">
        <v>646</v>
      </c>
      <c r="C277" s="17" t="s">
        <v>647</v>
      </c>
      <c r="D277" s="17" t="s">
        <v>648</v>
      </c>
      <c r="E277" s="15" t="s">
        <v>16</v>
      </c>
      <c r="F277" s="15" t="str">
        <f>B257</f>
        <v>H09</v>
      </c>
      <c r="G277" s="15" t="s">
        <v>18</v>
      </c>
      <c r="H277" s="18" t="s">
        <v>27</v>
      </c>
      <c r="I277" s="15" t="s">
        <v>19</v>
      </c>
      <c r="J277" s="17"/>
      <c r="K277" s="16" t="s">
        <v>21</v>
      </c>
    </row>
    <row r="278" ht="15.75" customHeight="1">
      <c r="A278" s="15">
        <f t="shared" ref="A278:A282" si="19">A277+1</f>
        <v>205</v>
      </c>
      <c r="B278" s="16" t="s">
        <v>649</v>
      </c>
      <c r="C278" s="17" t="s">
        <v>650</v>
      </c>
      <c r="D278" s="17" t="s">
        <v>651</v>
      </c>
      <c r="E278" s="15" t="s">
        <v>25</v>
      </c>
      <c r="F278" s="15" t="str">
        <f>B277</f>
        <v>Hb01</v>
      </c>
      <c r="G278" s="20" t="s">
        <v>258</v>
      </c>
      <c r="H278" s="18" t="s">
        <v>27</v>
      </c>
      <c r="I278" s="15" t="s">
        <v>19</v>
      </c>
      <c r="J278" s="17"/>
      <c r="K278" s="16" t="s">
        <v>21</v>
      </c>
    </row>
    <row r="279" ht="15.75" customHeight="1">
      <c r="A279" s="15">
        <f t="shared" si="19"/>
        <v>206</v>
      </c>
      <c r="B279" s="16" t="s">
        <v>652</v>
      </c>
      <c r="C279" s="17" t="s">
        <v>633</v>
      </c>
      <c r="D279" s="17" t="s">
        <v>634</v>
      </c>
      <c r="E279" s="15" t="s">
        <v>16</v>
      </c>
      <c r="F279" s="15" t="str">
        <f>B277</f>
        <v>Hb01</v>
      </c>
      <c r="G279" s="15" t="s">
        <v>18</v>
      </c>
      <c r="H279" s="18" t="s">
        <v>27</v>
      </c>
      <c r="I279" s="15" t="s">
        <v>19</v>
      </c>
      <c r="J279" s="17"/>
      <c r="K279" s="16" t="s">
        <v>21</v>
      </c>
    </row>
    <row r="280" ht="15.75" customHeight="1">
      <c r="A280" s="15">
        <f t="shared" si="19"/>
        <v>207</v>
      </c>
      <c r="B280" s="16" t="s">
        <v>653</v>
      </c>
      <c r="C280" s="17" t="s">
        <v>636</v>
      </c>
      <c r="D280" s="17" t="s">
        <v>637</v>
      </c>
      <c r="E280" s="15" t="s">
        <v>25</v>
      </c>
      <c r="F280" s="15" t="str">
        <f>B279</f>
        <v>Hb03</v>
      </c>
      <c r="G280" s="20" t="s">
        <v>258</v>
      </c>
      <c r="H280" s="18" t="s">
        <v>27</v>
      </c>
      <c r="I280" s="15" t="s">
        <v>19</v>
      </c>
      <c r="J280" s="17"/>
      <c r="K280" s="16" t="s">
        <v>21</v>
      </c>
    </row>
    <row r="281" ht="15.75" customHeight="1">
      <c r="A281" s="15">
        <f t="shared" si="19"/>
        <v>208</v>
      </c>
      <c r="B281" s="16" t="s">
        <v>654</v>
      </c>
      <c r="C281" s="17" t="s">
        <v>639</v>
      </c>
      <c r="D281" s="17" t="s">
        <v>640</v>
      </c>
      <c r="E281" s="15" t="s">
        <v>25</v>
      </c>
      <c r="F281" s="15" t="str">
        <f>B279</f>
        <v>Hb03</v>
      </c>
      <c r="G281" s="20" t="s">
        <v>258</v>
      </c>
      <c r="H281" s="18" t="s">
        <v>27</v>
      </c>
      <c r="I281" s="15" t="s">
        <v>19</v>
      </c>
      <c r="J281" s="17"/>
      <c r="K281" s="16" t="s">
        <v>21</v>
      </c>
    </row>
    <row r="282" ht="15.75" customHeight="1">
      <c r="A282" s="15">
        <f t="shared" si="19"/>
        <v>209</v>
      </c>
      <c r="B282" s="16" t="s">
        <v>655</v>
      </c>
      <c r="C282" s="17" t="s">
        <v>656</v>
      </c>
      <c r="D282" s="28" t="s">
        <v>657</v>
      </c>
      <c r="E282" s="15" t="s">
        <v>25</v>
      </c>
      <c r="F282" s="15" t="str">
        <f>B277</f>
        <v>Hb01</v>
      </c>
      <c r="G282" s="20" t="s">
        <v>377</v>
      </c>
      <c r="H282" s="18" t="s">
        <v>27</v>
      </c>
      <c r="I282" s="15" t="s">
        <v>19</v>
      </c>
      <c r="J282" s="19" t="s">
        <v>658</v>
      </c>
      <c r="K282" s="16" t="s">
        <v>21</v>
      </c>
    </row>
    <row r="283" ht="15.75" customHeight="1">
      <c r="A283" s="21"/>
      <c r="B283" s="22"/>
      <c r="C283" s="22"/>
      <c r="D283" s="22"/>
      <c r="E283" s="22"/>
      <c r="F283" s="22"/>
      <c r="G283" s="22"/>
      <c r="H283" s="22"/>
      <c r="I283" s="22"/>
      <c r="J283" s="22"/>
      <c r="K283" s="23"/>
    </row>
    <row r="284" ht="15.75" customHeight="1">
      <c r="A284" s="24"/>
      <c r="B284" s="25"/>
      <c r="C284" s="25"/>
      <c r="D284" s="25"/>
      <c r="E284" s="25"/>
      <c r="F284" s="25"/>
      <c r="G284" s="25"/>
      <c r="H284" s="25"/>
      <c r="I284" s="25"/>
      <c r="J284" s="25"/>
      <c r="K284" s="26"/>
    </row>
    <row r="285" ht="15.75" customHeight="1">
      <c r="A285" s="8" t="s">
        <v>1</v>
      </c>
      <c r="B285" s="8" t="s">
        <v>2</v>
      </c>
      <c r="C285" s="9" t="s">
        <v>3</v>
      </c>
      <c r="D285" s="9" t="s">
        <v>4</v>
      </c>
      <c r="E285" s="8" t="s">
        <v>5</v>
      </c>
      <c r="F285" s="8" t="s">
        <v>6</v>
      </c>
      <c r="G285" s="8" t="s">
        <v>7</v>
      </c>
      <c r="H285" s="10" t="s">
        <v>8</v>
      </c>
      <c r="I285" s="8" t="s">
        <v>9</v>
      </c>
      <c r="J285" s="9" t="s">
        <v>10</v>
      </c>
      <c r="K285" s="11" t="s">
        <v>11</v>
      </c>
    </row>
    <row r="286" ht="15.75" customHeight="1">
      <c r="A286" s="27" t="s">
        <v>659</v>
      </c>
      <c r="B286" s="2"/>
      <c r="C286" s="2"/>
      <c r="D286" s="2"/>
      <c r="E286" s="2"/>
      <c r="F286" s="2"/>
      <c r="G286" s="2"/>
      <c r="H286" s="2"/>
      <c r="I286" s="2"/>
      <c r="J286" s="13"/>
      <c r="K286" s="14"/>
    </row>
    <row r="287" ht="15.75" customHeight="1">
      <c r="A287" s="15">
        <f>A282+1</f>
        <v>210</v>
      </c>
      <c r="B287" s="16" t="s">
        <v>660</v>
      </c>
      <c r="C287" s="17" t="s">
        <v>661</v>
      </c>
      <c r="D287" s="17" t="s">
        <v>662</v>
      </c>
      <c r="E287" s="15" t="s">
        <v>16</v>
      </c>
      <c r="F287" s="15" t="str">
        <f>B257</f>
        <v>H09</v>
      </c>
      <c r="G287" s="15" t="s">
        <v>18</v>
      </c>
      <c r="H287" s="18" t="s">
        <v>27</v>
      </c>
      <c r="I287" s="15" t="s">
        <v>19</v>
      </c>
      <c r="J287" s="17"/>
      <c r="K287" s="16" t="s">
        <v>21</v>
      </c>
    </row>
    <row r="288" ht="15.75" customHeight="1">
      <c r="A288" s="15">
        <f t="shared" ref="A288:A292" si="20">A287+1</f>
        <v>211</v>
      </c>
      <c r="B288" s="16" t="s">
        <v>663</v>
      </c>
      <c r="C288" s="17" t="s">
        <v>664</v>
      </c>
      <c r="D288" s="17" t="s">
        <v>665</v>
      </c>
      <c r="E288" s="15" t="s">
        <v>25</v>
      </c>
      <c r="F288" s="15" t="str">
        <f>B287</f>
        <v>Hc01</v>
      </c>
      <c r="G288" s="20" t="s">
        <v>258</v>
      </c>
      <c r="H288" s="18" t="s">
        <v>27</v>
      </c>
      <c r="I288" s="15" t="s">
        <v>19</v>
      </c>
      <c r="J288" s="17"/>
      <c r="K288" s="16" t="s">
        <v>21</v>
      </c>
    </row>
    <row r="289" ht="15.75" customHeight="1">
      <c r="A289" s="15">
        <f t="shared" si="20"/>
        <v>212</v>
      </c>
      <c r="B289" s="16" t="s">
        <v>666</v>
      </c>
      <c r="C289" s="17" t="s">
        <v>633</v>
      </c>
      <c r="D289" s="17" t="s">
        <v>634</v>
      </c>
      <c r="E289" s="15" t="s">
        <v>16</v>
      </c>
      <c r="F289" s="15" t="str">
        <f>B287</f>
        <v>Hc01</v>
      </c>
      <c r="G289" s="15" t="s">
        <v>18</v>
      </c>
      <c r="H289" s="18" t="s">
        <v>27</v>
      </c>
      <c r="I289" s="15" t="s">
        <v>19</v>
      </c>
      <c r="J289" s="17"/>
      <c r="K289" s="16" t="s">
        <v>21</v>
      </c>
    </row>
    <row r="290" ht="15.75" customHeight="1">
      <c r="A290" s="15">
        <f t="shared" si="20"/>
        <v>213</v>
      </c>
      <c r="B290" s="16" t="s">
        <v>667</v>
      </c>
      <c r="C290" s="17" t="s">
        <v>636</v>
      </c>
      <c r="D290" s="17" t="s">
        <v>637</v>
      </c>
      <c r="E290" s="15" t="s">
        <v>25</v>
      </c>
      <c r="F290" s="15" t="str">
        <f>B289</f>
        <v>Hc03</v>
      </c>
      <c r="G290" s="20" t="s">
        <v>258</v>
      </c>
      <c r="H290" s="18" t="s">
        <v>27</v>
      </c>
      <c r="I290" s="15" t="s">
        <v>19</v>
      </c>
      <c r="J290" s="17"/>
      <c r="K290" s="16" t="s">
        <v>21</v>
      </c>
    </row>
    <row r="291" ht="15.75" customHeight="1">
      <c r="A291" s="15">
        <f t="shared" si="20"/>
        <v>214</v>
      </c>
      <c r="B291" s="16" t="s">
        <v>668</v>
      </c>
      <c r="C291" s="17" t="s">
        <v>639</v>
      </c>
      <c r="D291" s="17" t="s">
        <v>640</v>
      </c>
      <c r="E291" s="15" t="s">
        <v>25</v>
      </c>
      <c r="F291" s="15" t="str">
        <f>B289</f>
        <v>Hc03</v>
      </c>
      <c r="G291" s="20" t="s">
        <v>258</v>
      </c>
      <c r="H291" s="18" t="s">
        <v>27</v>
      </c>
      <c r="I291" s="15" t="s">
        <v>19</v>
      </c>
      <c r="J291" s="17"/>
      <c r="K291" s="16" t="s">
        <v>21</v>
      </c>
    </row>
    <row r="292" ht="15.75" customHeight="1">
      <c r="A292" s="15">
        <f t="shared" si="20"/>
        <v>215</v>
      </c>
      <c r="B292" s="16" t="s">
        <v>669</v>
      </c>
      <c r="C292" s="17" t="s">
        <v>670</v>
      </c>
      <c r="D292" s="17" t="s">
        <v>671</v>
      </c>
      <c r="E292" s="15" t="s">
        <v>25</v>
      </c>
      <c r="F292" s="15" t="str">
        <f>B287</f>
        <v>Hc01</v>
      </c>
      <c r="G292" s="20" t="s">
        <v>377</v>
      </c>
      <c r="H292" s="18" t="s">
        <v>27</v>
      </c>
      <c r="I292" s="15" t="s">
        <v>19</v>
      </c>
      <c r="J292" s="19" t="s">
        <v>672</v>
      </c>
      <c r="K292" s="16" t="s">
        <v>21</v>
      </c>
    </row>
    <row r="293" ht="15.75" customHeight="1">
      <c r="A293" s="21"/>
      <c r="B293" s="22"/>
      <c r="C293" s="22"/>
      <c r="D293" s="22"/>
      <c r="E293" s="22"/>
      <c r="F293" s="22"/>
      <c r="G293" s="22"/>
      <c r="H293" s="22"/>
      <c r="I293" s="22"/>
      <c r="J293" s="22"/>
      <c r="K293" s="23"/>
    </row>
    <row r="294" ht="15.75" customHeight="1">
      <c r="A294" s="24"/>
      <c r="B294" s="25"/>
      <c r="C294" s="25"/>
      <c r="D294" s="25"/>
      <c r="E294" s="25"/>
      <c r="F294" s="25"/>
      <c r="G294" s="25"/>
      <c r="H294" s="25"/>
      <c r="I294" s="25"/>
      <c r="J294" s="25"/>
      <c r="K294" s="26"/>
    </row>
    <row r="295" ht="15.75" customHeight="1">
      <c r="A295" s="8" t="s">
        <v>1</v>
      </c>
      <c r="B295" s="8" t="s">
        <v>2</v>
      </c>
      <c r="C295" s="9" t="s">
        <v>3</v>
      </c>
      <c r="D295" s="9" t="s">
        <v>4</v>
      </c>
      <c r="E295" s="8" t="s">
        <v>5</v>
      </c>
      <c r="F295" s="8" t="s">
        <v>6</v>
      </c>
      <c r="G295" s="8" t="s">
        <v>7</v>
      </c>
      <c r="H295" s="10" t="s">
        <v>8</v>
      </c>
      <c r="I295" s="8" t="s">
        <v>9</v>
      </c>
      <c r="J295" s="9" t="s">
        <v>10</v>
      </c>
      <c r="K295" s="11" t="s">
        <v>11</v>
      </c>
    </row>
    <row r="296" ht="15.75" customHeight="1">
      <c r="A296" s="27" t="s">
        <v>673</v>
      </c>
      <c r="B296" s="2"/>
      <c r="C296" s="2"/>
      <c r="D296" s="2"/>
      <c r="E296" s="2"/>
      <c r="F296" s="2"/>
      <c r="G296" s="2"/>
      <c r="H296" s="2"/>
      <c r="I296" s="2"/>
      <c r="J296" s="13"/>
      <c r="K296" s="14"/>
    </row>
    <row r="297" ht="15.75" customHeight="1">
      <c r="A297" s="15">
        <f>A292+1</f>
        <v>216</v>
      </c>
      <c r="B297" s="16" t="s">
        <v>674</v>
      </c>
      <c r="C297" s="17" t="s">
        <v>675</v>
      </c>
      <c r="D297" s="17" t="s">
        <v>676</v>
      </c>
      <c r="E297" s="15" t="s">
        <v>16</v>
      </c>
      <c r="F297" s="15" t="str">
        <f>B257</f>
        <v>H09</v>
      </c>
      <c r="G297" s="15" t="s">
        <v>18</v>
      </c>
      <c r="H297" s="18" t="s">
        <v>47</v>
      </c>
      <c r="I297" s="15" t="s">
        <v>48</v>
      </c>
      <c r="J297" s="17"/>
      <c r="K297" s="16" t="s">
        <v>21</v>
      </c>
    </row>
    <row r="298" ht="15.75" customHeight="1">
      <c r="A298" s="15">
        <f t="shared" ref="A298:A303" si="21">A297+1</f>
        <v>217</v>
      </c>
      <c r="B298" s="16" t="s">
        <v>677</v>
      </c>
      <c r="C298" s="17" t="s">
        <v>678</v>
      </c>
      <c r="D298" s="17" t="s">
        <v>631</v>
      </c>
      <c r="E298" s="15" t="s">
        <v>25</v>
      </c>
      <c r="F298" s="15" t="s">
        <v>674</v>
      </c>
      <c r="G298" s="20" t="s">
        <v>258</v>
      </c>
      <c r="H298" s="18" t="s">
        <v>27</v>
      </c>
      <c r="I298" s="15" t="s">
        <v>19</v>
      </c>
      <c r="J298" s="17"/>
      <c r="K298" s="16" t="s">
        <v>21</v>
      </c>
    </row>
    <row r="299" ht="15.75" customHeight="1">
      <c r="A299" s="15">
        <f t="shared" si="21"/>
        <v>218</v>
      </c>
      <c r="B299" s="16" t="s">
        <v>679</v>
      </c>
      <c r="C299" s="17" t="s">
        <v>680</v>
      </c>
      <c r="D299" s="17" t="s">
        <v>681</v>
      </c>
      <c r="E299" s="15" t="s">
        <v>25</v>
      </c>
      <c r="F299" s="15" t="s">
        <v>674</v>
      </c>
      <c r="G299" s="20" t="s">
        <v>377</v>
      </c>
      <c r="H299" s="18" t="s">
        <v>27</v>
      </c>
      <c r="I299" s="15" t="s">
        <v>19</v>
      </c>
      <c r="J299" s="19" t="s">
        <v>682</v>
      </c>
      <c r="K299" s="16" t="s">
        <v>21</v>
      </c>
    </row>
    <row r="300" ht="15.75" customHeight="1">
      <c r="A300" s="15">
        <f t="shared" si="21"/>
        <v>219</v>
      </c>
      <c r="B300" s="16" t="s">
        <v>683</v>
      </c>
      <c r="C300" s="17" t="s">
        <v>684</v>
      </c>
      <c r="D300" s="17" t="s">
        <v>685</v>
      </c>
      <c r="E300" s="15" t="s">
        <v>25</v>
      </c>
      <c r="F300" s="15" t="s">
        <v>674</v>
      </c>
      <c r="G300" s="20" t="s">
        <v>258</v>
      </c>
      <c r="H300" s="18" t="s">
        <v>27</v>
      </c>
      <c r="I300" s="15" t="s">
        <v>19</v>
      </c>
      <c r="J300" s="17"/>
      <c r="K300" s="16" t="s">
        <v>21</v>
      </c>
    </row>
    <row r="301" ht="15.75" customHeight="1">
      <c r="A301" s="15">
        <f t="shared" si="21"/>
        <v>220</v>
      </c>
      <c r="B301" s="16" t="s">
        <v>686</v>
      </c>
      <c r="C301" s="17" t="s">
        <v>687</v>
      </c>
      <c r="D301" s="17" t="s">
        <v>688</v>
      </c>
      <c r="E301" s="15" t="s">
        <v>25</v>
      </c>
      <c r="F301" s="15" t="s">
        <v>674</v>
      </c>
      <c r="G301" s="20" t="s">
        <v>377</v>
      </c>
      <c r="H301" s="18" t="s">
        <v>27</v>
      </c>
      <c r="I301" s="15" t="s">
        <v>19</v>
      </c>
      <c r="J301" s="19" t="s">
        <v>689</v>
      </c>
      <c r="K301" s="16" t="s">
        <v>21</v>
      </c>
    </row>
    <row r="302" ht="15.75" customHeight="1">
      <c r="A302" s="15">
        <f t="shared" si="21"/>
        <v>221</v>
      </c>
      <c r="B302" s="16" t="s">
        <v>690</v>
      </c>
      <c r="C302" s="17" t="s">
        <v>691</v>
      </c>
      <c r="D302" s="17" t="s">
        <v>665</v>
      </c>
      <c r="E302" s="15" t="s">
        <v>25</v>
      </c>
      <c r="F302" s="15" t="s">
        <v>674</v>
      </c>
      <c r="G302" s="20" t="s">
        <v>258</v>
      </c>
      <c r="H302" s="18" t="s">
        <v>27</v>
      </c>
      <c r="I302" s="15" t="s">
        <v>19</v>
      </c>
      <c r="J302" s="17"/>
      <c r="K302" s="16" t="s">
        <v>21</v>
      </c>
    </row>
    <row r="303" ht="15.75" customHeight="1">
      <c r="A303" s="15">
        <f t="shared" si="21"/>
        <v>222</v>
      </c>
      <c r="B303" s="16" t="s">
        <v>692</v>
      </c>
      <c r="C303" s="17" t="s">
        <v>693</v>
      </c>
      <c r="D303" s="17" t="s">
        <v>694</v>
      </c>
      <c r="E303" s="15" t="s">
        <v>25</v>
      </c>
      <c r="F303" s="15" t="s">
        <v>674</v>
      </c>
      <c r="G303" s="20" t="s">
        <v>377</v>
      </c>
      <c r="H303" s="18" t="s">
        <v>27</v>
      </c>
      <c r="I303" s="15" t="s">
        <v>19</v>
      </c>
      <c r="J303" s="19" t="s">
        <v>695</v>
      </c>
      <c r="K303" s="16" t="s">
        <v>21</v>
      </c>
    </row>
    <row r="304" ht="15.75" customHeight="1">
      <c r="A304" s="21"/>
      <c r="B304" s="22"/>
      <c r="C304" s="22"/>
      <c r="D304" s="22"/>
      <c r="E304" s="22"/>
      <c r="F304" s="22"/>
      <c r="G304" s="22"/>
      <c r="H304" s="22"/>
      <c r="I304" s="22"/>
      <c r="J304" s="22"/>
      <c r="K304" s="23"/>
    </row>
    <row r="305" ht="15.75" customHeight="1">
      <c r="A305" s="24"/>
      <c r="B305" s="25"/>
      <c r="C305" s="25"/>
      <c r="D305" s="25"/>
      <c r="E305" s="25"/>
      <c r="F305" s="25"/>
      <c r="G305" s="25"/>
      <c r="H305" s="25"/>
      <c r="I305" s="25"/>
      <c r="J305" s="25"/>
      <c r="K305" s="26"/>
    </row>
    <row r="306" ht="15.75" customHeight="1">
      <c r="A306" s="8" t="s">
        <v>1</v>
      </c>
      <c r="B306" s="8" t="s">
        <v>2</v>
      </c>
      <c r="C306" s="9" t="s">
        <v>3</v>
      </c>
      <c r="D306" s="9" t="s">
        <v>4</v>
      </c>
      <c r="E306" s="8" t="s">
        <v>5</v>
      </c>
      <c r="F306" s="8" t="s">
        <v>6</v>
      </c>
      <c r="G306" s="8" t="s">
        <v>7</v>
      </c>
      <c r="H306" s="10" t="s">
        <v>8</v>
      </c>
      <c r="I306" s="8" t="s">
        <v>9</v>
      </c>
      <c r="J306" s="9" t="s">
        <v>10</v>
      </c>
      <c r="K306" s="11" t="s">
        <v>11</v>
      </c>
    </row>
    <row r="307" ht="15.75" customHeight="1">
      <c r="A307" s="27" t="s">
        <v>696</v>
      </c>
      <c r="B307" s="2"/>
      <c r="C307" s="2"/>
      <c r="D307" s="2"/>
      <c r="E307" s="2"/>
      <c r="F307" s="2"/>
      <c r="G307" s="2"/>
      <c r="H307" s="2"/>
      <c r="I307" s="2"/>
      <c r="J307" s="13"/>
      <c r="K307" s="14"/>
    </row>
    <row r="308" ht="15.75" customHeight="1">
      <c r="A308" s="15">
        <f>A303+1</f>
        <v>223</v>
      </c>
      <c r="B308" s="16" t="s">
        <v>697</v>
      </c>
      <c r="C308" s="17" t="s">
        <v>698</v>
      </c>
      <c r="D308" s="17" t="s">
        <v>699</v>
      </c>
      <c r="E308" s="15" t="s">
        <v>16</v>
      </c>
      <c r="F308" s="15" t="str">
        <f>B254</f>
        <v>H06</v>
      </c>
      <c r="G308" s="15" t="s">
        <v>18</v>
      </c>
      <c r="H308" s="18" t="s">
        <v>47</v>
      </c>
      <c r="I308" s="15" t="s">
        <v>48</v>
      </c>
      <c r="J308" s="19" t="s">
        <v>700</v>
      </c>
      <c r="K308" s="16" t="s">
        <v>21</v>
      </c>
    </row>
    <row r="309" ht="15.75" customHeight="1">
      <c r="A309" s="15">
        <f t="shared" ref="A309:A310" si="22">A308+1</f>
        <v>224</v>
      </c>
      <c r="B309" s="16" t="s">
        <v>701</v>
      </c>
      <c r="C309" s="17" t="s">
        <v>702</v>
      </c>
      <c r="D309" s="17" t="s">
        <v>703</v>
      </c>
      <c r="E309" s="15" t="s">
        <v>25</v>
      </c>
      <c r="F309" s="15" t="str">
        <f>B308</f>
        <v>He01</v>
      </c>
      <c r="G309" s="20" t="s">
        <v>377</v>
      </c>
      <c r="H309" s="18" t="s">
        <v>27</v>
      </c>
      <c r="I309" s="15" t="s">
        <v>19</v>
      </c>
      <c r="J309" s="17"/>
      <c r="K309" s="16" t="s">
        <v>21</v>
      </c>
    </row>
    <row r="310" ht="15.75" customHeight="1">
      <c r="A310" s="15">
        <f t="shared" si="22"/>
        <v>225</v>
      </c>
      <c r="B310" s="16" t="s">
        <v>704</v>
      </c>
      <c r="C310" s="17" t="s">
        <v>705</v>
      </c>
      <c r="D310" s="17" t="s">
        <v>706</v>
      </c>
      <c r="E310" s="15" t="s">
        <v>25</v>
      </c>
      <c r="F310" s="15" t="str">
        <f>B308</f>
        <v>He01</v>
      </c>
      <c r="G310" s="20" t="s">
        <v>377</v>
      </c>
      <c r="H310" s="18" t="s">
        <v>27</v>
      </c>
      <c r="I310" s="15" t="s">
        <v>19</v>
      </c>
      <c r="J310" s="17"/>
      <c r="K310" s="16" t="s">
        <v>21</v>
      </c>
    </row>
    <row r="311" ht="15.75" customHeight="1">
      <c r="A311" s="21"/>
      <c r="B311" s="22"/>
      <c r="C311" s="22"/>
      <c r="D311" s="22"/>
      <c r="E311" s="22"/>
      <c r="F311" s="22"/>
      <c r="G311" s="22"/>
      <c r="H311" s="22"/>
      <c r="I311" s="22"/>
      <c r="J311" s="22"/>
      <c r="K311" s="23"/>
    </row>
    <row r="312" ht="15.75" customHeight="1">
      <c r="A312" s="24"/>
      <c r="B312" s="25"/>
      <c r="C312" s="25"/>
      <c r="D312" s="25"/>
      <c r="E312" s="25"/>
      <c r="F312" s="25"/>
      <c r="G312" s="25"/>
      <c r="H312" s="25"/>
      <c r="I312" s="25"/>
      <c r="J312" s="25"/>
      <c r="K312" s="26"/>
    </row>
    <row r="313" ht="15.75" customHeight="1">
      <c r="A313" s="8" t="s">
        <v>1</v>
      </c>
      <c r="B313" s="8" t="s">
        <v>2</v>
      </c>
      <c r="C313" s="9" t="s">
        <v>3</v>
      </c>
      <c r="D313" s="9" t="s">
        <v>4</v>
      </c>
      <c r="E313" s="8" t="s">
        <v>5</v>
      </c>
      <c r="F313" s="8" t="s">
        <v>6</v>
      </c>
      <c r="G313" s="8" t="s">
        <v>7</v>
      </c>
      <c r="H313" s="10" t="s">
        <v>8</v>
      </c>
      <c r="I313" s="8" t="s">
        <v>9</v>
      </c>
      <c r="J313" s="9" t="s">
        <v>10</v>
      </c>
      <c r="K313" s="11" t="s">
        <v>11</v>
      </c>
    </row>
    <row r="314" ht="15.75" customHeight="1">
      <c r="A314" s="12" t="s">
        <v>707</v>
      </c>
      <c r="B314" s="2"/>
      <c r="C314" s="2"/>
      <c r="D314" s="2"/>
      <c r="E314" s="2"/>
      <c r="F314" s="2"/>
      <c r="G314" s="2"/>
      <c r="H314" s="2"/>
      <c r="I314" s="2"/>
      <c r="J314" s="13"/>
      <c r="K314" s="14"/>
    </row>
    <row r="315" ht="15.75" customHeight="1">
      <c r="A315" s="15">
        <f>A310+1</f>
        <v>226</v>
      </c>
      <c r="B315" s="16" t="s">
        <v>708</v>
      </c>
      <c r="C315" s="17" t="s">
        <v>709</v>
      </c>
      <c r="D315" s="17" t="s">
        <v>710</v>
      </c>
      <c r="E315" s="15" t="s">
        <v>16</v>
      </c>
      <c r="F315" s="15" t="s">
        <v>13</v>
      </c>
      <c r="G315" s="15" t="s">
        <v>18</v>
      </c>
      <c r="H315" s="18" t="s">
        <v>47</v>
      </c>
      <c r="I315" s="15" t="s">
        <v>48</v>
      </c>
      <c r="J315" s="19" t="s">
        <v>711</v>
      </c>
      <c r="K315" s="16" t="s">
        <v>21</v>
      </c>
    </row>
    <row r="316" ht="15.75" customHeight="1">
      <c r="A316" s="15">
        <f t="shared" ref="A316:A325" si="23">A315+1</f>
        <v>227</v>
      </c>
      <c r="B316" s="16" t="s">
        <v>712</v>
      </c>
      <c r="C316" s="19" t="s">
        <v>713</v>
      </c>
      <c r="D316" s="19" t="s">
        <v>714</v>
      </c>
      <c r="E316" s="20" t="s">
        <v>715</v>
      </c>
      <c r="F316" s="15" t="str">
        <f t="shared" ref="F316:F318" si="24">B315</f>
        <v>I01</v>
      </c>
      <c r="G316" s="20" t="s">
        <v>18</v>
      </c>
      <c r="H316" s="35" t="s">
        <v>47</v>
      </c>
      <c r="I316" s="20" t="s">
        <v>48</v>
      </c>
      <c r="J316" s="19" t="s">
        <v>716</v>
      </c>
      <c r="K316" s="16" t="s">
        <v>21</v>
      </c>
    </row>
    <row r="317" ht="15.75" customHeight="1">
      <c r="A317" s="15">
        <f t="shared" si="23"/>
        <v>228</v>
      </c>
      <c r="B317" s="16" t="s">
        <v>717</v>
      </c>
      <c r="C317" s="19" t="s">
        <v>718</v>
      </c>
      <c r="D317" s="19" t="s">
        <v>719</v>
      </c>
      <c r="E317" s="20" t="s">
        <v>16</v>
      </c>
      <c r="F317" s="15" t="str">
        <f t="shared" si="24"/>
        <v>I02</v>
      </c>
      <c r="G317" s="20" t="s">
        <v>18</v>
      </c>
      <c r="H317" s="35" t="s">
        <v>720</v>
      </c>
      <c r="I317" s="20" t="s">
        <v>48</v>
      </c>
      <c r="J317" s="17" t="s">
        <v>155</v>
      </c>
      <c r="K317" s="16" t="s">
        <v>21</v>
      </c>
    </row>
    <row r="318" ht="15.75" customHeight="1">
      <c r="A318" s="15">
        <f t="shared" si="23"/>
        <v>229</v>
      </c>
      <c r="B318" s="16" t="s">
        <v>721</v>
      </c>
      <c r="C318" s="19" t="s">
        <v>722</v>
      </c>
      <c r="D318" s="19" t="s">
        <v>723</v>
      </c>
      <c r="E318" s="20" t="s">
        <v>25</v>
      </c>
      <c r="F318" s="15" t="str">
        <f t="shared" si="24"/>
        <v>I03</v>
      </c>
      <c r="G318" s="20" t="s">
        <v>41</v>
      </c>
      <c r="H318" s="35" t="s">
        <v>27</v>
      </c>
      <c r="I318" s="20" t="s">
        <v>19</v>
      </c>
      <c r="J318" s="19" t="s">
        <v>724</v>
      </c>
      <c r="K318" s="16" t="s">
        <v>21</v>
      </c>
    </row>
    <row r="319" ht="15.75" customHeight="1">
      <c r="A319" s="15">
        <f t="shared" si="23"/>
        <v>230</v>
      </c>
      <c r="B319" s="16" t="s">
        <v>725</v>
      </c>
      <c r="C319" s="19" t="s">
        <v>726</v>
      </c>
      <c r="D319" s="19" t="s">
        <v>727</v>
      </c>
      <c r="E319" s="20" t="s">
        <v>25</v>
      </c>
      <c r="F319" s="15" t="str">
        <f>B317</f>
        <v>I03</v>
      </c>
      <c r="G319" s="20" t="s">
        <v>728</v>
      </c>
      <c r="H319" s="35" t="s">
        <v>47</v>
      </c>
      <c r="I319" s="20" t="s">
        <v>48</v>
      </c>
      <c r="J319" s="19" t="s">
        <v>729</v>
      </c>
      <c r="K319" s="16" t="s">
        <v>21</v>
      </c>
    </row>
    <row r="320" ht="15.75" customHeight="1">
      <c r="A320" s="15">
        <f t="shared" si="23"/>
        <v>231</v>
      </c>
      <c r="B320" s="16" t="s">
        <v>730</v>
      </c>
      <c r="C320" s="19" t="s">
        <v>731</v>
      </c>
      <c r="D320" s="19" t="s">
        <v>732</v>
      </c>
      <c r="E320" s="20" t="s">
        <v>25</v>
      </c>
      <c r="F320" s="15" t="str">
        <f>B317</f>
        <v>I03</v>
      </c>
      <c r="G320" s="20" t="s">
        <v>377</v>
      </c>
      <c r="H320" s="35" t="s">
        <v>27</v>
      </c>
      <c r="I320" s="20" t="s">
        <v>19</v>
      </c>
      <c r="J320" s="19" t="s">
        <v>733</v>
      </c>
      <c r="K320" s="16" t="s">
        <v>21</v>
      </c>
    </row>
    <row r="321" ht="15.75" customHeight="1">
      <c r="A321" s="15">
        <f t="shared" si="23"/>
        <v>232</v>
      </c>
      <c r="B321" s="16" t="s">
        <v>734</v>
      </c>
      <c r="C321" s="19" t="s">
        <v>735</v>
      </c>
      <c r="D321" s="19" t="s">
        <v>714</v>
      </c>
      <c r="E321" s="20" t="s">
        <v>715</v>
      </c>
      <c r="F321" s="15" t="str">
        <f>B315</f>
        <v>I01</v>
      </c>
      <c r="G321" s="20" t="s">
        <v>18</v>
      </c>
      <c r="H321" s="35" t="s">
        <v>47</v>
      </c>
      <c r="I321" s="20" t="s">
        <v>48</v>
      </c>
      <c r="J321" s="19" t="s">
        <v>736</v>
      </c>
      <c r="K321" s="16" t="s">
        <v>21</v>
      </c>
    </row>
    <row r="322" ht="15.75" customHeight="1">
      <c r="A322" s="15">
        <f t="shared" si="23"/>
        <v>233</v>
      </c>
      <c r="B322" s="16" t="s">
        <v>737</v>
      </c>
      <c r="C322" s="19" t="s">
        <v>738</v>
      </c>
      <c r="D322" s="19" t="s">
        <v>719</v>
      </c>
      <c r="E322" s="20" t="s">
        <v>16</v>
      </c>
      <c r="F322" s="15" t="str">
        <f t="shared" ref="F322:F323" si="25">B321</f>
        <v>I07</v>
      </c>
      <c r="G322" s="20" t="s">
        <v>18</v>
      </c>
      <c r="H322" s="35" t="s">
        <v>239</v>
      </c>
      <c r="I322" s="20" t="s">
        <v>19</v>
      </c>
      <c r="J322" s="17" t="s">
        <v>155</v>
      </c>
      <c r="K322" s="16" t="s">
        <v>21</v>
      </c>
    </row>
    <row r="323" ht="15.75" customHeight="1">
      <c r="A323" s="15">
        <f t="shared" si="23"/>
        <v>234</v>
      </c>
      <c r="B323" s="16" t="s">
        <v>739</v>
      </c>
      <c r="C323" s="19" t="s">
        <v>740</v>
      </c>
      <c r="D323" s="19" t="s">
        <v>741</v>
      </c>
      <c r="E323" s="20" t="s">
        <v>25</v>
      </c>
      <c r="F323" s="15" t="str">
        <f t="shared" si="25"/>
        <v>I08</v>
      </c>
      <c r="G323" s="20" t="s">
        <v>742</v>
      </c>
      <c r="H323" s="35" t="s">
        <v>27</v>
      </c>
      <c r="I323" s="20" t="s">
        <v>19</v>
      </c>
      <c r="J323" s="19" t="s">
        <v>743</v>
      </c>
      <c r="K323" s="16" t="s">
        <v>21</v>
      </c>
    </row>
    <row r="324" ht="15.75" customHeight="1">
      <c r="A324" s="15">
        <f t="shared" si="23"/>
        <v>235</v>
      </c>
      <c r="B324" s="16" t="s">
        <v>744</v>
      </c>
      <c r="C324" s="19" t="s">
        <v>745</v>
      </c>
      <c r="D324" s="19" t="s">
        <v>746</v>
      </c>
      <c r="E324" s="20" t="s">
        <v>25</v>
      </c>
      <c r="F324" s="15" t="str">
        <f>B322</f>
        <v>I08</v>
      </c>
      <c r="G324" s="20" t="s">
        <v>595</v>
      </c>
      <c r="H324" s="35" t="s">
        <v>27</v>
      </c>
      <c r="I324" s="20" t="s">
        <v>19</v>
      </c>
      <c r="J324" s="19" t="s">
        <v>747</v>
      </c>
      <c r="K324" s="16" t="s">
        <v>21</v>
      </c>
    </row>
    <row r="325" ht="15.75" customHeight="1">
      <c r="A325" s="15">
        <f t="shared" si="23"/>
        <v>236</v>
      </c>
      <c r="B325" s="16" t="s">
        <v>748</v>
      </c>
      <c r="C325" s="19" t="s">
        <v>749</v>
      </c>
      <c r="D325" s="19" t="s">
        <v>750</v>
      </c>
      <c r="E325" s="20" t="s">
        <v>25</v>
      </c>
      <c r="F325" s="15" t="str">
        <f>B322</f>
        <v>I08</v>
      </c>
      <c r="G325" s="20" t="s">
        <v>751</v>
      </c>
      <c r="H325" s="35" t="s">
        <v>47</v>
      </c>
      <c r="I325" s="20" t="s">
        <v>48</v>
      </c>
      <c r="J325" s="19" t="s">
        <v>752</v>
      </c>
      <c r="K325" s="16" t="s">
        <v>21</v>
      </c>
    </row>
    <row r="326" ht="15.75" customHeight="1">
      <c r="A326" s="21"/>
      <c r="B326" s="22"/>
      <c r="C326" s="22"/>
      <c r="D326" s="22"/>
      <c r="E326" s="22"/>
      <c r="F326" s="22"/>
      <c r="G326" s="22"/>
      <c r="H326" s="22"/>
      <c r="I326" s="22"/>
      <c r="J326" s="22"/>
      <c r="K326" s="23"/>
    </row>
    <row r="327" ht="15.75" customHeight="1">
      <c r="A327" s="24"/>
      <c r="B327" s="25"/>
      <c r="C327" s="25"/>
      <c r="D327" s="25"/>
      <c r="E327" s="25"/>
      <c r="F327" s="25"/>
      <c r="G327" s="25"/>
      <c r="H327" s="25"/>
      <c r="I327" s="25"/>
      <c r="J327" s="25"/>
      <c r="K327" s="26"/>
    </row>
    <row r="328" ht="15.75" customHeight="1">
      <c r="A328" s="8" t="s">
        <v>1</v>
      </c>
      <c r="B328" s="8" t="s">
        <v>2</v>
      </c>
      <c r="C328" s="9" t="s">
        <v>3</v>
      </c>
      <c r="D328" s="9" t="s">
        <v>4</v>
      </c>
      <c r="E328" s="8" t="s">
        <v>5</v>
      </c>
      <c r="F328" s="8" t="s">
        <v>6</v>
      </c>
      <c r="G328" s="8" t="s">
        <v>7</v>
      </c>
      <c r="H328" s="10" t="s">
        <v>8</v>
      </c>
      <c r="I328" s="8" t="s">
        <v>9</v>
      </c>
      <c r="J328" s="9" t="s">
        <v>10</v>
      </c>
      <c r="K328" s="11" t="s">
        <v>11</v>
      </c>
    </row>
    <row r="329" ht="15.75" customHeight="1">
      <c r="A329" s="12" t="s">
        <v>753</v>
      </c>
      <c r="B329" s="2"/>
      <c r="C329" s="2"/>
      <c r="D329" s="2"/>
      <c r="E329" s="2"/>
      <c r="F329" s="2"/>
      <c r="G329" s="2"/>
      <c r="H329" s="2"/>
      <c r="I329" s="2"/>
      <c r="J329" s="13"/>
      <c r="K329" s="14"/>
    </row>
    <row r="330" ht="15.75" customHeight="1">
      <c r="A330" s="15">
        <f>A325+1</f>
        <v>237</v>
      </c>
      <c r="B330" s="16" t="s">
        <v>754</v>
      </c>
      <c r="C330" s="17" t="s">
        <v>755</v>
      </c>
      <c r="D330" s="17" t="s">
        <v>756</v>
      </c>
      <c r="E330" s="15" t="s">
        <v>16</v>
      </c>
      <c r="F330" s="15" t="s">
        <v>13</v>
      </c>
      <c r="G330" s="15" t="s">
        <v>18</v>
      </c>
      <c r="H330" s="18" t="s">
        <v>47</v>
      </c>
      <c r="I330" s="15" t="s">
        <v>48</v>
      </c>
      <c r="J330" s="19" t="s">
        <v>757</v>
      </c>
      <c r="K330" s="16" t="s">
        <v>21</v>
      </c>
    </row>
    <row r="331" ht="15.75" customHeight="1">
      <c r="A331" s="15">
        <f t="shared" ref="A331:A340" si="26">A330+1</f>
        <v>238</v>
      </c>
      <c r="B331" s="16" t="s">
        <v>758</v>
      </c>
      <c r="C331" s="17" t="s">
        <v>429</v>
      </c>
      <c r="D331" s="17" t="s">
        <v>430</v>
      </c>
      <c r="E331" s="15" t="s">
        <v>25</v>
      </c>
      <c r="F331" s="15" t="str">
        <f>B330</f>
        <v>J01</v>
      </c>
      <c r="G331" s="20" t="s">
        <v>377</v>
      </c>
      <c r="H331" s="18" t="s">
        <v>27</v>
      </c>
      <c r="I331" s="15" t="s">
        <v>19</v>
      </c>
      <c r="J331" s="17"/>
      <c r="K331" s="16" t="s">
        <v>21</v>
      </c>
    </row>
    <row r="332" ht="15.75" customHeight="1">
      <c r="A332" s="15">
        <f t="shared" si="26"/>
        <v>239</v>
      </c>
      <c r="B332" s="16" t="s">
        <v>759</v>
      </c>
      <c r="C332" s="17" t="s">
        <v>607</v>
      </c>
      <c r="D332" s="17" t="s">
        <v>760</v>
      </c>
      <c r="E332" s="15" t="s">
        <v>25</v>
      </c>
      <c r="F332" s="15" t="str">
        <f>B330</f>
        <v>J01</v>
      </c>
      <c r="G332" s="20" t="s">
        <v>377</v>
      </c>
      <c r="H332" s="18" t="s">
        <v>27</v>
      </c>
      <c r="I332" s="15" t="s">
        <v>19</v>
      </c>
      <c r="J332" s="17"/>
      <c r="K332" s="16" t="s">
        <v>21</v>
      </c>
    </row>
    <row r="333" ht="15.75" customHeight="1">
      <c r="A333" s="15">
        <f t="shared" si="26"/>
        <v>240</v>
      </c>
      <c r="B333" s="16" t="s">
        <v>761</v>
      </c>
      <c r="C333" s="17" t="s">
        <v>762</v>
      </c>
      <c r="D333" s="17" t="s">
        <v>763</v>
      </c>
      <c r="E333" s="15" t="s">
        <v>16</v>
      </c>
      <c r="F333" s="15" t="str">
        <f>B330</f>
        <v>J01</v>
      </c>
      <c r="G333" s="15" t="s">
        <v>18</v>
      </c>
      <c r="H333" s="18" t="s">
        <v>27</v>
      </c>
      <c r="I333" s="15" t="s">
        <v>19</v>
      </c>
      <c r="J333" s="17"/>
      <c r="K333" s="16" t="s">
        <v>21</v>
      </c>
    </row>
    <row r="334" ht="15.75" customHeight="1">
      <c r="A334" s="15">
        <f t="shared" si="26"/>
        <v>241</v>
      </c>
      <c r="B334" s="16" t="s">
        <v>764</v>
      </c>
      <c r="C334" s="17" t="s">
        <v>615</v>
      </c>
      <c r="D334" s="17" t="s">
        <v>765</v>
      </c>
      <c r="E334" s="15" t="s">
        <v>25</v>
      </c>
      <c r="F334" s="15" t="str">
        <f>B333</f>
        <v>J04</v>
      </c>
      <c r="G334" s="20" t="s">
        <v>377</v>
      </c>
      <c r="H334" s="18" t="s">
        <v>27</v>
      </c>
      <c r="I334" s="15" t="s">
        <v>19</v>
      </c>
      <c r="J334" s="17"/>
      <c r="K334" s="16" t="s">
        <v>21</v>
      </c>
    </row>
    <row r="335" ht="15.75" customHeight="1">
      <c r="A335" s="15">
        <f t="shared" si="26"/>
        <v>242</v>
      </c>
      <c r="B335" s="16" t="s">
        <v>766</v>
      </c>
      <c r="C335" s="17" t="s">
        <v>619</v>
      </c>
      <c r="D335" s="17" t="s">
        <v>767</v>
      </c>
      <c r="E335" s="15" t="s">
        <v>25</v>
      </c>
      <c r="F335" s="15" t="str">
        <f>B333</f>
        <v>J04</v>
      </c>
      <c r="G335" s="20" t="s">
        <v>377</v>
      </c>
      <c r="H335" s="18" t="s">
        <v>27</v>
      </c>
      <c r="I335" s="15" t="s">
        <v>19</v>
      </c>
      <c r="J335" s="17"/>
      <c r="K335" s="16" t="s">
        <v>21</v>
      </c>
    </row>
    <row r="336" ht="15.75" customHeight="1">
      <c r="A336" s="15">
        <f t="shared" si="26"/>
        <v>243</v>
      </c>
      <c r="B336" s="16" t="s">
        <v>768</v>
      </c>
      <c r="C336" s="17" t="s">
        <v>623</v>
      </c>
      <c r="D336" s="17" t="s">
        <v>769</v>
      </c>
      <c r="E336" s="15" t="s">
        <v>25</v>
      </c>
      <c r="F336" s="15" t="str">
        <f>B333</f>
        <v>J04</v>
      </c>
      <c r="G336" s="20" t="s">
        <v>377</v>
      </c>
      <c r="H336" s="18" t="s">
        <v>27</v>
      </c>
      <c r="I336" s="15" t="s">
        <v>19</v>
      </c>
      <c r="J336" s="17"/>
      <c r="K336" s="16" t="s">
        <v>21</v>
      </c>
    </row>
    <row r="337" ht="15.75" customHeight="1">
      <c r="A337" s="15">
        <f t="shared" si="26"/>
        <v>244</v>
      </c>
      <c r="B337" s="16" t="s">
        <v>770</v>
      </c>
      <c r="C337" s="17" t="s">
        <v>642</v>
      </c>
      <c r="D337" s="17" t="s">
        <v>771</v>
      </c>
      <c r="E337" s="15" t="s">
        <v>25</v>
      </c>
      <c r="F337" s="15" t="str">
        <f>B333</f>
        <v>J04</v>
      </c>
      <c r="G337" s="20" t="s">
        <v>377</v>
      </c>
      <c r="H337" s="18" t="s">
        <v>27</v>
      </c>
      <c r="I337" s="15" t="s">
        <v>19</v>
      </c>
      <c r="J337" s="17"/>
      <c r="K337" s="16" t="s">
        <v>21</v>
      </c>
    </row>
    <row r="338" ht="15.75" customHeight="1">
      <c r="A338" s="15">
        <f t="shared" si="26"/>
        <v>245</v>
      </c>
      <c r="B338" s="16" t="s">
        <v>772</v>
      </c>
      <c r="C338" s="17" t="s">
        <v>656</v>
      </c>
      <c r="D338" s="17" t="s">
        <v>773</v>
      </c>
      <c r="E338" s="15" t="s">
        <v>25</v>
      </c>
      <c r="F338" s="15" t="str">
        <f>B333</f>
        <v>J04</v>
      </c>
      <c r="G338" s="20" t="s">
        <v>377</v>
      </c>
      <c r="H338" s="18" t="s">
        <v>27</v>
      </c>
      <c r="I338" s="15" t="s">
        <v>19</v>
      </c>
      <c r="J338" s="17"/>
      <c r="K338" s="16" t="s">
        <v>21</v>
      </c>
    </row>
    <row r="339" ht="15.75" customHeight="1">
      <c r="A339" s="15">
        <f t="shared" si="26"/>
        <v>246</v>
      </c>
      <c r="B339" s="16" t="s">
        <v>774</v>
      </c>
      <c r="C339" s="17" t="s">
        <v>670</v>
      </c>
      <c r="D339" s="17" t="s">
        <v>671</v>
      </c>
      <c r="E339" s="15" t="s">
        <v>25</v>
      </c>
      <c r="F339" s="15" t="str">
        <f>B333</f>
        <v>J04</v>
      </c>
      <c r="G339" s="20" t="s">
        <v>377</v>
      </c>
      <c r="H339" s="18" t="s">
        <v>27</v>
      </c>
      <c r="I339" s="15" t="s">
        <v>19</v>
      </c>
      <c r="J339" s="17"/>
      <c r="K339" s="16" t="s">
        <v>21</v>
      </c>
    </row>
    <row r="340" ht="15.75" customHeight="1">
      <c r="A340" s="15">
        <f t="shared" si="26"/>
        <v>247</v>
      </c>
      <c r="B340" s="16" t="s">
        <v>775</v>
      </c>
      <c r="C340" s="17" t="s">
        <v>776</v>
      </c>
      <c r="D340" s="17" t="s">
        <v>777</v>
      </c>
      <c r="E340" s="15" t="s">
        <v>25</v>
      </c>
      <c r="F340" s="15" t="str">
        <f>B330</f>
        <v>J01</v>
      </c>
      <c r="G340" s="20" t="s">
        <v>377</v>
      </c>
      <c r="H340" s="18" t="s">
        <v>27</v>
      </c>
      <c r="I340" s="15" t="s">
        <v>19</v>
      </c>
      <c r="J340" s="19" t="s">
        <v>778</v>
      </c>
      <c r="K340" s="16" t="s">
        <v>21</v>
      </c>
    </row>
    <row r="341" ht="15.75" customHeight="1">
      <c r="A341" s="21"/>
      <c r="B341" s="22"/>
      <c r="C341" s="22"/>
      <c r="D341" s="22"/>
      <c r="E341" s="22"/>
      <c r="F341" s="22"/>
      <c r="G341" s="22"/>
      <c r="H341" s="22"/>
      <c r="I341" s="22"/>
      <c r="J341" s="22"/>
      <c r="K341" s="23"/>
    </row>
    <row r="342" ht="15.75" customHeight="1">
      <c r="A342" s="24"/>
      <c r="B342" s="25"/>
      <c r="C342" s="25"/>
      <c r="D342" s="25"/>
      <c r="E342" s="25"/>
      <c r="F342" s="25"/>
      <c r="G342" s="25"/>
      <c r="H342" s="25"/>
      <c r="I342" s="25"/>
      <c r="J342" s="25"/>
      <c r="K342" s="26"/>
    </row>
    <row r="343" ht="15.75" customHeight="1">
      <c r="A343" s="8" t="s">
        <v>1</v>
      </c>
      <c r="B343" s="8" t="s">
        <v>2</v>
      </c>
      <c r="C343" s="9" t="s">
        <v>3</v>
      </c>
      <c r="D343" s="9" t="s">
        <v>4</v>
      </c>
      <c r="E343" s="8" t="s">
        <v>5</v>
      </c>
      <c r="F343" s="8" t="s">
        <v>6</v>
      </c>
      <c r="G343" s="8" t="s">
        <v>7</v>
      </c>
      <c r="H343" s="10" t="s">
        <v>8</v>
      </c>
      <c r="I343" s="8" t="s">
        <v>9</v>
      </c>
      <c r="J343" s="9" t="s">
        <v>10</v>
      </c>
      <c r="K343" s="11" t="s">
        <v>11</v>
      </c>
    </row>
    <row r="344" ht="15.75" customHeight="1">
      <c r="A344" s="12" t="s">
        <v>779</v>
      </c>
      <c r="B344" s="2"/>
      <c r="C344" s="2"/>
      <c r="D344" s="2"/>
      <c r="E344" s="2"/>
      <c r="F344" s="2"/>
      <c r="G344" s="2"/>
      <c r="H344" s="2"/>
      <c r="I344" s="2"/>
      <c r="J344" s="13"/>
      <c r="K344" s="14"/>
    </row>
    <row r="345" ht="15.75" customHeight="1">
      <c r="A345" s="15">
        <f>A340+1</f>
        <v>248</v>
      </c>
      <c r="B345" s="16" t="s">
        <v>780</v>
      </c>
      <c r="C345" s="17" t="s">
        <v>781</v>
      </c>
      <c r="D345" s="17" t="s">
        <v>782</v>
      </c>
      <c r="E345" s="15" t="s">
        <v>16</v>
      </c>
      <c r="F345" s="15" t="s">
        <v>13</v>
      </c>
      <c r="G345" s="15" t="s">
        <v>18</v>
      </c>
      <c r="H345" s="18" t="s">
        <v>47</v>
      </c>
      <c r="I345" s="15" t="s">
        <v>48</v>
      </c>
      <c r="J345" s="19" t="s">
        <v>783</v>
      </c>
      <c r="K345" s="16" t="s">
        <v>21</v>
      </c>
    </row>
    <row r="346" ht="15.75" customHeight="1">
      <c r="A346" s="15">
        <f t="shared" ref="A346:A355" si="27">A345+1</f>
        <v>249</v>
      </c>
      <c r="B346" s="16" t="s">
        <v>784</v>
      </c>
      <c r="C346" s="17" t="s">
        <v>785</v>
      </c>
      <c r="D346" s="17" t="s">
        <v>786</v>
      </c>
      <c r="E346" s="15" t="s">
        <v>25</v>
      </c>
      <c r="F346" s="15" t="str">
        <f>B345</f>
        <v>K01</v>
      </c>
      <c r="G346" s="20" t="s">
        <v>787</v>
      </c>
      <c r="H346" s="18" t="s">
        <v>47</v>
      </c>
      <c r="I346" s="15" t="s">
        <v>48</v>
      </c>
      <c r="J346" s="17"/>
      <c r="K346" s="16" t="s">
        <v>21</v>
      </c>
    </row>
    <row r="347" ht="15.75" customHeight="1">
      <c r="A347" s="15">
        <f t="shared" si="27"/>
        <v>250</v>
      </c>
      <c r="B347" s="16" t="s">
        <v>788</v>
      </c>
      <c r="C347" s="17" t="s">
        <v>789</v>
      </c>
      <c r="D347" s="17" t="s">
        <v>790</v>
      </c>
      <c r="E347" s="15" t="s">
        <v>25</v>
      </c>
      <c r="F347" s="15" t="str">
        <f>B345</f>
        <v>K01</v>
      </c>
      <c r="G347" s="20" t="s">
        <v>787</v>
      </c>
      <c r="H347" s="18" t="s">
        <v>47</v>
      </c>
      <c r="I347" s="15" t="s">
        <v>48</v>
      </c>
      <c r="J347" s="17"/>
      <c r="K347" s="16" t="s">
        <v>21</v>
      </c>
    </row>
    <row r="348" ht="15.75" customHeight="1">
      <c r="A348" s="15">
        <f t="shared" si="27"/>
        <v>251</v>
      </c>
      <c r="B348" s="16" t="s">
        <v>791</v>
      </c>
      <c r="C348" s="17" t="s">
        <v>792</v>
      </c>
      <c r="D348" s="17" t="s">
        <v>793</v>
      </c>
      <c r="E348" s="15" t="s">
        <v>16</v>
      </c>
      <c r="F348" s="15" t="str">
        <f>B345</f>
        <v>K01</v>
      </c>
      <c r="G348" s="15" t="s">
        <v>18</v>
      </c>
      <c r="H348" s="18" t="s">
        <v>47</v>
      </c>
      <c r="I348" s="15" t="s">
        <v>48</v>
      </c>
      <c r="J348" s="19" t="s">
        <v>794</v>
      </c>
      <c r="K348" s="16" t="s">
        <v>21</v>
      </c>
    </row>
    <row r="349" ht="15.75" customHeight="1">
      <c r="A349" s="15">
        <f t="shared" si="27"/>
        <v>252</v>
      </c>
      <c r="B349" s="16" t="s">
        <v>795</v>
      </c>
      <c r="C349" s="17" t="s">
        <v>796</v>
      </c>
      <c r="D349" s="17" t="s">
        <v>797</v>
      </c>
      <c r="E349" s="15" t="s">
        <v>16</v>
      </c>
      <c r="F349" s="15" t="str">
        <f t="shared" ref="F349:F350" si="28">B348</f>
        <v>K04</v>
      </c>
      <c r="G349" s="15" t="s">
        <v>18</v>
      </c>
      <c r="H349" s="18" t="s">
        <v>411</v>
      </c>
      <c r="I349" s="15" t="s">
        <v>19</v>
      </c>
      <c r="J349" s="17" t="s">
        <v>155</v>
      </c>
      <c r="K349" s="16" t="s">
        <v>21</v>
      </c>
    </row>
    <row r="350" ht="15.75" customHeight="1">
      <c r="A350" s="15">
        <f t="shared" si="27"/>
        <v>253</v>
      </c>
      <c r="B350" s="16" t="s">
        <v>798</v>
      </c>
      <c r="C350" s="17" t="s">
        <v>799</v>
      </c>
      <c r="D350" s="17" t="s">
        <v>800</v>
      </c>
      <c r="E350" s="15" t="s">
        <v>25</v>
      </c>
      <c r="F350" s="15" t="str">
        <f t="shared" si="28"/>
        <v>K05</v>
      </c>
      <c r="G350" s="20" t="s">
        <v>123</v>
      </c>
      <c r="H350" s="18" t="s">
        <v>27</v>
      </c>
      <c r="I350" s="15" t="s">
        <v>19</v>
      </c>
      <c r="J350" s="17"/>
      <c r="K350" s="16" t="s">
        <v>21</v>
      </c>
    </row>
    <row r="351" ht="15.75" customHeight="1">
      <c r="A351" s="15">
        <f t="shared" si="27"/>
        <v>254</v>
      </c>
      <c r="B351" s="16" t="s">
        <v>801</v>
      </c>
      <c r="C351" s="17" t="s">
        <v>802</v>
      </c>
      <c r="D351" s="17" t="s">
        <v>803</v>
      </c>
      <c r="E351" s="15" t="s">
        <v>25</v>
      </c>
      <c r="F351" s="15" t="str">
        <f>B349</f>
        <v>K05</v>
      </c>
      <c r="G351" s="20" t="s">
        <v>181</v>
      </c>
      <c r="H351" s="18" t="s">
        <v>27</v>
      </c>
      <c r="I351" s="15" t="s">
        <v>19</v>
      </c>
      <c r="J351" s="17"/>
      <c r="K351" s="16" t="s">
        <v>21</v>
      </c>
    </row>
    <row r="352" ht="15.75" customHeight="1">
      <c r="A352" s="15">
        <f t="shared" si="27"/>
        <v>255</v>
      </c>
      <c r="B352" s="16" t="s">
        <v>804</v>
      </c>
      <c r="C352" s="17" t="s">
        <v>805</v>
      </c>
      <c r="D352" s="17" t="s">
        <v>806</v>
      </c>
      <c r="E352" s="15" t="s">
        <v>16</v>
      </c>
      <c r="F352" s="15" t="str">
        <f>B345</f>
        <v>K01</v>
      </c>
      <c r="G352" s="15" t="s">
        <v>18</v>
      </c>
      <c r="H352" s="18" t="s">
        <v>47</v>
      </c>
      <c r="I352" s="15" t="s">
        <v>48</v>
      </c>
      <c r="J352" s="19" t="s">
        <v>807</v>
      </c>
      <c r="K352" s="16" t="s">
        <v>21</v>
      </c>
    </row>
    <row r="353" ht="15.75" customHeight="1">
      <c r="A353" s="15">
        <f t="shared" si="27"/>
        <v>256</v>
      </c>
      <c r="B353" s="16" t="s">
        <v>808</v>
      </c>
      <c r="C353" s="17" t="s">
        <v>809</v>
      </c>
      <c r="D353" s="17" t="s">
        <v>810</v>
      </c>
      <c r="E353" s="15" t="s">
        <v>16</v>
      </c>
      <c r="F353" s="15" t="str">
        <f>B352</f>
        <v>K08</v>
      </c>
      <c r="G353" s="15" t="s">
        <v>18</v>
      </c>
      <c r="H353" s="18" t="s">
        <v>411</v>
      </c>
      <c r="I353" s="15" t="s">
        <v>19</v>
      </c>
      <c r="J353" s="17" t="s">
        <v>155</v>
      </c>
      <c r="K353" s="16" t="s">
        <v>21</v>
      </c>
    </row>
    <row r="354" ht="15.75" customHeight="1">
      <c r="A354" s="15">
        <f t="shared" si="27"/>
        <v>257</v>
      </c>
      <c r="B354" s="16" t="s">
        <v>811</v>
      </c>
      <c r="C354" s="17" t="s">
        <v>799</v>
      </c>
      <c r="D354" s="17" t="s">
        <v>800</v>
      </c>
      <c r="E354" s="15" t="s">
        <v>25</v>
      </c>
      <c r="F354" s="15" t="s">
        <v>808</v>
      </c>
      <c r="G354" s="20" t="s">
        <v>123</v>
      </c>
      <c r="H354" s="18" t="s">
        <v>27</v>
      </c>
      <c r="I354" s="15" t="s">
        <v>19</v>
      </c>
      <c r="J354" s="17"/>
      <c r="K354" s="16" t="s">
        <v>21</v>
      </c>
    </row>
    <row r="355" ht="15.75" customHeight="1">
      <c r="A355" s="15">
        <f t="shared" si="27"/>
        <v>258</v>
      </c>
      <c r="B355" s="16" t="s">
        <v>812</v>
      </c>
      <c r="C355" s="17" t="s">
        <v>802</v>
      </c>
      <c r="D355" s="17" t="s">
        <v>803</v>
      </c>
      <c r="E355" s="15" t="s">
        <v>25</v>
      </c>
      <c r="F355" s="15" t="s">
        <v>808</v>
      </c>
      <c r="G355" s="20" t="s">
        <v>181</v>
      </c>
      <c r="H355" s="18" t="s">
        <v>27</v>
      </c>
      <c r="I355" s="15" t="s">
        <v>19</v>
      </c>
      <c r="J355" s="17"/>
      <c r="K355" s="16" t="s">
        <v>21</v>
      </c>
    </row>
    <row r="356" ht="15.75" customHeight="1">
      <c r="A356" s="21"/>
      <c r="B356" s="22"/>
      <c r="C356" s="22"/>
      <c r="D356" s="22"/>
      <c r="E356" s="22"/>
      <c r="F356" s="22"/>
      <c r="G356" s="22"/>
      <c r="H356" s="22"/>
      <c r="I356" s="22"/>
      <c r="J356" s="22"/>
      <c r="K356" s="23"/>
    </row>
    <row r="357" ht="15.75" customHeight="1">
      <c r="A357" s="24"/>
      <c r="B357" s="25"/>
      <c r="C357" s="25"/>
      <c r="D357" s="25"/>
      <c r="E357" s="25"/>
      <c r="F357" s="25"/>
      <c r="G357" s="25"/>
      <c r="H357" s="25"/>
      <c r="I357" s="25"/>
      <c r="J357" s="25"/>
      <c r="K357" s="26"/>
    </row>
    <row r="358" ht="15.75" customHeight="1">
      <c r="A358" s="8" t="s">
        <v>1</v>
      </c>
      <c r="B358" s="8" t="s">
        <v>2</v>
      </c>
      <c r="C358" s="9" t="s">
        <v>3</v>
      </c>
      <c r="D358" s="9" t="s">
        <v>4</v>
      </c>
      <c r="E358" s="8" t="s">
        <v>5</v>
      </c>
      <c r="F358" s="8" t="s">
        <v>6</v>
      </c>
      <c r="G358" s="8" t="s">
        <v>7</v>
      </c>
      <c r="H358" s="10" t="s">
        <v>8</v>
      </c>
      <c r="I358" s="8" t="s">
        <v>9</v>
      </c>
      <c r="J358" s="9" t="s">
        <v>10</v>
      </c>
      <c r="K358" s="11" t="s">
        <v>11</v>
      </c>
    </row>
    <row r="359" ht="15.75" customHeight="1">
      <c r="A359" s="27" t="s">
        <v>813</v>
      </c>
      <c r="B359" s="2"/>
      <c r="C359" s="2"/>
      <c r="D359" s="2"/>
      <c r="E359" s="2"/>
      <c r="F359" s="2"/>
      <c r="G359" s="2"/>
      <c r="H359" s="2"/>
      <c r="I359" s="2"/>
      <c r="J359" s="13"/>
      <c r="K359" s="14"/>
    </row>
    <row r="360" ht="15.75" customHeight="1">
      <c r="A360" s="15">
        <f>A355+1</f>
        <v>259</v>
      </c>
      <c r="B360" s="33" t="s">
        <v>814</v>
      </c>
      <c r="C360" s="28" t="s">
        <v>815</v>
      </c>
      <c r="D360" s="28" t="s">
        <v>816</v>
      </c>
      <c r="E360" s="29" t="s">
        <v>16</v>
      </c>
      <c r="F360" s="29" t="s">
        <v>13</v>
      </c>
      <c r="G360" s="29" t="s">
        <v>18</v>
      </c>
      <c r="H360" s="18" t="s">
        <v>47</v>
      </c>
      <c r="I360" s="15" t="s">
        <v>48</v>
      </c>
      <c r="J360" s="32" t="s">
        <v>817</v>
      </c>
      <c r="K360" s="33" t="s">
        <v>21</v>
      </c>
    </row>
    <row r="361" ht="15.75" customHeight="1">
      <c r="A361" s="15">
        <f t="shared" ref="A361:A364" si="29">A360+1</f>
        <v>260</v>
      </c>
      <c r="B361" s="33" t="s">
        <v>818</v>
      </c>
      <c r="C361" s="28" t="s">
        <v>165</v>
      </c>
      <c r="D361" s="28" t="s">
        <v>819</v>
      </c>
      <c r="E361" s="29" t="s">
        <v>25</v>
      </c>
      <c r="F361" s="29" t="str">
        <f>B360</f>
        <v>L01</v>
      </c>
      <c r="G361" s="29" t="s">
        <v>168</v>
      </c>
      <c r="H361" s="31" t="s">
        <v>27</v>
      </c>
      <c r="I361" s="29" t="s">
        <v>19</v>
      </c>
      <c r="J361" s="28"/>
      <c r="K361" s="33" t="s">
        <v>21</v>
      </c>
    </row>
    <row r="362" ht="15.75" customHeight="1">
      <c r="A362" s="15">
        <f t="shared" si="29"/>
        <v>261</v>
      </c>
      <c r="B362" s="33" t="s">
        <v>820</v>
      </c>
      <c r="C362" s="28" t="s">
        <v>821</v>
      </c>
      <c r="D362" s="28" t="s">
        <v>822</v>
      </c>
      <c r="E362" s="29" t="s">
        <v>25</v>
      </c>
      <c r="F362" s="29" t="str">
        <f>B360</f>
        <v>L01</v>
      </c>
      <c r="G362" s="30" t="s">
        <v>177</v>
      </c>
      <c r="H362" s="31" t="s">
        <v>27</v>
      </c>
      <c r="I362" s="29" t="s">
        <v>19</v>
      </c>
      <c r="J362" s="32" t="s">
        <v>823</v>
      </c>
      <c r="K362" s="33" t="s">
        <v>21</v>
      </c>
    </row>
    <row r="363" ht="15.75" customHeight="1">
      <c r="A363" s="15">
        <f t="shared" si="29"/>
        <v>262</v>
      </c>
      <c r="B363" s="33" t="s">
        <v>824</v>
      </c>
      <c r="C363" s="28" t="s">
        <v>325</v>
      </c>
      <c r="D363" s="28" t="s">
        <v>825</v>
      </c>
      <c r="E363" s="29" t="s">
        <v>25</v>
      </c>
      <c r="F363" s="29" t="str">
        <f>B360</f>
        <v>L01</v>
      </c>
      <c r="G363" s="30" t="s">
        <v>826</v>
      </c>
      <c r="H363" s="31" t="s">
        <v>27</v>
      </c>
      <c r="I363" s="29" t="s">
        <v>19</v>
      </c>
      <c r="J363" s="32" t="s">
        <v>827</v>
      </c>
      <c r="K363" s="33" t="s">
        <v>21</v>
      </c>
    </row>
    <row r="364" ht="15.75" customHeight="1">
      <c r="A364" s="15">
        <f t="shared" si="29"/>
        <v>263</v>
      </c>
      <c r="B364" s="33" t="s">
        <v>828</v>
      </c>
      <c r="C364" s="28" t="s">
        <v>227</v>
      </c>
      <c r="D364" s="28" t="s">
        <v>829</v>
      </c>
      <c r="E364" s="29" t="s">
        <v>25</v>
      </c>
      <c r="F364" s="29" t="str">
        <f>B360</f>
        <v>L01</v>
      </c>
      <c r="G364" s="29" t="s">
        <v>229</v>
      </c>
      <c r="H364" s="31" t="s">
        <v>27</v>
      </c>
      <c r="I364" s="29" t="s">
        <v>19</v>
      </c>
      <c r="J364" s="32" t="s">
        <v>830</v>
      </c>
      <c r="K364" s="33" t="s">
        <v>21</v>
      </c>
    </row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53">
    <mergeCell ref="A1:K1"/>
    <mergeCell ref="A2:B2"/>
    <mergeCell ref="C2:K2"/>
    <mergeCell ref="I3:K3"/>
    <mergeCell ref="A5:J5"/>
    <mergeCell ref="A9:K10"/>
    <mergeCell ref="A12:J12"/>
    <mergeCell ref="A39:K40"/>
    <mergeCell ref="A42:J42"/>
    <mergeCell ref="A46:K47"/>
    <mergeCell ref="A49:J49"/>
    <mergeCell ref="A56:K57"/>
    <mergeCell ref="A59:J59"/>
    <mergeCell ref="A72:K73"/>
    <mergeCell ref="A75:J75"/>
    <mergeCell ref="A85:K86"/>
    <mergeCell ref="A88:J88"/>
    <mergeCell ref="A101:K102"/>
    <mergeCell ref="A104:J104"/>
    <mergeCell ref="A114:K115"/>
    <mergeCell ref="A117:J117"/>
    <mergeCell ref="A131:K132"/>
    <mergeCell ref="A134:J134"/>
    <mergeCell ref="A151:K152"/>
    <mergeCell ref="A154:J154"/>
    <mergeCell ref="A166:K167"/>
    <mergeCell ref="A169:J169"/>
    <mergeCell ref="A175:K176"/>
    <mergeCell ref="A178:J178"/>
    <mergeCell ref="A203:K204"/>
    <mergeCell ref="A206:J206"/>
    <mergeCell ref="A214:K215"/>
    <mergeCell ref="A217:J217"/>
    <mergeCell ref="A245:K246"/>
    <mergeCell ref="A248:J248"/>
    <mergeCell ref="A263:K264"/>
    <mergeCell ref="A266:J266"/>
    <mergeCell ref="A273:K274"/>
    <mergeCell ref="A276:J276"/>
    <mergeCell ref="A283:K284"/>
    <mergeCell ref="A286:J286"/>
    <mergeCell ref="A293:K294"/>
    <mergeCell ref="A341:K342"/>
    <mergeCell ref="A344:J344"/>
    <mergeCell ref="A356:K357"/>
    <mergeCell ref="A359:J359"/>
    <mergeCell ref="A296:J296"/>
    <mergeCell ref="A304:K305"/>
    <mergeCell ref="A307:J307"/>
    <mergeCell ref="A311:K312"/>
    <mergeCell ref="A314:J314"/>
    <mergeCell ref="A326:K327"/>
    <mergeCell ref="A329:J329"/>
  </mergeCells>
  <printOptions/>
  <pageMargins bottom="1.0" footer="0.0" header="0.0" left="0.75" right="0.75" top="1.0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2026-09-29T16:45:09Z</dcterms:created>
  <dc:creator>openpyxl</dc:creator>
</cp:coreProperties>
</file>