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vio_Recepção de RPS" sheetId="1" r:id="rId4"/>
    <sheet state="visible" name="Retorno_Recepção de RPS" sheetId="2" r:id="rId5"/>
    <sheet state="visible" name="Natureza de Operação" sheetId="3" r:id="rId6"/>
    <sheet state="visible" name="Retorno_DocCompleto" sheetId="4" r:id="rId7"/>
  </sheets>
  <definedNames>
    <definedName localSheetId="0" name="RPSEnvio">'Envio_Recepção de RPS'!$A$9</definedName>
    <definedName localSheetId="1" name="ListaRPSRetornoEnvio">'Retorno_Recepção de RPS'!$A$7</definedName>
    <definedName localSheetId="0" name="ListaItensEnvio">'Envio_Recepção de RPS'!$A$60</definedName>
    <definedName localSheetId="0" name="IntermServicoEnvio">'Envio_Recepção de RPS'!$A$281</definedName>
    <definedName localSheetId="0" name="CabecalhoEnvio">'Envio_Recepção de RPS'!$A$3</definedName>
    <definedName localSheetId="0" name="ValoresEnvio">'Envio_Recepção de RPS'!$A$136</definedName>
    <definedName localSheetId="1" name="NFSERetornoEnvio">'Retorno_Recepção de RPS'!$A$20</definedName>
    <definedName localSheetId="0" name="DedEnvio">'Envio_Recepção de RPS'!$A$333</definedName>
    <definedName localSheetId="0" name="EnvioParcela">'Envio_Recepção de RPS'!$A$126</definedName>
    <definedName localSheetId="0" name="TomadorEnvio">'Envio_Recepção de RPS'!$A$252</definedName>
    <definedName localSheetId="0" name="ConstCivilEnvio">'Envio_Recepção de RPS'!$A$301</definedName>
    <definedName localSheetId="0" name="RPSSubsEnvio">'Envio_Recepção de RPS'!$A$32</definedName>
    <definedName localSheetId="0" name="ItemEnvio">'Envio_Recepção de RPS'!$A$61</definedName>
    <definedName localSheetId="1" name="MensagemRetornoEnvio">'Retorno_Recepção de RPS'!$A$3</definedName>
    <definedName localSheetId="1" name="RPSRetornoEnvio">'Retorno_Recepção de RPS'!$A$8</definedName>
    <definedName localSheetId="0" name="SDTRecepcaoRPSEnvioV2">'Envio_Recepção de RPS'!$A$2</definedName>
    <definedName localSheetId="0" name="ListaDedEnvio">'Envio_Recepção de RPS'!$A$332</definedName>
    <definedName localSheetId="0" name="ServicoEnvio">'Envio_Recepção de RPS'!$A$135</definedName>
  </definedNames>
  <calcPr/>
  <extLst>
    <ext uri="GoogleSheetsCustomDataVersion2">
      <go:sheetsCustomData xmlns:go="http://customooxmlschemas.google.com/" r:id="rId8" roundtripDataChecksum="hbgJuf4xVF5mLC5yeVxXTr+BnDoqYV2vq/4RnhiRyII="/>
    </ext>
  </extLst>
</workbook>
</file>

<file path=xl/sharedStrings.xml><?xml version="1.0" encoding="utf-8"?>
<sst xmlns="http://schemas.openxmlformats.org/spreadsheetml/2006/main" count="5144" uniqueCount="1698">
  <si>
    <t>Nº</t>
  </si>
  <si>
    <t>Seq</t>
  </si>
  <si>
    <t>XML</t>
  </si>
  <si>
    <t>Descrição</t>
  </si>
  <si>
    <t>Ele</t>
  </si>
  <si>
    <t>Tipo</t>
  </si>
  <si>
    <t>Ocorrência</t>
  </si>
  <si>
    <t>Pai</t>
  </si>
  <si>
    <t>Observação</t>
  </si>
  <si>
    <t>Versão</t>
  </si>
  <si>
    <t>Aplicação de Negócio</t>
  </si>
  <si>
    <t>Envio</t>
  </si>
  <si>
    <t>Elemento Superior da Estrutura</t>
  </si>
  <si>
    <t>G</t>
  </si>
  <si>
    <t>-</t>
  </si>
  <si>
    <t>1-1</t>
  </si>
  <si>
    <t>1.0.0.0</t>
  </si>
  <si>
    <t>ModeloDocumento</t>
  </si>
  <si>
    <t>Modelo de documento a ser enviado</t>
  </si>
  <si>
    <t>C(10)</t>
  </si>
  <si>
    <t>Informar: NFSE</t>
  </si>
  <si>
    <t>Versao</t>
  </si>
  <si>
    <t>Versão do Layout do documento</t>
  </si>
  <si>
    <t>E</t>
  </si>
  <si>
    <t>N(2.2)</t>
  </si>
  <si>
    <t>Informar a versão do layout do arquivo XML. Ex: 1.00</t>
  </si>
  <si>
    <t>ChaveParceiro</t>
  </si>
  <si>
    <t>Chave de Parceiro</t>
  </si>
  <si>
    <t>C(30)</t>
  </si>
  <si>
    <t>0-1</t>
  </si>
  <si>
    <t>Campo exclusivo para integração através do InvoiCy Conector. Não é necessário preenchimento na integração direta via WebServices. A chave de parceiro é fornecida pela Migrate ao parceiro no ato da efetivação do contrato comercial. A chave de parceiro é única para cada parceiro.</t>
  </si>
  <si>
    <t>ChaveAcesso</t>
  </si>
  <si>
    <t>Chave de Acesso</t>
  </si>
  <si>
    <t>C(50)</t>
  </si>
  <si>
    <t>Campo exclusivo para integração através do InvoiCy Conector. Não é necessário preenchimento na integração direta via WebServices.A chave de acesso é gerada no cadastro de uma nova empresa no InvoiCy. Ao concluir o cadastro de uma empresa, a chave de acesso será exibida. Esta chave é única para cada empresa cadastrada, e identifica a empresa emissora do documento no InvoiCy.</t>
  </si>
  <si>
    <t>Imprimir</t>
  </si>
  <si>
    <t>Efetuar a impressão automática dos documentos efetivados</t>
  </si>
  <si>
    <t>C(1)</t>
  </si>
  <si>
    <t>Preencher com S - Sim; ou N - Não</t>
  </si>
  <si>
    <t>ApelidoImpressora</t>
  </si>
  <si>
    <t>Apelido da impressora que foi cadastrada no InvoiCy Conector</t>
  </si>
  <si>
    <t>C(300)</t>
  </si>
  <si>
    <t>Se não informar essa tag, o documento será enviado para a impressora padrão configurada no InvoiCy Conector.</t>
  </si>
  <si>
    <t>RPS</t>
  </si>
  <si>
    <t>RPSNumero</t>
  </si>
  <si>
    <t>Número do RPS</t>
  </si>
  <si>
    <t>N(15.0)</t>
  </si>
  <si>
    <t>Atenção: alguns padrões exigem seguir a sequência de numeração do RPS. Mesmo que mude a série, somente reinicie a numeração se tiver certeza.</t>
  </si>
  <si>
    <t>RPSSerie</t>
  </si>
  <si>
    <t>Série do RPS</t>
  </si>
  <si>
    <t>C(5)</t>
  </si>
  <si>
    <t>Atenção: alguns padrões exigem utilizar determinada série. Verificar nos artigos de particularidades e no cadastro da empresa na prefeitura.</t>
  </si>
  <si>
    <t>RPSTipo</t>
  </si>
  <si>
    <t>Tipo do RPS</t>
  </si>
  <si>
    <t>N(1.0)</t>
  </si>
  <si>
    <t>Informar 1 – Recibo Provisório de Serviços</t>
  </si>
  <si>
    <t>IDUnico</t>
  </si>
  <si>
    <t>Controle de Numeração de RPS</t>
  </si>
  <si>
    <t>C(200)</t>
  </si>
  <si>
    <t>C08</t>
  </si>
  <si>
    <t>O mesmo ID não poderá ser utilizado para outra nota; Essa tag irá substituir o número do RPS e a série do documento enviado; Quando o campo IDUnico for preenchido, o campo série passa a ser opcional; Para mais informações https://desenvolvedores.migrate.info/2021/12/10/controle-de-numeracao-de-rps/</t>
  </si>
  <si>
    <t>2.45.0</t>
  </si>
  <si>
    <t>dEmis</t>
  </si>
  <si>
    <t>Data de emissão</t>
  </si>
  <si>
    <t>DateTime</t>
  </si>
  <si>
    <t>Formato: AAAA-MM-DDTHH:MM:SS</t>
  </si>
  <si>
    <t>dCompetencia</t>
  </si>
  <si>
    <t>Data da competência</t>
  </si>
  <si>
    <t>LocalPrestServ</t>
  </si>
  <si>
    <t>Indicador do Local de Prestação do Serviço</t>
  </si>
  <si>
    <t>1-No Município Sem Retenção 
2-No Município Com Retenção 
3-Fora do Município Sem Retenção 
4-Fora do Município Com Retenção 
5-Fora do Município com pagamento no local
6-Outro Município (Exterior)"
7-No Municipio sem retenção Simples Nacional
8-No Municipio Tributacao Fixa Anual
9-No Municipio sem recolhimento
*Obs: Tópicos 7, 8 e 9 exclusivos padrão Governa</t>
  </si>
  <si>
    <t>1.14.0.0</t>
  </si>
  <si>
    <t>Identificação do local de prestação do serviço (dentro ou fora do município) e da incidência ou não de retenção do imposto.</t>
  </si>
  <si>
    <t>natOp</t>
  </si>
  <si>
    <r>
      <rPr>
        <rFont val="Tahoma"/>
        <color rgb="FF000000"/>
        <sz val="10.0"/>
      </rPr>
      <t xml:space="preserve">Código da Natureza de Operação / </t>
    </r>
    <r>
      <rPr>
        <rFont val="Tahoma"/>
        <color rgb="FF000000"/>
        <sz val="10.0"/>
        <u/>
      </rPr>
      <t>Exigibilidade de ISS</t>
    </r>
  </si>
  <si>
    <t>N(3.0)</t>
  </si>
  <si>
    <t>Utilizar valores da tabela unificada de naturezas de operação que consta na aba Natureza de Operação. Também é possível visualizar quais naturezas são aceitas no município da empresa, bem como para quais valores será convertido através do painel de controle de NFS-e no InvoiCy.</t>
  </si>
  <si>
    <t>A Natureza da Operação (Também conhecida como Exigibilidade ISS nos sistemas que se baseiam na ABRASF 2.0+) é definida pelo serviço prestado, levando-se em consideração também o enquadramento tributário da empresa. Essa informação é extremamente importante na emissão da Nota Fiscal, pois é neste momento que se define a exata tributação da operação e qualquer erro, causará falta de recolhimento do imposto devido, pagamento a maior ou menor, até mesmo pagamento indevido, nos casos, por exemplo, de operações imunes, isentas, suspensas ou base de cálculo reduzida.</t>
  </si>
  <si>
    <t>Operacao</t>
  </si>
  <si>
    <t xml:space="preserve">Operação de tributação </t>
  </si>
  <si>
    <t>C(2)</t>
  </si>
  <si>
    <t>Exclusivo do padrão DSFNET.
A–Sem dedução
B–Com dedução/materiais
C-Imune/Isenta de ISSQN
D-Devolução
J-Intermediação</t>
  </si>
  <si>
    <t>NumProcesso</t>
  </si>
  <si>
    <t>Número do processo</t>
  </si>
  <si>
    <t>V(30)</t>
  </si>
  <si>
    <t>Número do processo judicial ou administrativo de suspensão da exigibilidade. É obrigatório e informado somente quando declarada a suspensão da exigibilidade do tributo</t>
  </si>
  <si>
    <t>C19</t>
  </si>
  <si>
    <t>benefIdNac</t>
  </si>
  <si>
    <t>Tipo do benefício Municipal</t>
  </si>
  <si>
    <t>N (1)</t>
  </si>
  <si>
    <r>
      <rPr>
        <rFont val="Tahoma"/>
        <color rgb="FF3465A4"/>
        <sz val="10.0"/>
      </rPr>
      <t xml:space="preserve">Valores aceitos:
1 - Alíquota Diferenciada;
2 - Redução da BC;
3 - Isenção
</t>
    </r>
    <r>
      <rPr>
        <rFont val="Tahoma"/>
        <b/>
        <color rgb="FF3465A4"/>
        <sz val="10.0"/>
      </rPr>
      <t>Uso específico para NFS-e Modelo Nacional</t>
    </r>
  </si>
  <si>
    <t>C20</t>
  </si>
  <si>
    <t>benefNumero</t>
  </si>
  <si>
    <t>Identificação da Lei parametrizada pelo município que define o benefício no sistema nacional.</t>
  </si>
  <si>
    <t>V (14)</t>
  </si>
  <si>
    <r>
      <rPr>
        <rFont val="Tahoma"/>
        <color rgb="FF3465A4"/>
        <sz val="10.0"/>
      </rPr>
      <t xml:space="preserve">Tem a seguinte regra de formação: 7 dígitos com o código IBGE do município + 4 dígitos com número sequencial. Deve ser obtido da parametrização do município de incidência do ISSQN.
</t>
    </r>
    <r>
      <rPr>
        <rFont val="Tahoma"/>
        <b/>
        <color rgb="FF3465A4"/>
        <sz val="10.0"/>
      </rPr>
      <t>Uso específico para NFS-e Modelo Nacional</t>
    </r>
  </si>
  <si>
    <t>RegEspTrib</t>
  </si>
  <si>
    <t>Código de identificação do regime especial de tributação</t>
  </si>
  <si>
    <t>N(2.0)</t>
  </si>
  <si>
    <t>1 – Microempresa municipal
2 – Estimativa
3 – Sociedade de profissionais
4 – Cooperativa
5 – Microempresário Individual (MEI)
6 – Microempresário e Empresa de Pequeno Porte (ME EPP)
7 – Optante pelo Simples Nacional (Exclusivo Elotech e GLC Consultoria 2.0)
8 - Tributação Normal  (Exclusivo E&amp;L)
9 - Autônomo (Exclusivo E&amp;L)
10 - Variável (Exclusivo GLC Consultoria 2.0)
11 - Lucro Real (Exclusivo Digifred)
12 - Lucro Presumido (Exclusivo Digifred)
13 - Sociedade de Profissionais Pessoa Jurídica (Exclusivo SEMFAZ)
14 - Não  (Exclusivo NF-Eletrônica)
15 - Notas Totalizadoras  (Exclusivo NF-Eletrônica)
16 - Inscrito no PRODEVAL  (Exclusivo NF-Eletrônica)
24 - Auto Lançado (Exclusivo _x0016_VLCNET WS (GEISWEB))
25 - Sociedade Limitada</t>
  </si>
  <si>
    <t>1.15.0.0</t>
  </si>
  <si>
    <t>O Regime especial de tributação representa o enquadramento tributário da empresa junto a prefeitura.</t>
  </si>
  <si>
    <t>OptSN</t>
  </si>
  <si>
    <t>Optante Simples Nacional</t>
  </si>
  <si>
    <t>1-Sim
2-Não
3-SIMEI (Exclusivo do padrão INFISC)
7 - Simples Federal (Alíquota 1,0%)
8 - Simples Federal (Alíquota 0,5%)
9- Simples Municipal NFPAULISTANA
As opções 7, 8 e 9 são exclusivos para o uso no padrão NF Paulista – município de São Paulo/SP e Padrão Nota Blu - Blumenau/SC)</t>
  </si>
  <si>
    <t>C22</t>
  </si>
  <si>
    <t>regApTribSN</t>
  </si>
  <si>
    <t>Regime de tributação para empresas Opt. SN ME/EPP que ultrapassam sublimite</t>
  </si>
  <si>
    <r>
      <rPr>
        <rFont val="Calibri"/>
        <color rgb="FF2A6099"/>
        <sz val="11.0"/>
      </rPr>
      <t xml:space="preserve">Opção para que o contribuinte optante pelo Simples Nacional ME/EPP (opSimpNac = 3) possa indicar, ao emitir o documento fiscal, em qual regime de apuração os tributos federais e municipal estão inseridos, caso tenha ultrapassado algum sub limite ou limite definido para o Simples Nacional.
Valores aceitos:
1 – Regime de apuração dos tributos federais e municipais pelo SN;
2 – Regime de apuração dos tributos federais pelo SN e ISSQN por fora do SN conforme respectiva legislação municipal do tributo;
3 – Regime de apuração dos tributos federais e municipal por fora do SN conforme respectivas legislações federal e municipal de cada tributo;
</t>
    </r>
    <r>
      <rPr>
        <rFont val="Calibri"/>
        <b/>
        <color rgb="FF2A6099"/>
        <sz val="11.0"/>
      </rPr>
      <t>Uso específico para NFS-e Modelo Nacional</t>
    </r>
  </si>
  <si>
    <t>IncCult</t>
  </si>
  <si>
    <t>Incentivador Cultural</t>
  </si>
  <si>
    <t>1-Sim
2-Não
3 – Optante pelo Simples Nacional em início de atividade (primeiras três competências) 
4 – Serviço prestado no Programa Minha Casa Minha Vida (até 3 salários mínimos)
Opções 3 e 4 são exclusivas do padrão SigCorp Londrina</t>
  </si>
  <si>
    <t>C24</t>
  </si>
  <si>
    <t>tpImunidade</t>
  </si>
  <si>
    <t>Identificação da Imunidade do ISSQN – somente para o caso de Imunidade</t>
  </si>
  <si>
    <t>Valores aceitos:
0 - Imunidade (tipo não informado na nota de origem);
1 - Patrimônio, renda ou serviços, uns dos outros (CF88, Art 150, VI, a);
2 - Templos de qualquer culto (CF88, Art 150, VI, b);
3 - Patrimônio, renda ou serviços dos partidos políticos, inclusive suas fundações, das entidades sindicais dos trabalhadores, das instituições de educação e de assistência social, sem fins lucrativos, atendidos os requisitos da lei (CF88, Art 150, VI, c);
4 - Livros, jornais, periódicos e o papel destinado a sua impressão (CF88, Art 150, VI, d);
5 - Fonogramas e videofonogramas musicais produzidos no Brasil contendo obras musicais ou literomusicais de autores brasileiros e/ou obras em geral interpretadas por artistas brasileiros bem como os suportes materiais ou arquivos digitais que os contenham, salvo na etapa de replicação industrial de mídias ópticas de leitura a laser. (CF88, Art 150, VI, e);</t>
  </si>
  <si>
    <t>tpSusp</t>
  </si>
  <si>
    <t>Opção para Exigibilidade suspensa</t>
  </si>
  <si>
    <r>
      <rPr>
        <rFont val="Tahoma"/>
        <color rgb="FF3465A4"/>
        <sz val="10.0"/>
      </rPr>
      <t xml:space="preserve">Valores aceitos:
1 - Exigibilidade Suspensa por Decisão Judicial;
2 - Exigibilidade Suspensa por Processo Administrativo;
Desambiguação padrão nacional:
Quem preenche atualmente Natop com os valores 5 ou 6 não necessita alteração. O sistema irá preencher tribISSQN com 2 (não incidência) e tpSusp conforme a opção escolhida.
</t>
    </r>
    <r>
      <rPr>
        <rFont val="Calibri"/>
        <b/>
        <color rgb="FF2A6099"/>
        <sz val="11.0"/>
      </rPr>
      <t>Uso específico para NFS-e Modelo Nacional</t>
    </r>
  </si>
  <si>
    <t>Status</t>
  </si>
  <si>
    <t>Status do RPS</t>
  </si>
  <si>
    <t>1-Normal
2-Cancelada
3-Extraviado
4-Contingência
5-Inutilização
A opção 3 é exclusiva do padrão NF Paulista – município de São Paulo/SP.
Opções 4 e 5 são exclusivos do padrão INFISC.</t>
  </si>
  <si>
    <t>cVerificaRPS</t>
  </si>
  <si>
    <t>Código de Verificação de RPS</t>
  </si>
  <si>
    <t>Alguns padrões precisam liberar uma faixa de RPS no site da prefeitura antes de emitir. Além do número do RPS, é necessário informar o código de verificação que é fornecido nesta lista.</t>
  </si>
  <si>
    <t>EmpreitadaGlobal</t>
  </si>
  <si>
    <t>Empreitada Global</t>
  </si>
  <si>
    <t>1-Sim (específico para construção civil)
2-Não
Campo Exclusivo e obrigatório no padrão INFISC.</t>
  </si>
  <si>
    <t>tpAmb</t>
  </si>
  <si>
    <t>Tipo de Ambiente</t>
  </si>
  <si>
    <t>N(1)</t>
  </si>
  <si>
    <t>Ambiente em que a empresa está cadastrada no InvoiCy.
1-Produção; 2-Homologação.</t>
  </si>
  <si>
    <t>RPSSubs</t>
  </si>
  <si>
    <t>SubsNumero</t>
  </si>
  <si>
    <t>Número do RPS a ser substituído</t>
  </si>
  <si>
    <t>Número do RPS que será substituído. O RPS informado neste campo, deverá ter sido convertido para NFS-e na prefeitura.</t>
  </si>
  <si>
    <t>SubsSerie</t>
  </si>
  <si>
    <t>Série do RPS a ser substituído</t>
  </si>
  <si>
    <t>SubsTipo</t>
  </si>
  <si>
    <t>Tipo do RPS a ser substituído</t>
  </si>
  <si>
    <t>SubsNFSeNumero</t>
  </si>
  <si>
    <t>Número da NFS-e substituída</t>
  </si>
  <si>
    <t>Exclusivo do padrão DSFNet</t>
  </si>
  <si>
    <t>SubsDEmisNFSe</t>
  </si>
  <si>
    <t>Data de Emissão da NFS-e Substituída</t>
  </si>
  <si>
    <t>Formato: AAAA-MM-DDTHH:MM:SS
Exclusivo do padrão DSFNet</t>
  </si>
  <si>
    <t>C36</t>
  </si>
  <si>
    <t>SubsChave</t>
  </si>
  <si>
    <t>Chave de Acesso NFSe Substituída</t>
  </si>
  <si>
    <t>V(50)</t>
  </si>
  <si>
    <t>C30</t>
  </si>
  <si>
    <t>C37</t>
  </si>
  <si>
    <t>SubsCodMotivo</t>
  </si>
  <si>
    <t>Código do Motivo da substituição</t>
  </si>
  <si>
    <r>
      <rPr>
        <rFont val="Tahoma"/>
        <color rgb="FF3465A4"/>
        <sz val="10.0"/>
      </rPr>
      <t xml:space="preserve">Os valores aceitos são:
01 - Desenquadramento de NFS-e do Simples Nacional;
02 - Enquadramento de NFS-e no Simples Nacional;
03 - Inclusão Retroativa de Imunidade/Isenção para NFS-e;
04 - Exclusão Retroativa de Imunidade/Isenção para NFS-e;
05 - Rejeição de NFS-e pelo tomador ou pelo intermediário se responsável pelo recolhimento do tributo;
99 – Outros;
</t>
    </r>
    <r>
      <rPr>
        <rFont val="Tahoma"/>
        <b/>
        <color rgb="FF3465A4"/>
        <sz val="10.0"/>
      </rPr>
      <t>Uso específico para NFS-e Modelo Nacional</t>
    </r>
  </si>
  <si>
    <t>C38</t>
  </si>
  <si>
    <t>SubsDescMotivo</t>
  </si>
  <si>
    <t>Descrição do Motivo da substituição</t>
  </si>
  <si>
    <t>V(255)</t>
  </si>
  <si>
    <r>
      <rPr>
        <rFont val="Tahoma"/>
        <color rgb="FF3465A4"/>
        <sz val="10.0"/>
      </rPr>
      <t xml:space="preserve">Ao ser informado, deve conter no mínimo 15 caracteres.
</t>
    </r>
    <r>
      <rPr>
        <rFont val="Tahoma"/>
        <b/>
        <color rgb="FF3465A4"/>
        <sz val="10.0"/>
      </rPr>
      <t>Uso específico para NFS-e Modelo Nacional</t>
    </r>
  </si>
  <si>
    <t>Prestador</t>
  </si>
  <si>
    <t>CNPJ_prest</t>
  </si>
  <si>
    <t>CNPJ do prestador</t>
  </si>
  <si>
    <t>CE</t>
  </si>
  <si>
    <t>C (14)</t>
  </si>
  <si>
    <t>O CNPJ ou CPF deverão ser informados com os zeros não significativos.</t>
  </si>
  <si>
    <t>xNome</t>
  </si>
  <si>
    <t>Razão Social ou Nome do prestador</t>
  </si>
  <si>
    <t>C (60)</t>
  </si>
  <si>
    <t>xFant</t>
  </si>
  <si>
    <t>Nome fantasia</t>
  </si>
  <si>
    <t>IM</t>
  </si>
  <si>
    <t>Inscrição Municipal</t>
  </si>
  <si>
    <t>V (20)</t>
  </si>
  <si>
    <t>IE</t>
  </si>
  <si>
    <t>Inscrição Estadual</t>
  </si>
  <si>
    <t>Sem caracteres de formatação (ponto, barra, hífen, etc.)</t>
  </si>
  <si>
    <t>CMC</t>
  </si>
  <si>
    <t>Cadastro Mobiliário do Contribuinte</t>
  </si>
  <si>
    <t>C46</t>
  </si>
  <si>
    <t>CAEPF</t>
  </si>
  <si>
    <t>Número do Cadastro de Atividade Econômica da Pessoa Física do prestador do Serviço</t>
  </si>
  <si>
    <t>C398</t>
  </si>
  <si>
    <t>Uso específico para NFS-e Modelo Nacional</t>
  </si>
  <si>
    <t>enderPrest</t>
  </si>
  <si>
    <t>TAG de grupo do endereço do prestador</t>
  </si>
  <si>
    <t>TpEnd</t>
  </si>
  <si>
    <t>Tipo de endereço</t>
  </si>
  <si>
    <t>C (30)</t>
  </si>
  <si>
    <t>xLgr</t>
  </si>
  <si>
    <t>Logradouro</t>
  </si>
  <si>
    <t>nro</t>
  </si>
  <si>
    <t>Número</t>
  </si>
  <si>
    <t>xCpl</t>
  </si>
  <si>
    <t>Complemento</t>
  </si>
  <si>
    <t>xBairro</t>
  </si>
  <si>
    <t>Bairro</t>
  </si>
  <si>
    <t>cMun</t>
  </si>
  <si>
    <t>Código do município</t>
  </si>
  <si>
    <t>N (7)</t>
  </si>
  <si>
    <t>Consulte nosso artigo para mais informações.</t>
  </si>
  <si>
    <t>UF</t>
  </si>
  <si>
    <t>Sigla da UF</t>
  </si>
  <si>
    <t>C (2)</t>
  </si>
  <si>
    <t>Ex: RS, SP, MG.</t>
  </si>
  <si>
    <t>CEP</t>
  </si>
  <si>
    <t>Código do CEP</t>
  </si>
  <si>
    <t>N (8)</t>
  </si>
  <si>
    <t>fone</t>
  </si>
  <si>
    <t>Telefone</t>
  </si>
  <si>
    <t>Email</t>
  </si>
  <si>
    <t>E-mail</t>
  </si>
  <si>
    <t>C (1000)</t>
  </si>
  <si>
    <t>ListaItens</t>
  </si>
  <si>
    <t>A orientação é preencher sempre essa tag, bem como a tag valores (mesmas informações, mas agrupadas em 1 item). Nas prefeituras que aceitam N itens, serão enviados os N itens, caso contrário, será enviado somente 1 item agrupado.</t>
  </si>
  <si>
    <t>Item</t>
  </si>
  <si>
    <t>1-N</t>
  </si>
  <si>
    <t>Não informar este grupo quando a integração for API Rest.</t>
  </si>
  <si>
    <t>ItemSeq</t>
  </si>
  <si>
    <t>Número sequencial do item</t>
  </si>
  <si>
    <t>N(4.0)</t>
  </si>
  <si>
    <t>ItemCod</t>
  </si>
  <si>
    <t>Código do item</t>
  </si>
  <si>
    <t>C(255)</t>
  </si>
  <si>
    <t>ItemDesc</t>
  </si>
  <si>
    <t>Descrição do item</t>
  </si>
  <si>
    <t>C(4000)</t>
  </si>
  <si>
    <t>Para quebra de linha, utilizar o comando !CHR13!.</t>
  </si>
  <si>
    <t>ItemQtde</t>
  </si>
  <si>
    <t>Quantidade do item</t>
  </si>
  <si>
    <t>N(15.2)</t>
  </si>
  <si>
    <t>ItemvUnit</t>
  </si>
  <si>
    <t>Valor unitário</t>
  </si>
  <si>
    <t>ItemuMed</t>
  </si>
  <si>
    <t>Código da unidade de medida do item</t>
  </si>
  <si>
    <t>ItemvlDed</t>
  </si>
  <si>
    <t>Valor de dedução do item</t>
  </si>
  <si>
    <t>Os valores de deduções são referentes a aquisição de materiais que foram utilizados na prestação do serviço. Esse valor deve ser deduzido da base de cálculo do ISSQN para não haver bitributação.</t>
  </si>
  <si>
    <t>ItemTributavel</t>
  </si>
  <si>
    <t>Item tributável</t>
  </si>
  <si>
    <t>Obrigatório nos padrões DSFNET e Elotech.
S – Item Tributável
N – Não tributável
Para o preenchimento do campo orienta-se a consultar o tópico DSFNET e Atividades de itens de serviços com marcação Não tributável – DSFNET</t>
  </si>
  <si>
    <t>ItemcCnae</t>
  </si>
  <si>
    <t>Código CNAE do item</t>
  </si>
  <si>
    <t>O CNAE (Classificação Nacional de Atividades Econômicas) é uma classificação atribuída à empresa conforme o ramo de atuação e atividade.</t>
  </si>
  <si>
    <t>ItemTributMunicipio</t>
  </si>
  <si>
    <t>Código de tributação do município</t>
  </si>
  <si>
    <t>C(20)</t>
  </si>
  <si>
    <t>Preencher conforme está no cadastro da empresa no município.</t>
  </si>
  <si>
    <t>O Código de tributação Municipal está relacionado com o Item da Lista de serviços, que é a classificação federal para os serviços tributáveis. Como um item da lista pode estar relacionado a várias regras tributárias, as prefeituras criaram o código de tributação municipal para manter um controle granular e específico. Dessa forma, essa informação varia de acordo com a empresa e o município, e deve ser adquirida junto ao órgão responsável no município.</t>
  </si>
  <si>
    <t>ItemnAlvara</t>
  </si>
  <si>
    <t>Numero do Alvará do item</t>
  </si>
  <si>
    <t>C(15)</t>
  </si>
  <si>
    <t>ItemvIss</t>
  </si>
  <si>
    <t>Valor do ISS do item</t>
  </si>
  <si>
    <t>N(16.2)</t>
  </si>
  <si>
    <t>Valor do ISSQN (Imposto sobre Serviço de Qualquer Natureza), também conhecido como ISS (Imposto sobre Serviço).</t>
  </si>
  <si>
    <t>ItemvDesconto</t>
  </si>
  <si>
    <t>Valor do desconto do item</t>
  </si>
  <si>
    <t>ItemAliquota</t>
  </si>
  <si>
    <t>Valor da alíquota de ISS do item</t>
  </si>
  <si>
    <t>N(8.4)</t>
  </si>
  <si>
    <t>Preferencialmente no formato decimal. Ex: 0.05 para 5%.</t>
  </si>
  <si>
    <t>ItemVlrTotal</t>
  </si>
  <si>
    <t>Valor total do item</t>
  </si>
  <si>
    <t>N(15.4)</t>
  </si>
  <si>
    <t>É o resultado da multiplicação do valor unitário pela quantidade (ItemQtde * ItemvUnit)</t>
  </si>
  <si>
    <t>ItemBaseCalculo</t>
  </si>
  <si>
    <t>Base de cálculo do item</t>
  </si>
  <si>
    <t>Valor total do item subtraído das deduções (ItemVlrTotal - ItemvlDed) e em alguns casos também descontos.</t>
  </si>
  <si>
    <t>ItemvlrISSRetido</t>
  </si>
  <si>
    <t>Valor do ISS Retido do item</t>
  </si>
  <si>
    <t xml:space="preserve"> </t>
  </si>
  <si>
    <t>ItemIssRetido</t>
  </si>
  <si>
    <t>Existe retenção de ISS no item?</t>
  </si>
  <si>
    <t xml:space="preserve">1 - Sim
2 - Não </t>
  </si>
  <si>
    <t>ItemRespRetencao</t>
  </si>
  <si>
    <t>Responsável pela retenção do item</t>
  </si>
  <si>
    <t>Em padrões ABRASF, o campo só deve ser informado se ISSRetido = 1. No padrão IPM, o campo pode ser obrigatório (Valores 1 e 3).
1 – Tomador / Não Tributar para Prestador;
2 – Intermediário;
3 – Prestador / Tributar para Prestador.</t>
  </si>
  <si>
    <t>ItemIteListServico</t>
  </si>
  <si>
    <t>Código do item da lista de serviço</t>
  </si>
  <si>
    <r>
      <rPr>
        <rFont val="Tahoma"/>
        <color rgb="FF000000"/>
        <sz val="10.0"/>
      </rPr>
      <t xml:space="preserve">Enviar sempre no formato com ponto. Ex: </t>
    </r>
    <r>
      <rPr>
        <rFont val="Tahoma"/>
        <b/>
        <color rgb="FF000000"/>
        <sz val="10.0"/>
      </rPr>
      <t>08.01</t>
    </r>
    <r>
      <rPr>
        <rFont val="Tahoma"/>
        <color rgb="FF000000"/>
        <sz val="10.0"/>
      </rPr>
      <t xml:space="preserve">, </t>
    </r>
    <r>
      <rPr>
        <rFont val="Tahoma"/>
        <b/>
        <color rgb="FF000000"/>
        <sz val="10.0"/>
      </rPr>
      <t>14.04.</t>
    </r>
  </si>
  <si>
    <t>O Item da Lista de Serviço é uma classificação Federal dos serviços tributáveis, regulamentado pela Lei Complementar 116/2003. Os itens da legislação podem ser consultados aqui - http://www.planalto.gov.br/ccivil_03/leis/LCP/Lcp116.htm. Mas vale ressaltar que cada prefeitura cadastra o item da empresa, então pode variar. A empresa deve consultar junto ao órgão competente no município qual item utilizar.</t>
  </si>
  <si>
    <t>C79</t>
  </si>
  <si>
    <t>itemCodTributNacional</t>
  </si>
  <si>
    <t>Código de tributação Nacional do item</t>
  </si>
  <si>
    <t>V(6)</t>
  </si>
  <si>
    <t>C58</t>
  </si>
  <si>
    <r>
      <rPr>
        <rFont val="Tahoma"/>
        <color rgb="FF3465A4"/>
        <sz val="10.0"/>
      </rPr>
      <t xml:space="preserve">Atualmente o padrão Nacional não recebe estrutura de itens. Campo previsto para uso futuro.
</t>
    </r>
    <r>
      <rPr>
        <rFont val="Tahoma"/>
        <b/>
        <color rgb="FF3465A4"/>
        <sz val="10.0"/>
      </rPr>
      <t>Uso específico para NFS-e Modelo Nacional</t>
    </r>
  </si>
  <si>
    <t>ItemExigibilidadeISS</t>
  </si>
  <si>
    <t>Código da Natureza de Operação / Exigibilidade de ISS do item</t>
  </si>
  <si>
    <t>Mesmos valores da natureza da operação do RPS.</t>
  </si>
  <si>
    <t>A mesma orientação da NatOp se aplica nesse campo. Ele aparece no item, nos casos em que a prefeitura permite que os itens tenham naturezas de operação distintos.</t>
  </si>
  <si>
    <t>ItemcMunIncidencia</t>
  </si>
  <si>
    <t>Município de incidência do item</t>
  </si>
  <si>
    <t>N(7.0)</t>
  </si>
  <si>
    <t>Código do município onde é a incidência do imposto. Consulte nosso artigo para mais informações.</t>
  </si>
  <si>
    <t>ItemNumProcesso</t>
  </si>
  <si>
    <t>Número do processo do item</t>
  </si>
  <si>
    <t>ItemDedTipo</t>
  </si>
  <si>
    <t>Tipo da Dedução</t>
  </si>
  <si>
    <t>V(1)</t>
  </si>
  <si>
    <t>M - Material;
S - Sub empreitada.</t>
  </si>
  <si>
    <t>ItemDedCPFRef</t>
  </si>
  <si>
    <t>CPF da nota de referência da Dedução</t>
  </si>
  <si>
    <t>V(11)</t>
  </si>
  <si>
    <t>Exclusivo do padrão Elotech</t>
  </si>
  <si>
    <t>ItemDedCNPJRef</t>
  </si>
  <si>
    <t>CNPJ da nota de referência da Dedução</t>
  </si>
  <si>
    <t>V(14)</t>
  </si>
  <si>
    <t>ItemDedNFRef</t>
  </si>
  <si>
    <t>Número da nota de referência da Dedução</t>
  </si>
  <si>
    <t>ItemDedvlTotRef</t>
  </si>
  <si>
    <t>Valor da nota de referência da Dedução</t>
  </si>
  <si>
    <t>ItemDedPer</t>
  </si>
  <si>
    <t>Percentual de dedução</t>
  </si>
  <si>
    <t>ItemVlrLiquido</t>
  </si>
  <si>
    <t>Valor Líquido do item</t>
  </si>
  <si>
    <t>ItemValAliqINSS</t>
  </si>
  <si>
    <t>Aliquota do INSS</t>
  </si>
  <si>
    <t>N(6.4)</t>
  </si>
  <si>
    <t>Informar preferencialmente no formato decimal. Ex: 0,05 para 5%.</t>
  </si>
  <si>
    <t>ItemValINSS</t>
  </si>
  <si>
    <t>Valor do INSS</t>
  </si>
  <si>
    <t>C92</t>
  </si>
  <si>
    <t>ItemvalBCINSS</t>
  </si>
  <si>
    <t>Base de cálculo do INSS</t>
  </si>
  <si>
    <t>ItemValAliqIR</t>
  </si>
  <si>
    <t>Aliquota do IR</t>
  </si>
  <si>
    <t>ItemValIR</t>
  </si>
  <si>
    <t>Valor do IR</t>
  </si>
  <si>
    <t>C95</t>
  </si>
  <si>
    <t>ItemValBCIRRF</t>
  </si>
  <si>
    <t>Base de cálculo do Imposto de Renda Retido na Fonte</t>
  </si>
  <si>
    <t>ItemValAliqCOFINS</t>
  </si>
  <si>
    <t>Aliquota do COFINS</t>
  </si>
  <si>
    <t>ItemValCOFINS</t>
  </si>
  <si>
    <t>Valor do COFINS</t>
  </si>
  <si>
    <t>C98</t>
  </si>
  <si>
    <t>ItemValBCCOFINS</t>
  </si>
  <si>
    <t>Base de cálculo do COFINS</t>
  </si>
  <si>
    <t>ItemValAliqCSLL</t>
  </si>
  <si>
    <t>Aliquota do CSLL</t>
  </si>
  <si>
    <t>ItemValCSLL</t>
  </si>
  <si>
    <t>Valor do CSLL</t>
  </si>
  <si>
    <t>C101</t>
  </si>
  <si>
    <t>ItemValBCCSLL</t>
  </si>
  <si>
    <t>Base de cálculo da CSLL</t>
  </si>
  <si>
    <t>ItemValAliqPIS</t>
  </si>
  <si>
    <t>Aliquota do PIS</t>
  </si>
  <si>
    <t>ItemValPIS</t>
  </si>
  <si>
    <t>Valor do PIS</t>
  </si>
  <si>
    <t>C104</t>
  </si>
  <si>
    <t>ItemValBCPIS</t>
  </si>
  <si>
    <t>Base de cálculo do PIS</t>
  </si>
  <si>
    <t>ItemRedBC</t>
  </si>
  <si>
    <t>Valor da redução da base de cálculo do ISS do item</t>
  </si>
  <si>
    <t>Informar quando o ISS do item não é retido</t>
  </si>
  <si>
    <t>3.29.0.0</t>
  </si>
  <si>
    <t>ItemRedBCRetido</t>
  </si>
  <si>
    <t>Valor da redução da base de cálculo do ISS retido do item</t>
  </si>
  <si>
    <t>Informar quando o ISS do item é retido</t>
  </si>
  <si>
    <t>ItemBCRetido</t>
  </si>
  <si>
    <t>Valor da base de cálculo do ISS retido do item</t>
  </si>
  <si>
    <t>ItemValAliqISSRetido</t>
  </si>
  <si>
    <t>Alíquota do ISS retido do item</t>
  </si>
  <si>
    <t>ItemPaisImpDevido</t>
  </si>
  <si>
    <t>País onde o imposto é devido do Item</t>
  </si>
  <si>
    <t>"BR" para Brasil e "EX" para exterior. Lista de siglas https://en.wikipedia.org/wiki/ISO_3166-1_alpha-2</t>
  </si>
  <si>
    <t>ItemJustDed</t>
  </si>
  <si>
    <t>Descrição justificativa da dedução do Item</t>
  </si>
  <si>
    <t>Justificativa de dedução (padrão Equiplano) e Justificativa de Outras Retenções (padrão Governa).</t>
  </si>
  <si>
    <t>ItemvOutrasRetencoes</t>
  </si>
  <si>
    <t>Valor das outras retenções do Item</t>
  </si>
  <si>
    <t>Específico Padrão System</t>
  </si>
  <si>
    <t>1.19.0.0</t>
  </si>
  <si>
    <t>ItemDescIncondicionado</t>
  </si>
  <si>
    <t>Desconto incondicionado do Item</t>
  </si>
  <si>
    <t>ItemDescCondicionado</t>
  </si>
  <si>
    <t>Desconto Condicionado do Item</t>
  </si>
  <si>
    <t>ItemTotalAproxTribServ</t>
  </si>
  <si>
    <t>Valor total aproximado do item de serviço</t>
  </si>
  <si>
    <t>Exclusivo para os padrões Infisc, exceto Sapucaia e Garibaldi</t>
  </si>
  <si>
    <t>ItemDescHospedagem</t>
  </si>
  <si>
    <t>Descritivo/Número unidade</t>
  </si>
  <si>
    <t>V (12)</t>
  </si>
  <si>
    <t>Exclusivo para o padrão IIBrasil</t>
  </si>
  <si>
    <t>2.38.0</t>
  </si>
  <si>
    <t>ItemQtdeHospedes</t>
  </si>
  <si>
    <t>Quantidade de hóspedes para a unidade</t>
  </si>
  <si>
    <t>N (2.0)</t>
  </si>
  <si>
    <t>ItemQtdeDiariasHospedagem</t>
  </si>
  <si>
    <t>Quantidade de diárias da hospedagem</t>
  </si>
  <si>
    <t>ItemCodQuartoHospedagem</t>
  </si>
  <si>
    <t>Código interno do quarto da hospedagem</t>
  </si>
  <si>
    <t>V (40)</t>
  </si>
  <si>
    <t>ItemDtaEntrHospedagem</t>
  </si>
  <si>
    <t>Data de entrada do(s) hóspede(s)</t>
  </si>
  <si>
    <t>Exclusivo para o padrão IIBrasil. Formato: AAAA-MM-DDTHH:MM:SS</t>
  </si>
  <si>
    <t>ItemDtaSaiHospedagem</t>
  </si>
  <si>
    <t>Data de saída do(s) hóspede(s)</t>
  </si>
  <si>
    <t>ItemValorDiariaHospedagem</t>
  </si>
  <si>
    <t>Valor da diária da hospedagem</t>
  </si>
  <si>
    <t>N (15.2)</t>
  </si>
  <si>
    <t>ListaParcelas</t>
  </si>
  <si>
    <t>Parcela</t>
  </si>
  <si>
    <t>0-N</t>
  </si>
  <si>
    <t>PrcSequencial</t>
  </si>
  <si>
    <t>Código Sequencial da parcela</t>
  </si>
  <si>
    <t>N(8.0)</t>
  </si>
  <si>
    <t>PrcValor</t>
  </si>
  <si>
    <t>Valor da parcela</t>
  </si>
  <si>
    <t>PrcDtaVencimento</t>
  </si>
  <si>
    <t>Data de vencimento</t>
  </si>
  <si>
    <t>Date</t>
  </si>
  <si>
    <t>Formato: AAAA-MM-DD</t>
  </si>
  <si>
    <t>PrcNroFatura</t>
  </si>
  <si>
    <t>Número da fatura</t>
  </si>
  <si>
    <t>N(15)</t>
  </si>
  <si>
    <t>Exclusivo do padrão INFISC</t>
  </si>
  <si>
    <t>PrcTipVenc</t>
  </si>
  <si>
    <t>Tipo de vencimento</t>
  </si>
  <si>
    <t>1 - Data Certa
2 - Apresentação
3 - À vista
4 - Outros
5 - A Prazo
6 - Cartão de Crédito (exclusivo IPM)
7 - Cartão de Débito (exclusivo IPM)</t>
  </si>
  <si>
    <t>PrcDscTipVenc</t>
  </si>
  <si>
    <t>Descrição para o tipo de vencimento: Outros</t>
  </si>
  <si>
    <t>PrcValLiquido</t>
  </si>
  <si>
    <t>Valor Líquido da Fatura</t>
  </si>
  <si>
    <t>Exclusivo Padrão INFISC - Santiago.  (Valor - Descontos)</t>
  </si>
  <si>
    <t>1.18.0.0</t>
  </si>
  <si>
    <t>PrcValDesconto</t>
  </si>
  <si>
    <t>Valor de Desconto da Parcela</t>
  </si>
  <si>
    <t>Exclusivo Padrão INFISC - Santiago</t>
  </si>
  <si>
    <t>Servico</t>
  </si>
  <si>
    <t>Valores</t>
  </si>
  <si>
    <t>ValServicos</t>
  </si>
  <si>
    <t>Valor dos serviços</t>
  </si>
  <si>
    <t>C137</t>
  </si>
  <si>
    <t>ValPercDeducoes</t>
  </si>
  <si>
    <t>Valor percentual padrão para dedução/redução do valor do serviço</t>
  </si>
  <si>
    <t>N(6.2)</t>
  </si>
  <si>
    <t>C133</t>
  </si>
  <si>
    <t>ValDeducoes</t>
  </si>
  <si>
    <t>Valor das deduções</t>
  </si>
  <si>
    <t>O valor da dedução refere-se à compra de materiais envolvidos na prestação do serviço, e deve ser descontada da base de cálculo do ISSQN.</t>
  </si>
  <si>
    <t>ValPIS</t>
  </si>
  <si>
    <t>ValBCPIS</t>
  </si>
  <si>
    <t>Valor base de cálculo do PIS</t>
  </si>
  <si>
    <t>ValCOFINS</t>
  </si>
  <si>
    <t>ValBCCOFINS</t>
  </si>
  <si>
    <t>Valor base de cálculo do COFINS</t>
  </si>
  <si>
    <t>ValINSS</t>
  </si>
  <si>
    <t>ValBCINSS</t>
  </si>
  <si>
    <t>Valor base de cálculo do INSS</t>
  </si>
  <si>
    <t>ValIR</t>
  </si>
  <si>
    <t>ValBCIRRF</t>
  </si>
  <si>
    <t>Valor base de cálculo do IRRF</t>
  </si>
  <si>
    <t>ValCSLL</t>
  </si>
  <si>
    <t>Valor da CSLL</t>
  </si>
  <si>
    <t>ValBCCSLL</t>
  </si>
  <si>
    <t>Valor base de cálculo da CSLL</t>
  </si>
  <si>
    <t>RespRetencao</t>
  </si>
  <si>
    <t>Rsponsável pela Retenção</t>
  </si>
  <si>
    <t>1- Tomador, ou não tributar para o prestador.
2 - Intermediário.
3 - Prestador.</t>
  </si>
  <si>
    <t>Tributavel</t>
  </si>
  <si>
    <t>É tributável?</t>
  </si>
  <si>
    <t>ValISS</t>
  </si>
  <si>
    <t>Valor do ISS</t>
  </si>
  <si>
    <t>ISSRetido</t>
  </si>
  <si>
    <t>ISS Retido?</t>
  </si>
  <si>
    <t>1 - Sim;
2 - Não;
3 - Substituição Tributária - exclusivo para o padrão Betha 1.0</t>
  </si>
  <si>
    <t>ValISSRetido</t>
  </si>
  <si>
    <t>Valor do ISS Retido</t>
  </si>
  <si>
    <t>ValTotal</t>
  </si>
  <si>
    <t>Valor Total</t>
  </si>
  <si>
    <t>Valor do Serviço - descontos</t>
  </si>
  <si>
    <t>ValTotalRecebido</t>
  </si>
  <si>
    <t>Valor Total Recebido</t>
  </si>
  <si>
    <t>Valor Total Recebido em R$ (inclusive valores repassados a terceiros). Exclusivo NF Paulistana</t>
  </si>
  <si>
    <t>3.21.0.0</t>
  </si>
  <si>
    <t>ValBaseCalculo</t>
  </si>
  <si>
    <t>Base de cálculo</t>
  </si>
  <si>
    <t>(Valor dos serviços - Valor das deduções - descontos incondicionais)</t>
  </si>
  <si>
    <t>ValOutrasRetencoes</t>
  </si>
  <si>
    <t>Valor das outras retenções</t>
  </si>
  <si>
    <t>ValAliqISS</t>
  </si>
  <si>
    <t>Aliquota do ISS</t>
  </si>
  <si>
    <t>N(8.6)</t>
  </si>
  <si>
    <t>ValAliqPIS</t>
  </si>
  <si>
    <t>PISRetido</t>
  </si>
  <si>
    <t>PIS Retido?</t>
  </si>
  <si>
    <t>1 - Sim;
2 - Não;
Exclusivo padrão Tributos Web - Elotech 2.03</t>
  </si>
  <si>
    <t>3.18.0.0</t>
  </si>
  <si>
    <t>ValAliqCOFINS</t>
  </si>
  <si>
    <t>COFINSRetido</t>
  </si>
  <si>
    <t>CONFINS Retido?</t>
  </si>
  <si>
    <t>ValAliqIR</t>
  </si>
  <si>
    <t>IRRetido</t>
  </si>
  <si>
    <t>IR Retido?</t>
  </si>
  <si>
    <t>ValAliqCSLL</t>
  </si>
  <si>
    <t>CSLLRetido</t>
  </si>
  <si>
    <t>CSLL Retido?</t>
  </si>
  <si>
    <t>ValAliqINSS</t>
  </si>
  <si>
    <t>INSSRetido</t>
  </si>
  <si>
    <t>INSS Retido?</t>
  </si>
  <si>
    <t>ValAliqCpp</t>
  </si>
  <si>
    <t>Valor da alíquota do CPP</t>
  </si>
  <si>
    <t>Valor da alíquota do CPP. Exclusivo padrão Tributos Web - Elotech 2.03</t>
  </si>
  <si>
    <t>CppRetido</t>
  </si>
  <si>
    <t>CPP Retido?</t>
  </si>
  <si>
    <t>ValCpp</t>
  </si>
  <si>
    <t>Valor do CPP</t>
  </si>
  <si>
    <t>Valor do CPP. Exclusivo padrão Tributos Web - Elotech 2.03</t>
  </si>
  <si>
    <t>OutrasRetencoesRetido</t>
  </si>
  <si>
    <t>Outras Retenções com retenção?</t>
  </si>
  <si>
    <t>1 - Sim;
2 - Não;
Exclusivo e uma peculiaridade do padrão Tributos Web - Elotech 2.03</t>
  </si>
  <si>
    <t>ValBCOutrasRetencoes</t>
  </si>
  <si>
    <t>Valor da base de cálculos das outras retenções</t>
  </si>
  <si>
    <t>ValAliqOutrasRetencoes</t>
  </si>
  <si>
    <t>Valor da aliquota das outras informações</t>
  </si>
  <si>
    <t>ValAliqTotTributos</t>
  </si>
  <si>
    <t>Valor da aliquota do total dos tributos</t>
  </si>
  <si>
    <t>Valor da aliquota do total dos tributos. Exclusivo padrão Tributos Web - Elotech 2.03</t>
  </si>
  <si>
    <t>ValLiquido</t>
  </si>
  <si>
    <t>Valor líquido do serviço</t>
  </si>
  <si>
    <t>O valor informado neste campo NORMALMENTE compreende o seguinte cálculo:  Valor dos Serviços - Valor de PIS - Valor de COFINS - Valor de INSS - Valor de IR - Valor de CSLL - Outras Retenções - Valor IISS Retido - Desconto Incondicionado - Desconto Condicionado</t>
  </si>
  <si>
    <t>ValDescIncond</t>
  </si>
  <si>
    <t>Valor do desconto incondicionado</t>
  </si>
  <si>
    <t>ValDescCond</t>
  </si>
  <si>
    <t>Valor do desconto condicionado</t>
  </si>
  <si>
    <t>C177</t>
  </si>
  <si>
    <t>ValAcrescimos</t>
  </si>
  <si>
    <t>Valor dos acréscimos</t>
  </si>
  <si>
    <t>ValAliqISSoMunic</t>
  </si>
  <si>
    <t>Alíquota ISS em outro Município</t>
  </si>
  <si>
    <r>
      <rPr>
        <rFont val="Tahoma"/>
        <b/>
        <color rgb="FF000000"/>
        <sz val="10.0"/>
      </rPr>
      <t xml:space="preserve">Obrigatório para o padrão de Lençóis Paulista. </t>
    </r>
    <r>
      <rPr>
        <rFont val="Tahoma"/>
        <b val="0"/>
        <color rgb="FF000000"/>
        <sz val="10.0"/>
      </rPr>
      <t>Informar preferencialmente no formato decimal. Ex: 0,05 para 5%.</t>
    </r>
  </si>
  <si>
    <t>InfValPIS</t>
  </si>
  <si>
    <t>Informação sobre o valor do PIS</t>
  </si>
  <si>
    <t>V (100)</t>
  </si>
  <si>
    <r>
      <rPr>
        <rFont val="Tahoma"/>
        <color rgb="FF000000"/>
        <sz val="10.0"/>
      </rPr>
      <t xml:space="preserve">Em obediência a Lei Federal 12.741/2012
</t>
    </r>
    <r>
      <rPr>
        <rFont val="Tahoma"/>
        <b/>
        <color rgb="FF000000"/>
        <sz val="10.0"/>
      </rPr>
      <t>Obrigatório para o padrão de Lençóis Paulista</t>
    </r>
  </si>
  <si>
    <t>InfValCOFINS</t>
  </si>
  <si>
    <t>Informação sobre o valor do COFINS</t>
  </si>
  <si>
    <r>
      <rPr>
        <rFont val="Tahoma"/>
        <color rgb="FF000000"/>
        <sz val="10.0"/>
      </rPr>
      <t xml:space="preserve">Em obediência a Lei Federal 12.741/2012
</t>
    </r>
    <r>
      <rPr>
        <rFont val="Tahoma"/>
        <b/>
        <color rgb="FF000000"/>
        <sz val="10.0"/>
      </rPr>
      <t>Obrigatório para o padrão de Lençóis Paulista</t>
    </r>
  </si>
  <si>
    <t>ValLiqFatura</t>
  </si>
  <si>
    <t>Valor líquido total das faturas/parcelas</t>
  </si>
  <si>
    <t>ValBCISSRetido</t>
  </si>
  <si>
    <t>Base de Cálculo do ISS Retido</t>
  </si>
  <si>
    <t>NroFatura</t>
  </si>
  <si>
    <t>Número da Fatura</t>
  </si>
  <si>
    <t>Exclusivo Padrão eISS</t>
  </si>
  <si>
    <t>1.9.0.0</t>
  </si>
  <si>
    <t>CargaTribValor</t>
  </si>
  <si>
    <t>Valor da Carga Tributária</t>
  </si>
  <si>
    <t>Exclusivo Padrão NFPaulistana</t>
  </si>
  <si>
    <t>1.12.0.0</t>
  </si>
  <si>
    <t>CargaTribPercentual</t>
  </si>
  <si>
    <t>Percentual da Carga Tributária</t>
  </si>
  <si>
    <t>CargaTribFonte</t>
  </si>
  <si>
    <t>Fonte da Carga Tributária - Ex.: IBPT</t>
  </si>
  <si>
    <t>V(10)</t>
  </si>
  <si>
    <t>JustDed</t>
  </si>
  <si>
    <t>Descrição justificativa da dedução</t>
  </si>
  <si>
    <t>Exclusivo do Padrão Equiplano</t>
  </si>
  <si>
    <t>C190</t>
  </si>
  <si>
    <t>ValCredito</t>
  </si>
  <si>
    <t>Valor do crédito</t>
  </si>
  <si>
    <t>C191</t>
  </si>
  <si>
    <t>OutrosImp</t>
  </si>
  <si>
    <t>Valor de outros impostos</t>
  </si>
  <si>
    <t>C192</t>
  </si>
  <si>
    <t>ValRedBC</t>
  </si>
  <si>
    <t>Valor da redução da base de cálculo</t>
  </si>
  <si>
    <t>(15.2)</t>
  </si>
  <si>
    <t>ValRetFederais</t>
  </si>
  <si>
    <t>Valor total das retenções federais</t>
  </si>
  <si>
    <t>C194</t>
  </si>
  <si>
    <t>ValAproxTrib</t>
  </si>
  <si>
    <t>Valor aproximado dos tributos</t>
  </si>
  <si>
    <t>NroDeducao</t>
  </si>
  <si>
    <t>Número da dedução do serviço</t>
  </si>
  <si>
    <t>N(19.0)</t>
  </si>
  <si>
    <t>C108</t>
  </si>
  <si>
    <t>Exclusivo para o padrão BOANF</t>
  </si>
  <si>
    <t>3.43.0.0</t>
  </si>
  <si>
    <t>C196</t>
  </si>
  <si>
    <t>mdPrestacao</t>
  </si>
  <si>
    <t>Modo de prestação</t>
  </si>
  <si>
    <r>
      <rPr>
        <rFont val="Tahoma"/>
        <color rgb="FF2A6099"/>
        <sz val="10.0"/>
      </rPr>
      <t xml:space="preserve">Os valores aceitos são:
0 - Desconhecido (tipo não informado na nota de origem);
1 - Transfronteiriço;
2 - Consumo no Brasil;
3 – Movimento Temporário de Pessoas Físicas;
4 – Presença Comercial no Exterior;
</t>
    </r>
    <r>
      <rPr>
        <rFont val="Tahoma"/>
        <b/>
        <color rgb="FF2A6099"/>
        <sz val="10.0"/>
      </rPr>
      <t>Uso específico para NFS-e Modelo Nacional</t>
    </r>
  </si>
  <si>
    <t>C197</t>
  </si>
  <si>
    <t>vincPrest</t>
  </si>
  <si>
    <t>Vínculo entre as partes no negócio</t>
  </si>
  <si>
    <r>
      <rPr>
        <rFont val="Tahoma"/>
        <color rgb="FF2A6099"/>
        <sz val="10.0"/>
      </rPr>
      <t xml:space="preserve">Os valores aceitos são:
0 - Sem vínculo com o tomador/ Prestador
1 - Controlada;
2 - Controladora;
3 - Coligada;
4 - Matriz;
5 - Filial ou sucursal;
6 - Outro vínculo;
</t>
    </r>
    <r>
      <rPr>
        <rFont val="Tahoma"/>
        <b/>
        <color rgb="FF2A6099"/>
        <sz val="10.0"/>
      </rPr>
      <t>Uso específico para NFS-e Modelo Nacional</t>
    </r>
  </si>
  <si>
    <t>C198</t>
  </si>
  <si>
    <t>tpMoeda</t>
  </si>
  <si>
    <t>Identifica a moeda da transação comercial</t>
  </si>
  <si>
    <t>V(3)</t>
  </si>
  <si>
    <t>Conforme lista https://www.bcb.gov.br/estabilidadefinanceira/todasmoedas
Uso específico para NFS-e Modelo Nacional</t>
  </si>
  <si>
    <t>C199</t>
  </si>
  <si>
    <t>ValServEst</t>
  </si>
  <si>
    <t>Valor do Serviço em Moeda estrangeira</t>
  </si>
  <si>
    <t>C200</t>
  </si>
  <si>
    <t>mecAFComexP</t>
  </si>
  <si>
    <t>Mecanismo de apoio/fomento ao Comércio Exterior utilizado pelo prestador do serviço</t>
  </si>
  <si>
    <r>
      <rPr>
        <rFont val="Tahoma"/>
        <color rgb="FF2A6099"/>
        <sz val="10.0"/>
      </rPr>
      <t xml:space="preserve">Os valores aceitos são:
00 - Desconhecido (tipo não informado na nota de origem);
01 - Nenhum;
02 - ACC - Adiantamento sobre Contrato de Câmbio – Redução a Zero do IR e do IOF;
03 - ACE – Adiantamento sobre Cambiais Entregues - Redução a Zero do IR e do IOF;
04 - BNDES-Exim Pós-Embarque – Serviços;
05 - BNDES-Exim Pré-Embarque - Serviços;
06 - FGE - Fundo de Garantia à Exportação;
07 - PROEX - EQUALIZAÇÃO
08 - PROEX - Financiamento;
</t>
    </r>
    <r>
      <rPr>
        <rFont val="Tahoma"/>
        <b/>
        <color rgb="FF2A6099"/>
        <sz val="10.0"/>
      </rPr>
      <t xml:space="preserve">
Uso específico para NFS-e Modelo Nacional</t>
    </r>
  </si>
  <si>
    <t>C201</t>
  </si>
  <si>
    <t>mecAFComexT</t>
  </si>
  <si>
    <t>Mecanismo de apoio/fomento ao Comércio Exterior utilizado pelo tomador do serviço</t>
  </si>
  <si>
    <r>
      <rPr>
        <rFont val="Tahoma"/>
        <color rgb="FF2A6099"/>
        <sz val="10.0"/>
      </rPr>
      <t xml:space="preserve">Os valores aceitos são:
00 - Desconhecido (tipo não informado na nota de origem);
01 - Nenhum;
02 - Adm. Pública e Repr. Internacional;
03 - Alugueis e Arrend. Mercantil de maquinas, equip., embarc. e aeronaves;
04 - Arrendamento Mercantil de aeronave para empresa de transporte aéreo público;
05 - Comissão a agentes externos na exportação;
06 - Despesas de armazenagem, mov. e transporte de carga no exterior;
07 - Eventos FIFA (subsidiária);
08 - Eventos FIFA;
09 - Fretes, arrendamentos de embarcações ou aeronaves e outros;
10 - Material Aeronáutico;
11 - Promoção de Bens no Exterior;
12 - Promoção de Dest. Turísticos Brasileiros;
13 - Promoção do Brasil no Exterior;
14 - Promoção Serviços no Exterior;
15 - RECINE;
16 - RECOPA;
17 - Registro e Manutenção de marcas, patentes e cultivares;
18 - REICOMP;
19 - REIDI;
20 - REPENEC;
21 - REPES;
22 - RETAERO;
23 - RETID;
24 - Royalties, Assistência Técnica, Científica e Assemelhados;
25 - Serviços de avaliação da conformidade vinculados aos Acordos da OMC;
26 - ZPE;
</t>
    </r>
    <r>
      <rPr>
        <rFont val="Tahoma"/>
        <b/>
        <color rgb="FF2A6099"/>
        <sz val="10.0"/>
      </rPr>
      <t>Uso específico para NFS-e Modelo Nacional</t>
    </r>
  </si>
  <si>
    <t>C202</t>
  </si>
  <si>
    <t>movTempBens</t>
  </si>
  <si>
    <t>Operação está vinculada à Movimentação Temporária de Bens</t>
  </si>
  <si>
    <r>
      <rPr>
        <rFont val="Tahoma"/>
        <color rgb="FF2A6099"/>
        <sz val="10.0"/>
      </rPr>
      <t xml:space="preserve">Os valores aceitos são:
0 - Desconhecido (tipo não informado na nota de origem);
1 - Não
2 - Vinculada - Declaração de Importação
3 - Vinculada - Declaração de Exportação
</t>
    </r>
    <r>
      <rPr>
        <rFont val="Tahoma"/>
        <b/>
        <color rgb="FF2A6099"/>
        <sz val="10.0"/>
      </rPr>
      <t>Uso específico para NFS-e Modelo Nacional</t>
    </r>
  </si>
  <si>
    <t>C203</t>
  </si>
  <si>
    <t>nDI</t>
  </si>
  <si>
    <t>Número da Declaração de Importação (DI/DSI/DA/DRI-E) averbado</t>
  </si>
  <si>
    <t>V(12)</t>
  </si>
  <si>
    <t>C204</t>
  </si>
  <si>
    <t>nRE</t>
  </si>
  <si>
    <t>Número do Registro de Exportação (RE) averbado</t>
  </si>
  <si>
    <t>C205</t>
  </si>
  <si>
    <t>mdic</t>
  </si>
  <si>
    <t>Compartilhar as informações da NFS-e gerada a partir desta DPS com a Secretaria de Comércio Exterior</t>
  </si>
  <si>
    <r>
      <rPr>
        <rFont val="Tahoma"/>
        <color rgb="FF2A6099"/>
        <sz val="10.0"/>
      </rPr>
      <t xml:space="preserve">Os valores aceitos são:
0 - Não enviar para o MDIC;
1 - Enviar para o MDIC;
</t>
    </r>
    <r>
      <rPr>
        <rFont val="Tahoma"/>
        <b/>
        <color rgb="FF2A6099"/>
        <sz val="10.0"/>
      </rPr>
      <t xml:space="preserve">
Uso específico para NFS-e Modelo Nacional</t>
    </r>
  </si>
  <si>
    <t>C206</t>
  </si>
  <si>
    <t>vRecebInterm</t>
  </si>
  <si>
    <t>Valor monetário recebido pelo intermediário do serviço</t>
  </si>
  <si>
    <t>C207</t>
  </si>
  <si>
    <t>ValRedBenef</t>
  </si>
  <si>
    <t>Valor monetário informado pelo emitente para redução da base de cálculo (BC) do ISSQN devido a um Benefício Municipal (BM).</t>
  </si>
  <si>
    <t>C208</t>
  </si>
  <si>
    <t>PercRedBenef</t>
  </si>
  <si>
    <t>Valor percentual informado pelo emitente para redução da base de cálculo (BC) do ISSQN devido a um Benefício Municipal (BM)</t>
  </si>
  <si>
    <t>C209</t>
  </si>
  <si>
    <t>ValRetEstaduais</t>
  </si>
  <si>
    <t>Valor monetário total aproximado dos tributos estaduais</t>
  </si>
  <si>
    <t>C210</t>
  </si>
  <si>
    <t>ValRetMunicipais</t>
  </si>
  <si>
    <t>Valor monetário total aproximado dos tributos municipais</t>
  </si>
  <si>
    <t>C211</t>
  </si>
  <si>
    <t>ValAliqRetFederais</t>
  </si>
  <si>
    <t>Valor percentual total aproximado dos tributos federais</t>
  </si>
  <si>
    <t>C212</t>
  </si>
  <si>
    <t>ValAliqRetEstaduais</t>
  </si>
  <si>
    <t>Valor percentual total aproximado dos tributos estaduais</t>
  </si>
  <si>
    <t>C213</t>
  </si>
  <si>
    <t>ValAliqRetMunicipais</t>
  </si>
  <si>
    <t>Valor percentual total aproximado dos tributos municipais</t>
  </si>
  <si>
    <t>C214</t>
  </si>
  <si>
    <t>ValAproxTribAliqSN</t>
  </si>
  <si>
    <t>Valor percentual aproximado do total dos tributos da alíquota do Simples Nacional (%)</t>
  </si>
  <si>
    <t>LocalPrestacao</t>
  </si>
  <si>
    <t>Informações acerca do local onde o serviço foi efetivamente prestado</t>
  </si>
  <si>
    <t>SerEndTpLgr</t>
  </si>
  <si>
    <t>Tipo de Logradouro</t>
  </si>
  <si>
    <t>V(40)</t>
  </si>
  <si>
    <t>Ex: Rua, Avenida, Travessa.</t>
  </si>
  <si>
    <t>SerEndLgr</t>
  </si>
  <si>
    <t>Endereço</t>
  </si>
  <si>
    <t>SerEndNumero</t>
  </si>
  <si>
    <t>SerEndComplemento</t>
  </si>
  <si>
    <t>V(60)</t>
  </si>
  <si>
    <t>SerEndBairro</t>
  </si>
  <si>
    <t>SerEndxMun</t>
  </si>
  <si>
    <t>Nome do Município</t>
  </si>
  <si>
    <t>SerEndcMun</t>
  </si>
  <si>
    <t>Código IBGE do município</t>
  </si>
  <si>
    <t>SerEndCep</t>
  </si>
  <si>
    <t>SerEndSiglaUF</t>
  </si>
  <si>
    <t>Sigla da Unidade Federativa</t>
  </si>
  <si>
    <t>V(2)</t>
  </si>
  <si>
    <t>IteListServico</t>
  </si>
  <si>
    <r>
      <rPr>
        <rFont val="Tahoma"/>
        <color rgb="FF000000"/>
        <sz val="10.0"/>
      </rPr>
      <t xml:space="preserve">Enviar sempre no formato com ponto. Ex: </t>
    </r>
    <r>
      <rPr>
        <rFont val="Tahoma"/>
        <b/>
        <color rgb="FF000000"/>
        <sz val="10.0"/>
      </rPr>
      <t>08.01</t>
    </r>
    <r>
      <rPr>
        <rFont val="Tahoma"/>
        <color rgb="FF000000"/>
        <sz val="10.0"/>
      </rPr>
      <t xml:space="preserve">, </t>
    </r>
    <r>
      <rPr>
        <rFont val="Tahoma"/>
        <b/>
        <color rgb="FF000000"/>
        <sz val="10.0"/>
      </rPr>
      <t>14.04.</t>
    </r>
  </si>
  <si>
    <t>Cnae</t>
  </si>
  <si>
    <t>Codigo CNAE</t>
  </si>
  <si>
    <t>fPagamento</t>
  </si>
  <si>
    <t>Forma de pagamento</t>
  </si>
  <si>
    <t>Padrões Betha e Awatar:
1 - À vista
2 - Na apresentação
3 - À prazo
4 - Cartão débito
5 - Cartão crédito
GLC Consulturia 2.0:
texto livre até 40 caracteres.</t>
  </si>
  <si>
    <t>tpag</t>
  </si>
  <si>
    <t>Tipo de pagamento</t>
  </si>
  <si>
    <t>N(2)</t>
  </si>
  <si>
    <t>1 - Dinheiro; 2 - Cheque; 3 - Cartão de Crédito; 4 - Cartão de Débito; 5 - Crédito Loja; 10 - Vale Alimentação; 11 - Vale Refeição; 12 - Vale Presente; 13 - Vale Combustível; 15 - Boleto bancário; 90 - Sem pagamento; 99 - Outros.</t>
  </si>
  <si>
    <t>2.26.0</t>
  </si>
  <si>
    <t>C226</t>
  </si>
  <si>
    <t>codTributNacional</t>
  </si>
  <si>
    <t>Código de tributação Nacional</t>
  </si>
  <si>
    <t>C132</t>
  </si>
  <si>
    <r>
      <rPr>
        <rFont val="Tahoma"/>
        <color rgb="FF2A6099"/>
        <sz val="10.0"/>
      </rPr>
      <t xml:space="preserve">O código de tributação nacional corresponde ao item e subitem da LC 116/03 + desdobro nacional.
O campo é utilizado apenas no padrão NFSE Nacional.
Caso não enviado esse campo, o InvoiCy irá utilizar o valor informado em iteListServ + ‘01’, que corresponde ao primeiro (na maioria das vezes único) desdobro da lista de serviços.
</t>
    </r>
    <r>
      <rPr>
        <rFont val="Tahoma"/>
        <b/>
        <color rgb="FF2A6099"/>
        <sz val="10.0"/>
      </rPr>
      <t xml:space="preserve">Uso específico para NFS-e Modelo Nacional
</t>
    </r>
  </si>
  <si>
    <t>TributMunicipio</t>
  </si>
  <si>
    <r>
      <rPr>
        <rFont val="Tahoma"/>
        <b/>
        <color rgb="FF000000"/>
        <sz val="10.0"/>
      </rPr>
      <t xml:space="preserve">Obrigatório com ressalvas. Depende da legislação do município. </t>
    </r>
    <r>
      <rPr>
        <rFont val="Tahoma"/>
        <b val="0"/>
        <color rgb="FF000000"/>
        <sz val="10.0"/>
      </rPr>
      <t>Preencher conforme está no cadastro da empresa no município.</t>
    </r>
  </si>
  <si>
    <t>TributMunicDesc</t>
  </si>
  <si>
    <t>Descrição do código de tributação do município</t>
  </si>
  <si>
    <t>Informado unicamente para aparecer no espelho do RPS.</t>
  </si>
  <si>
    <t>Discriminacao</t>
  </si>
  <si>
    <t>Discriminação dos serviços realizados</t>
  </si>
  <si>
    <t>C(7000)</t>
  </si>
  <si>
    <r>
      <rPr>
        <rFont val="Tahoma"/>
        <b/>
        <color rgb="FF000000"/>
        <sz val="10.0"/>
      </rPr>
      <t xml:space="preserve">Para quebra de linha, utilizar o comando !CHR13!. </t>
    </r>
    <r>
      <rPr>
        <rFont val="Tahoma"/>
        <b val="0"/>
        <color rgb="FF000000"/>
        <sz val="10.0"/>
      </rPr>
      <t>A quantidade  de caracteres no momento da emissão para cada prefeitura, será automaticamente reduzida conforme determinação de tamanho máximo permitido pela mesma.</t>
    </r>
  </si>
  <si>
    <t>Código de identificação do município de prestação do serviço. Consulte nosso artigo para mais informações.</t>
  </si>
  <si>
    <t>SerQuantidade</t>
  </si>
  <si>
    <t>Quantidade do serviço</t>
  </si>
  <si>
    <t>SerUnidade</t>
  </si>
  <si>
    <t>Unidade do serviço</t>
  </si>
  <si>
    <t>Normalmente utilizar UN, porém alguns padrões oferecem as opções:
HS - horas.
KM - quilometros.
HA - hectare.</t>
  </si>
  <si>
    <t>SerNumAlvara</t>
  </si>
  <si>
    <t>Número do Alvará do serviço</t>
  </si>
  <si>
    <t>PaiPreServico</t>
  </si>
  <si>
    <t>País de prestação do serviço</t>
  </si>
  <si>
    <t>Sigla do país onde o serviço foi prestado. Lista de siglas https://en.wikipedia.org/wiki/ISO_3166-1_alpha-2</t>
  </si>
  <si>
    <t>cMunIncidencia</t>
  </si>
  <si>
    <t>Município de incidência</t>
  </si>
  <si>
    <t>N(7)</t>
  </si>
  <si>
    <t>dVencimento</t>
  </si>
  <si>
    <t>Data de Vencimento da Fatura</t>
  </si>
  <si>
    <t>Data de Vencimento da Fatura. Formato: AAAA-MM-DDTHH:MM:SS</t>
  </si>
  <si>
    <t>ObsInsPagamento</t>
  </si>
  <si>
    <t>Observações e Instruções de Pagamento</t>
  </si>
  <si>
    <t>ObrigoMunic</t>
  </si>
  <si>
    <t>Obrigação de recolhimento do imposto em outro Município</t>
  </si>
  <si>
    <r>
      <rPr>
        <rFont val="Tahoma"/>
        <color rgb="FF000000"/>
        <sz val="10.0"/>
      </rPr>
      <t xml:space="preserve">1-Tomador
2-Prestador
</t>
    </r>
    <r>
      <rPr>
        <rFont val="Tahoma"/>
        <b/>
        <color rgb="FF000000"/>
        <sz val="10.0"/>
      </rPr>
      <t>Nota: Obrigatório para o padrão de Lençóis Paulista</t>
    </r>
  </si>
  <si>
    <t>TributacaoISS</t>
  </si>
  <si>
    <t>Forma de Tributação do ISS</t>
  </si>
  <si>
    <t>1-Normal
10-Tributado por opção do prestador
11-Não tributado por opção do prestador
Nota: Obrigatório para o padrão de Lençóis Paulista</t>
  </si>
  <si>
    <t>CodigoAtividadeEconomica</t>
  </si>
  <si>
    <t>Codigo da atividade econômica no município</t>
  </si>
  <si>
    <t>Exclusivo e obrigatório no padrão Ágili</t>
  </si>
  <si>
    <t>1.4.0.0</t>
  </si>
  <si>
    <t>Verificar junto a prefeitura qual padrão utilizar.</t>
  </si>
  <si>
    <t>ServicoViasPublicas</t>
  </si>
  <si>
    <t>Serviço Executado em Vias Públicas</t>
  </si>
  <si>
    <t>Exclusivo Padrão eISS.
1 - Sim;
2 - Não;</t>
  </si>
  <si>
    <t>NumeroParcelas</t>
  </si>
  <si>
    <t>Número de Parcelas da Prestação</t>
  </si>
  <si>
    <t>Exclusivo do Padrão tecnos</t>
  </si>
  <si>
    <t>NroOrcamento</t>
  </si>
  <si>
    <t>Número do Orçamento</t>
  </si>
  <si>
    <t>Exclusivo do Padrão RLZ</t>
  </si>
  <si>
    <t>1.22.0.0</t>
  </si>
  <si>
    <t>CodigoNBS</t>
  </si>
  <si>
    <t>Código da Nomenclatura Brasileira de Serviços</t>
  </si>
  <si>
    <t>V(20)</t>
  </si>
  <si>
    <t>C248</t>
  </si>
  <si>
    <t>docRef</t>
  </si>
  <si>
    <t>Chave da nota fiscal referenciada</t>
  </si>
  <si>
    <r>
      <rPr>
        <rFont val="Tahoma"/>
        <color rgb="FF2A6099"/>
        <sz val="10.0"/>
      </rPr>
      <t xml:space="preserve">Chave da nota, número identificador da nota, número do contrato ou outro identificador de documento emitido pelo prestador de serviços, que subsidia a emissão dessa nota pelo tomador do serviço ou intermediário (preenchimento obrigatório caso a nota esteja sendo emitida pelo Tomador ou intermediário do serviço).
</t>
    </r>
    <r>
      <rPr>
        <rFont val="Tahoma"/>
        <b/>
        <color rgb="FF2A6099"/>
        <sz val="10.0"/>
      </rPr>
      <t>Uso específico para NFS-e Modelo Nacional</t>
    </r>
  </si>
  <si>
    <t>C249</t>
  </si>
  <si>
    <t>idDocTec</t>
  </si>
  <si>
    <t>Identificador de Documento de Responsabilidade Técnica: ART, RRT, DRT, Outros.</t>
  </si>
  <si>
    <t xml:space="preserve">Desambiguação:
Visando a compatibilidade com o layout Abrasf, quem já possui o campo ConstCivil.Art integrado poderá continuar usando o mesmo sem alteração.
Para novas integrações, ou mesmo uso de RRT e DRT é recomendado incluir o novo campo.
Uso específico para NFS-e Modelo Nacional
</t>
  </si>
  <si>
    <t>C250</t>
  </si>
  <si>
    <t>CST</t>
  </si>
  <si>
    <t>Código de Situação Tributária do PIS/COFINS (CST)</t>
  </si>
  <si>
    <r>
      <rPr>
        <rFont val="Tahoma"/>
        <color rgb="FF2A6099"/>
        <sz val="10.0"/>
      </rPr>
      <t xml:space="preserve">Valores aceitos:
00 - Nenhum;
01 - Operação Tributável com Alíquota Básica;
02 - Operação Tributável com Alíquota Diferenciada;
03 - Operação Tributável com Alíquota por Unidade de Medida de Produto;
04 - Operação Tributável monofásica - Revenda a Alíquota Zero;
05 - Operação Tributável por Substituição Tributária;
06 - Operação Tributável a Alíquota Zero;
07 - Operação Tributável da Contribuição;
08 - Operação sem Incidência da Contribuição;
09 - Operação com Suspensão da Contribuição;
</t>
    </r>
    <r>
      <rPr>
        <rFont val="Tahoma"/>
        <b/>
        <color rgb="FF2A6099"/>
        <sz val="10.0"/>
      </rPr>
      <t>Uso específico para NFS-e Modelo Nacional</t>
    </r>
  </si>
  <si>
    <t>Tomador</t>
  </si>
  <si>
    <t>TomaCNPJ</t>
  </si>
  <si>
    <t>CNPJ do tomador</t>
  </si>
  <si>
    <t>C(14)</t>
  </si>
  <si>
    <t>TomaCPF</t>
  </si>
  <si>
    <t>CPF do tomador</t>
  </si>
  <si>
    <t>C(11)</t>
  </si>
  <si>
    <t>TomaIM</t>
  </si>
  <si>
    <t>Inscrição Municipal do tomador</t>
  </si>
  <si>
    <t>TomaRazaoSocial</t>
  </si>
  <si>
    <t>Razão social do tomador</t>
  </si>
  <si>
    <t>C(115)</t>
  </si>
  <si>
    <t>TomatpLgr</t>
  </si>
  <si>
    <t>Tipo de logradouro</t>
  </si>
  <si>
    <t>Tipo do logradouro do tomador (Rua, Avenida, Travessa, etc.)</t>
  </si>
  <si>
    <t>TomaEndereco</t>
  </si>
  <si>
    <t>Endereço do tomador</t>
  </si>
  <si>
    <t>C(125)</t>
  </si>
  <si>
    <t>TomaNumero</t>
  </si>
  <si>
    <t>Número do endereço</t>
  </si>
  <si>
    <t>TomaComplemento</t>
  </si>
  <si>
    <t>Complemento do endereço</t>
  </si>
  <si>
    <t>C(60)</t>
  </si>
  <si>
    <t>TomaBairro</t>
  </si>
  <si>
    <t>Bairro do tomador</t>
  </si>
  <si>
    <t>TomacMun</t>
  </si>
  <si>
    <t>TomaxMun</t>
  </si>
  <si>
    <t>Descrição do município</t>
  </si>
  <si>
    <t>TomaUF</t>
  </si>
  <si>
    <t>UF do tomador</t>
  </si>
  <si>
    <t>TomaPais</t>
  </si>
  <si>
    <t>País do tomador</t>
  </si>
  <si>
    <t>Sigla do país do Tomador. Lista de siglas https://en.wikipedia.org/wiki/ISO_3166-1_alpha-2</t>
  </si>
  <si>
    <t>TomaCEP</t>
  </si>
  <si>
    <t>CEP do tomador</t>
  </si>
  <si>
    <t>N(8)</t>
  </si>
  <si>
    <t>Somente números</t>
  </si>
  <si>
    <t>1.3.0.0</t>
  </si>
  <si>
    <t>TomaTelefone</t>
  </si>
  <si>
    <t>Telefone do tomador</t>
  </si>
  <si>
    <t>TomaTipoTelefone</t>
  </si>
  <si>
    <t>Tipo de Telefone do Tomador</t>
  </si>
  <si>
    <t>Exclusivo do padrão BSIT-BR.
Valores Aceitos:
CE - Celular
CO - Comercial
RE - Residencial</t>
  </si>
  <si>
    <t>1.8.0.0</t>
  </si>
  <si>
    <t>TomaEmail</t>
  </si>
  <si>
    <t>E-mail do tomador</t>
  </si>
  <si>
    <t>C(80)</t>
  </si>
  <si>
    <t>TomaSite</t>
  </si>
  <si>
    <t>Site do tomador</t>
  </si>
  <si>
    <t>TomaIE</t>
  </si>
  <si>
    <t>Inscrição estadual do tomador</t>
  </si>
  <si>
    <t>TomaIME</t>
  </si>
  <si>
    <t>Inscrição municipal eventual do tomador</t>
  </si>
  <si>
    <t>TomaSituacaoEspecial</t>
  </si>
  <si>
    <t>Situação especial do Tomador</t>
  </si>
  <si>
    <t>Exclusivo do padrão NF-em
1 - SUS
2 - Órgão do poder Executivo
3 - Bancos
4 - Comércio/Indústria
5 - Poder Legislativo/Judiciário
0 - Outro</t>
  </si>
  <si>
    <t>1.7.0.0</t>
  </si>
  <si>
    <t>DocTomadorEstrangeiro</t>
  </si>
  <si>
    <t>Documento do Tomador Estrangeiro</t>
  </si>
  <si>
    <t>Exclusivo para os Padrões Equiplano e IPM</t>
  </si>
  <si>
    <t>TomaRegEspTrib</t>
  </si>
  <si>
    <t>Regime Especial de Tributação do Prestador</t>
  </si>
  <si>
    <t>Exclusivo do Padrão NF-Eletrônica
0 - Não
1 - Empresa Adm Pública/Condomínios
2 - Instituição Financeira
3 - Tomador Inscrito no PRODEVA</t>
  </si>
  <si>
    <t>TomaCadastroMunicipio</t>
  </si>
  <si>
    <t>Tomador Cadastrado no Município</t>
  </si>
  <si>
    <t>Exclusivo do padrão Consist
1 - Cadastrado no Município
2 - Não cadastrado no município
3 - Fora do Município
4 - Consumidor Final</t>
  </si>
  <si>
    <t>1.20.0.0</t>
  </si>
  <si>
    <t>TomaOrgaoPublico</t>
  </si>
  <si>
    <t>Tomador Órgão Público</t>
  </si>
  <si>
    <t>Exclusivo padrão Obaratech
1 - Sim, do município
2 - Sim, fora do município
3 - Não.</t>
  </si>
  <si>
    <t>C277</t>
  </si>
  <si>
    <t>TomaEnderecoInformado</t>
  </si>
  <si>
    <t>Endereço do tomador a ser validados pela prefeitura</t>
  </si>
  <si>
    <t>Exclusivo para o Padrão IPM. Indica se o endereço do tomador validado será o que for informado no XML ou o já cadastrado na prefeitura.
S -Sim
N- Não</t>
  </si>
  <si>
    <t>2.52.0.0</t>
  </si>
  <si>
    <t>C278</t>
  </si>
  <si>
    <t>TomaCAEPF</t>
  </si>
  <si>
    <t>Número do Cadastro de Atividade Econômica da Pessoa Física (CAEPF)</t>
  </si>
  <si>
    <t>C279</t>
  </si>
  <si>
    <t>TomaExSemNIF</t>
  </si>
  <si>
    <t>Motivo para não informação do NIF</t>
  </si>
  <si>
    <r>
      <rPr>
        <rFont val="Tahoma"/>
        <color rgb="FF2A6099"/>
        <sz val="10.0"/>
      </rPr>
      <t xml:space="preserve">Os valores aceitos são:
0 - Não informado na nota de origem;
1 - Dispensado do NIF;
2 - Não exigência do NIF;
</t>
    </r>
    <r>
      <rPr>
        <rFont val="Tahoma"/>
        <b/>
        <color rgb="FF2A6099"/>
        <sz val="10.0"/>
      </rPr>
      <t xml:space="preserve">Uso específico para NFS-e Modelo Nacional
</t>
    </r>
  </si>
  <si>
    <t>IntermServico</t>
  </si>
  <si>
    <t>Intermediário do Serviço</t>
  </si>
  <si>
    <t>IntermRazaoSocial</t>
  </si>
  <si>
    <t>Razão social do intermediário</t>
  </si>
  <si>
    <t>IntermCNPJ</t>
  </si>
  <si>
    <t>CNPJ do intermediário</t>
  </si>
  <si>
    <t>IntermCPF</t>
  </si>
  <si>
    <t>CPF do intermediário</t>
  </si>
  <si>
    <t>C284</t>
  </si>
  <si>
    <t>IntermNIF</t>
  </si>
  <si>
    <t>Documento do intermediário estrangeiro</t>
  </si>
  <si>
    <t>C285</t>
  </si>
  <si>
    <t>IntermExSemNIF</t>
  </si>
  <si>
    <r>
      <rPr>
        <rFont val="Tahoma"/>
        <color rgb="FF2A6099"/>
        <sz val="10.0"/>
      </rPr>
      <t xml:space="preserve">Os valores aceitos são:
0 - Não informado na nota de origem;
1 - Dispensado do NIF;
2 - Não exigência do NIF;
</t>
    </r>
    <r>
      <rPr>
        <rFont val="Tahoma"/>
        <b/>
        <color rgb="FF2A6099"/>
        <sz val="10.0"/>
      </rPr>
      <t xml:space="preserve">Uso específico para NFS-e Modelo Nacional
</t>
    </r>
  </si>
  <si>
    <t>IntermIM</t>
  </si>
  <si>
    <t>Inscrição Municipal do intermediário</t>
  </si>
  <si>
    <t>IntermEmail</t>
  </si>
  <si>
    <t>Email do Intermediario</t>
  </si>
  <si>
    <t>V(100)</t>
  </si>
  <si>
    <t>Exclusivo do Padrão NFPaulistana</t>
  </si>
  <si>
    <t>IntermEndereco</t>
  </si>
  <si>
    <t>V(125)</t>
  </si>
  <si>
    <t>Exclusivo do Padrão SigCorp Rio Grande</t>
  </si>
  <si>
    <t>1.16.0.0</t>
  </si>
  <si>
    <t>IntermNumero</t>
  </si>
  <si>
    <t>Número do Endereço</t>
  </si>
  <si>
    <t>IntermComplemento</t>
  </si>
  <si>
    <t>Complemento do Endereço</t>
  </si>
  <si>
    <t>IntermBairro</t>
  </si>
  <si>
    <t>IntermCep</t>
  </si>
  <si>
    <t>Cep</t>
  </si>
  <si>
    <t>IntermCmun</t>
  </si>
  <si>
    <t>Código IBGE do Município</t>
  </si>
  <si>
    <t xml:space="preserve">Exclusivo do Padrão SigCorp Rio Grande. Consulte nosso artigo para mais informações. </t>
  </si>
  <si>
    <t>IntermXmun</t>
  </si>
  <si>
    <t>IntermFone</t>
  </si>
  <si>
    <t>Fone</t>
  </si>
  <si>
    <t>ItermIE</t>
  </si>
  <si>
    <t>C294</t>
  </si>
  <si>
    <t>IntermPais</t>
  </si>
  <si>
    <t>Código do País do Intermediário</t>
  </si>
  <si>
    <t>V(5)</t>
  </si>
  <si>
    <r>
      <rPr>
        <rFont val="Tahoma"/>
        <color rgb="FF2A6099"/>
        <sz val="10.0"/>
      </rPr>
      <t xml:space="preserve">Sigla da tabela ISO ou código BACEN.
</t>
    </r>
    <r>
      <rPr>
        <rFont val="Tahoma"/>
        <b/>
        <color rgb="FF2A6099"/>
        <sz val="10.0"/>
      </rPr>
      <t>Uso específico para NFS-e Modelo Nacional</t>
    </r>
  </si>
  <si>
    <t>C295</t>
  </si>
  <si>
    <t>IntermUF</t>
  </si>
  <si>
    <t>UF/província/região do intermediário</t>
  </si>
  <si>
    <r>
      <rPr>
        <rFont val="Tahoma"/>
        <color rgb="FF2A6099"/>
        <sz val="10.0"/>
      </rPr>
      <t xml:space="preserve">Obrigatório quando intermediário for do exterior
</t>
    </r>
    <r>
      <rPr>
        <rFont val="Tahoma"/>
        <b/>
        <color rgb="FF2A6099"/>
        <sz val="10.0"/>
      </rPr>
      <t xml:space="preserve">Uso específico para NFS-e Modelo Nacional
</t>
    </r>
    <r>
      <rPr>
        <rFont val="Tahoma"/>
        <color rgb="FF2A6099"/>
        <sz val="10.0"/>
      </rPr>
      <t xml:space="preserve">
</t>
    </r>
  </si>
  <si>
    <t>C296</t>
  </si>
  <si>
    <t>IntermCAEPF</t>
  </si>
  <si>
    <t>ConstCivil</t>
  </si>
  <si>
    <t>CodObra</t>
  </si>
  <si>
    <t>Código da obra / Número do projeto</t>
  </si>
  <si>
    <t>Informar o código da obra</t>
  </si>
  <si>
    <t>Art</t>
  </si>
  <si>
    <t>Código ART</t>
  </si>
  <si>
    <t>Informar o número ART</t>
  </si>
  <si>
    <t>ObraLog</t>
  </si>
  <si>
    <t>Logradouro\Endereço da Obra</t>
  </si>
  <si>
    <t>C(100)</t>
  </si>
  <si>
    <t>ObraCompl</t>
  </si>
  <si>
    <t>Complemento do End. da Obra</t>
  </si>
  <si>
    <t>ObraNumero</t>
  </si>
  <si>
    <t>Número do End. da Obra</t>
  </si>
  <si>
    <t>ObraBairro</t>
  </si>
  <si>
    <t>Bairro da Obra</t>
  </si>
  <si>
    <t>ObraCEP</t>
  </si>
  <si>
    <t>CEP da Obra</t>
  </si>
  <si>
    <t>ObraMun</t>
  </si>
  <si>
    <t>Código IBGE do município da Obra</t>
  </si>
  <si>
    <t>Exclusivo do padrão INFISC. Consulte nosso artigo para mais informações.</t>
  </si>
  <si>
    <t>ObraUF</t>
  </si>
  <si>
    <t>UF da Obra</t>
  </si>
  <si>
    <t>ObraPais</t>
  </si>
  <si>
    <t>País da Obra</t>
  </si>
  <si>
    <t>Sigla do País da Obra. Exclusivo padrão INFISC. Lista de siglas https://en.wikipedia.org/wiki/ISO_3166-1_alpha-2</t>
  </si>
  <si>
    <t>ObraCEI</t>
  </si>
  <si>
    <t>Número CEI da Obra</t>
  </si>
  <si>
    <t>Exclusivo padrão INFISC, NF Paulistana</t>
  </si>
  <si>
    <t>ObraMatricula</t>
  </si>
  <si>
    <t>Número de Matrícula da Obra</t>
  </si>
  <si>
    <t>ObraValRedBC</t>
  </si>
  <si>
    <t>Valor da redução da base de cálculo da construção civil</t>
  </si>
  <si>
    <t>ObraTipo</t>
  </si>
  <si>
    <t>Tipo de Obra</t>
  </si>
  <si>
    <t>Exclusivo do Padrão SigCorp Rio Grande
Valores:
1 – Minha Casa Minha Vida;
2 – Regime Presumido;
3 – Regime Ordinário;</t>
  </si>
  <si>
    <t>C315</t>
  </si>
  <si>
    <t>ObraNomeFornecedor</t>
  </si>
  <si>
    <t>Nome do fornecedor</t>
  </si>
  <si>
    <t>C300</t>
  </si>
  <si>
    <t>C316</t>
  </si>
  <si>
    <t>ObraNumeroNF</t>
  </si>
  <si>
    <t>Número da nota fiscal</t>
  </si>
  <si>
    <t>C317</t>
  </si>
  <si>
    <t>ObraDataNF</t>
  </si>
  <si>
    <t>Data de emissão da nota fiscal</t>
  </si>
  <si>
    <t>ObraNumEncapsulamento</t>
  </si>
  <si>
    <t>Código do encapsulamento de notas dedutoras</t>
  </si>
  <si>
    <t>V(15)</t>
  </si>
  <si>
    <t>Exclusivo do Padrão NF Paulistana.
Verificar valores aceitos com o setor fiscal da prefeitura.</t>
  </si>
  <si>
    <t>AbatimentoMateriais</t>
  </si>
  <si>
    <t>Abatimento de Materiais</t>
  </si>
  <si>
    <t>Exclusivo padrão Obaratech.
1-Abatimento padrão
2-Abatimento por nota fiscal
3-Sem abatimento</t>
  </si>
  <si>
    <t>C320</t>
  </si>
  <si>
    <t>ObraXMun</t>
  </si>
  <si>
    <t>Nome do município da Obra</t>
  </si>
  <si>
    <t>C321</t>
  </si>
  <si>
    <t>ObraDesc</t>
  </si>
  <si>
    <t>Descrição da Obra</t>
  </si>
  <si>
    <t>Exigido para o município de Cotia – SP</t>
  </si>
  <si>
    <t>ListaMaterial</t>
  </si>
  <si>
    <t>Utilizado apenas pelo padrão Ágili</t>
  </si>
  <si>
    <t>Material</t>
  </si>
  <si>
    <t>MatCodigo</t>
  </si>
  <si>
    <t>Código do material</t>
  </si>
  <si>
    <t>MatDescricao</t>
  </si>
  <si>
    <t>Descrição do material</t>
  </si>
  <si>
    <t>V(120)</t>
  </si>
  <si>
    <t>MatUndMedCodigo</t>
  </si>
  <si>
    <t>Código da unidade de medida</t>
  </si>
  <si>
    <t>MatUndMedSigla</t>
  </si>
  <si>
    <t>Sigla da unidade de medida</t>
  </si>
  <si>
    <t>V(7)</t>
  </si>
  <si>
    <t>MatQuantidade</t>
  </si>
  <si>
    <t>Quantidade</t>
  </si>
  <si>
    <t>N(4)</t>
  </si>
  <si>
    <t>MatVlrTotal</t>
  </si>
  <si>
    <t>Valor total</t>
  </si>
  <si>
    <t>C326</t>
  </si>
  <si>
    <t>MatValUni</t>
  </si>
  <si>
    <t>Valor unitário do material</t>
  </si>
  <si>
    <t>C323</t>
  </si>
  <si>
    <t>ListaDed</t>
  </si>
  <si>
    <t>Utilizado apenas pelo padrão DSFNET.</t>
  </si>
  <si>
    <t>Ded</t>
  </si>
  <si>
    <t>DedSeq</t>
  </si>
  <si>
    <t>Número sequencial da dedução</t>
  </si>
  <si>
    <t>N(18.0)</t>
  </si>
  <si>
    <t>DedValPer</t>
  </si>
  <si>
    <t>Identificação de valor ou percentual</t>
  </si>
  <si>
    <t>C(3)</t>
  </si>
  <si>
    <t>Informar se a dedução é medida em valor ou percentual
1 – Valor 
2 – Percentual</t>
  </si>
  <si>
    <t>DedTipo</t>
  </si>
  <si>
    <t>Tipo de dedução</t>
  </si>
  <si>
    <t>1 – Despesas Materiais 
2 – Despesas Sub-empreitadas</t>
  </si>
  <si>
    <t>C332</t>
  </si>
  <si>
    <t>DedFornIM</t>
  </si>
  <si>
    <t>Inscrição Municipal do Fornecedor</t>
  </si>
  <si>
    <t>C330</t>
  </si>
  <si>
    <t>DedCNPJRef</t>
  </si>
  <si>
    <t>CNPJ do fornecedor ou prestador</t>
  </si>
  <si>
    <t>DedCPFRef</t>
  </si>
  <si>
    <t>CPF do fornecedor ou prestador</t>
  </si>
  <si>
    <t>DedFornNome</t>
  </si>
  <si>
    <t>Razão Social do fornecedor</t>
  </si>
  <si>
    <t>V (300)</t>
  </si>
  <si>
    <t>C336</t>
  </si>
  <si>
    <t>DedFornCEP</t>
  </si>
  <si>
    <t>CEP do fornecedor</t>
  </si>
  <si>
    <t>V(8)</t>
  </si>
  <si>
    <t>C337</t>
  </si>
  <si>
    <t>DedForncMun</t>
  </si>
  <si>
    <t>Código IBGE do fornecedor</t>
  </si>
  <si>
    <t>c330</t>
  </si>
  <si>
    <t>C338</t>
  </si>
  <si>
    <t>DedFornxMun</t>
  </si>
  <si>
    <t>Nome do Município do fornecedor</t>
  </si>
  <si>
    <t>V(70)</t>
  </si>
  <si>
    <t>C339</t>
  </si>
  <si>
    <t>DedFornUF</t>
  </si>
  <si>
    <t>UF/Província/região do fornecedor</t>
  </si>
  <si>
    <t>C340</t>
  </si>
  <si>
    <t>DedFornLogr</t>
  </si>
  <si>
    <t>Logradouro do endereço do Fornecedor</t>
  </si>
  <si>
    <t>C341</t>
  </si>
  <si>
    <t>DedFornNumero</t>
  </si>
  <si>
    <t>Número do endereço do Fornecedor</t>
  </si>
  <si>
    <t>C342</t>
  </si>
  <si>
    <t>DedFornCompl</t>
  </si>
  <si>
    <t>Complemento do endereço do Fornecedor</t>
  </si>
  <si>
    <t>V(156)</t>
  </si>
  <si>
    <t>C343</t>
  </si>
  <si>
    <t>DedFornBairro</t>
  </si>
  <si>
    <t>Bairro do endereço do Fornecedo</t>
  </si>
  <si>
    <t>C344</t>
  </si>
  <si>
    <t>DedFornFone</t>
  </si>
  <si>
    <t>Telefone do fornecedor com DDD</t>
  </si>
  <si>
    <t>C345</t>
  </si>
  <si>
    <t>DedFornEmail</t>
  </si>
  <si>
    <t>E-mail do fornecedor</t>
  </si>
  <si>
    <t>V(80)</t>
  </si>
  <si>
    <t>C346</t>
  </si>
  <si>
    <t>DedNifFornecedor</t>
  </si>
  <si>
    <t>C347</t>
  </si>
  <si>
    <t>DedForncExSemNIF</t>
  </si>
  <si>
    <r>
      <rPr>
        <rFont val="Tahoma"/>
        <color rgb="FF2A6099"/>
        <sz val="10.0"/>
      </rPr>
      <t xml:space="preserve">Os valores aceitos são:
0 - Não informado na nota de origem;
1 - Dispensado do NIF;
2 - Não exigência do NIF;
</t>
    </r>
    <r>
      <rPr>
        <rFont val="Tahoma"/>
        <b/>
        <color rgb="FF2A6099"/>
        <sz val="10.0"/>
      </rPr>
      <t xml:space="preserve">
Uso específico para NFS-e Modelo Nacional</t>
    </r>
  </si>
  <si>
    <t>DedPaisFornecedor</t>
  </si>
  <si>
    <t>Código do país do fornecedor</t>
  </si>
  <si>
    <t>V (10)</t>
  </si>
  <si>
    <t>DednNFRef</t>
  </si>
  <si>
    <t>Número da nota fiscal de referência</t>
  </si>
  <si>
    <t>N(10.0)</t>
  </si>
  <si>
    <t>DedvlTotRef</t>
  </si>
  <si>
    <t>Valor total de referência</t>
  </si>
  <si>
    <t>Valor total da nota fiscal de referência</t>
  </si>
  <si>
    <t>DedUFNFe</t>
  </si>
  <si>
    <t>UF gerador da NF-e de referência</t>
  </si>
  <si>
    <t>DedChaveAcesso</t>
  </si>
  <si>
    <t>Chave de acesso da NF-e de referência</t>
  </si>
  <si>
    <t>C (50)</t>
  </si>
  <si>
    <t>C353</t>
  </si>
  <si>
    <t>DedChAcesNacional</t>
  </si>
  <si>
    <t>Chave de Acesso da NFS-e (Padrão Nacional)</t>
  </si>
  <si>
    <t>DedDEmis</t>
  </si>
  <si>
    <t>Data de emissão da NF-e de referência</t>
  </si>
  <si>
    <t>DedPer</t>
  </si>
  <si>
    <t>Percentual a deduzir</t>
  </si>
  <si>
    <t>N(7.4)</t>
  </si>
  <si>
    <t>Obrigatório caso DedValPer = 2 (Percentual)</t>
  </si>
  <si>
    <t>DedValor</t>
  </si>
  <si>
    <t>Valor a ser deduzido</t>
  </si>
  <si>
    <t>DedQtde</t>
  </si>
  <si>
    <t>Quantidade de itens de dedução</t>
  </si>
  <si>
    <t>Exclusivo Padrão Assessor Público</t>
  </si>
  <si>
    <t>1.2.0.0</t>
  </si>
  <si>
    <t>DedValUnit</t>
  </si>
  <si>
    <t>Valor Unitário</t>
  </si>
  <si>
    <t>DedDescricao</t>
  </si>
  <si>
    <t>C360</t>
  </si>
  <si>
    <t>DedTipoItem</t>
  </si>
  <si>
    <t>Tipo de Item</t>
  </si>
  <si>
    <t>DednNFSeRef</t>
  </si>
  <si>
    <t>Número da NFS-e de referência</t>
  </si>
  <si>
    <t>N (18.0)</t>
  </si>
  <si>
    <t>DedcVerificaNFSe</t>
  </si>
  <si>
    <t>Código de verificação da NFS-e de referência</t>
  </si>
  <si>
    <t>DedcMunNFSe</t>
  </si>
  <si>
    <t>Código do município Gerador da NFS-e de referência</t>
  </si>
  <si>
    <t>N (7.0)</t>
  </si>
  <si>
    <t>DedOutroDoc</t>
  </si>
  <si>
    <t>Número da identificação de outro documento</t>
  </si>
  <si>
    <t>C365</t>
  </si>
  <si>
    <t>DedOutroDocFisc</t>
  </si>
  <si>
    <t>Número de outro documento fiscal</t>
  </si>
  <si>
    <t>C366</t>
  </si>
  <si>
    <t>DedRedTipo</t>
  </si>
  <si>
    <t>Tipo de dedução/Redução modelo nacional</t>
  </si>
  <si>
    <t>C367</t>
  </si>
  <si>
    <t>DedRetxDesc</t>
  </si>
  <si>
    <t>Descrição da Dedução/Redução quando a opção é "99 – Outras Deduções"</t>
  </si>
  <si>
    <t>V(150)</t>
  </si>
  <si>
    <t>C368</t>
  </si>
  <si>
    <t>DedFornCAEPF</t>
  </si>
  <si>
    <t>Transportadora</t>
  </si>
  <si>
    <t>Dados da Transportadora</t>
  </si>
  <si>
    <t>Grupo exclusivo do padrão INFISC</t>
  </si>
  <si>
    <t>TraNome</t>
  </si>
  <si>
    <t>Nome ou Razão Social da Transportadora</t>
  </si>
  <si>
    <t>TraCPFCNPJ</t>
  </si>
  <si>
    <t>CPF ou CNPJ da transportadora</t>
  </si>
  <si>
    <t>TraIE</t>
  </si>
  <si>
    <t>Inscrição Estadual da Transportadora</t>
  </si>
  <si>
    <t>TraPlaca</t>
  </si>
  <si>
    <t>Placa do veículo da Transportadora</t>
  </si>
  <si>
    <t>TraEnd</t>
  </si>
  <si>
    <t>Endereço da Transportadora</t>
  </si>
  <si>
    <t>TraMun</t>
  </si>
  <si>
    <t>Código IBGE do município da Transportadora</t>
  </si>
  <si>
    <t>TraUF</t>
  </si>
  <si>
    <t>UF da Transportadora</t>
  </si>
  <si>
    <t>TraPais</t>
  </si>
  <si>
    <t>País da Transportadora</t>
  </si>
  <si>
    <t>Sigla do país da Transportadora. Lista de siglas https://en.wikipedia.org/wiki/ISO_3166-1_alpha-2</t>
  </si>
  <si>
    <t>TraTipoFrete</t>
  </si>
  <si>
    <t>Responsável pelo pagamento do frete</t>
  </si>
  <si>
    <t xml:space="preserve">1 - Tomador
2 - Prestador </t>
  </si>
  <si>
    <t>C379</t>
  </si>
  <si>
    <t>Locacao</t>
  </si>
  <si>
    <t>C380</t>
  </si>
  <si>
    <t>LocacaoItem</t>
  </si>
  <si>
    <t>C381</t>
  </si>
  <si>
    <t>categServ</t>
  </si>
  <si>
    <t>Categoria do Serviço</t>
  </si>
  <si>
    <r>
      <rPr>
        <rFont val="Tahoma"/>
        <color rgb="FF2A6099"/>
        <sz val="10.0"/>
      </rPr>
      <t xml:space="preserve">Os valores aceitos são:
1 - Locação;
2 - Sublocação;
3 - Arrendamento;
4 - Direito de passagem;
5 - Permissão de uso;
</t>
    </r>
    <r>
      <rPr>
        <rFont val="Tahoma"/>
        <b/>
        <color rgb="FF2A6099"/>
        <sz val="10.0"/>
      </rPr>
      <t>Uso específico para NFS-e Modelo Nacional</t>
    </r>
  </si>
  <si>
    <t>C382</t>
  </si>
  <si>
    <t>objetoLocacao</t>
  </si>
  <si>
    <t>Tipo de objetos da locação, sublocação, arrendamento, direito de passagem ou permissão de uso</t>
  </si>
  <si>
    <r>
      <rPr>
        <rFont val="Tahoma"/>
        <color rgb="FF2A6099"/>
        <sz val="10.0"/>
      </rPr>
      <t xml:space="preserve">Os valores aceitos são:
1 - Ferrovia;
2 - Rodovia;
3 - Postes;
4 - Cabos;
5 - Dutos;
6 - Condutos de qualquer natureza;
</t>
    </r>
    <r>
      <rPr>
        <rFont val="Tahoma"/>
        <b/>
        <color rgb="FF2A6099"/>
        <sz val="10.0"/>
      </rPr>
      <t>Uso específico para NFS-e Modelo Nacional</t>
    </r>
  </si>
  <si>
    <t>C383</t>
  </si>
  <si>
    <t>extensaoFerrovia</t>
  </si>
  <si>
    <t>Extensão total da ferrovia, rodovia, cabos, dutos ou condutos</t>
  </si>
  <si>
    <t>N(5.0)</t>
  </si>
  <si>
    <t>C384</t>
  </si>
  <si>
    <t>nPostes</t>
  </si>
  <si>
    <t>Número total de postes</t>
  </si>
  <si>
    <t>(6.0)</t>
  </si>
  <si>
    <t>C385</t>
  </si>
  <si>
    <t>AtividadeEvento</t>
  </si>
  <si>
    <t>C386</t>
  </si>
  <si>
    <t>AtivDesc</t>
  </si>
  <si>
    <t>Descrição do evento Artístico, Cultural, Esportivo, etc</t>
  </si>
  <si>
    <t>C387</t>
  </si>
  <si>
    <t>AtivDataInicial</t>
  </si>
  <si>
    <t>Data de início da atividade de evento</t>
  </si>
  <si>
    <t>C388</t>
  </si>
  <si>
    <t>AtivDataFinal</t>
  </si>
  <si>
    <t>Data de fim da atividade de evento.</t>
  </si>
  <si>
    <t>C389</t>
  </si>
  <si>
    <t>AtivIdEvento</t>
  </si>
  <si>
    <t>Identificação da Atividade de Evento (código identificador de evento determinado pela Administração Tributária Municipal)</t>
  </si>
  <si>
    <t>C390</t>
  </si>
  <si>
    <t>AtivEndLogradouro</t>
  </si>
  <si>
    <t>Logradouro do endereço do evento</t>
  </si>
  <si>
    <t>C391</t>
  </si>
  <si>
    <t>AtivEndNumero</t>
  </si>
  <si>
    <t>Número do endereço do evento</t>
  </si>
  <si>
    <t>C392</t>
  </si>
  <si>
    <t>AtivEndCompl</t>
  </si>
  <si>
    <t>Complemento do endereço do evento</t>
  </si>
  <si>
    <t>C393</t>
  </si>
  <si>
    <t>AtivEndBairro</t>
  </si>
  <si>
    <t>Bairro do endereço do evento</t>
  </si>
  <si>
    <t>C394</t>
  </si>
  <si>
    <t>AtivEndCEP</t>
  </si>
  <si>
    <t>CEP do endereço do evento</t>
  </si>
  <si>
    <t>C395</t>
  </si>
  <si>
    <t>AtivEndcMun</t>
  </si>
  <si>
    <t>Código IBGE do município do endereço do evento</t>
  </si>
  <si>
    <t>C396</t>
  </si>
  <si>
    <t>AtivEndxMun</t>
  </si>
  <si>
    <t>Nome do município do endereço do evento</t>
  </si>
  <si>
    <t>C397</t>
  </si>
  <si>
    <t>AtivEndUF</t>
  </si>
  <si>
    <t>UF/província/Região do evento</t>
  </si>
  <si>
    <t>Pedagio</t>
  </si>
  <si>
    <t>C399</t>
  </si>
  <si>
    <t>PedCategVeiculo</t>
  </si>
  <si>
    <t>Categorias de veículos para cobrança</t>
  </si>
  <si>
    <r>
      <rPr>
        <rFont val="Tahoma"/>
        <color rgb="FF2A6099"/>
        <sz val="10.0"/>
      </rPr>
      <t xml:space="preserve">00 - Categoria de Veículos (tipo não informado na nota de origem);
01 - Automóvel, caminhonete e furgão;
02 - Caminhão leve, ônibus, caminhão trator e furgão;
03 - Automóvel e caminhonete com semireboque;
04 - Caminhão, caminhão-trator, caminhão-trator com semi-reboque e ônibus;
05 - Automóvel e caminhonete com reboque;
06 - Caminhão com reboque;
07 - Caminhão trator com semi-reboque;
08 - Motocicletas, motonetas e bicicletas motorizadas;
09 - Veículo especial;
10 - Veículo Isento;
</t>
    </r>
    <r>
      <rPr>
        <rFont val="Tahoma"/>
        <b/>
        <color rgb="FF2A6099"/>
        <sz val="10.0"/>
      </rPr>
      <t>Uso específico para NFS-e Modelo Nacional</t>
    </r>
  </si>
  <si>
    <t>C400</t>
  </si>
  <si>
    <t>PednEixos</t>
  </si>
  <si>
    <t>Número de eixos para fins de cobrança</t>
  </si>
  <si>
    <t>C401</t>
  </si>
  <si>
    <t>PedRodagem</t>
  </si>
  <si>
    <t>Tipo de rodagem</t>
  </si>
  <si>
    <r>
      <rPr>
        <rFont val="Tahoma"/>
        <color rgb="FF2A6099"/>
        <sz val="10.0"/>
      </rPr>
      <t xml:space="preserve">1 - Simples;
2 - Dupla;
</t>
    </r>
    <r>
      <rPr>
        <rFont val="Tahoma"/>
        <b/>
        <color rgb="FF2A6099"/>
        <sz val="10.0"/>
      </rPr>
      <t>Uso específico para NFS-e Modelo Nacional</t>
    </r>
  </si>
  <si>
    <t>C402</t>
  </si>
  <si>
    <t>PedSentido</t>
  </si>
  <si>
    <t>Orientação de passagem do veículo</t>
  </si>
  <si>
    <r>
      <rPr>
        <rFont val="Tahoma"/>
        <color rgb="FF2A6099"/>
        <sz val="10.0"/>
      </rPr>
      <t xml:space="preserve">Ângulo em graus a partir do norte geográfico em sentido horário, número inteiro de 0 a 359, onde 0º seria o norte, 90º o leste, 180º o sul, 270º o oeste. Precisão mínima de 10
</t>
    </r>
    <r>
      <rPr>
        <rFont val="Tahoma"/>
        <b/>
        <color rgb="FF2A6099"/>
        <sz val="10.0"/>
      </rPr>
      <t>Uso específico para NFS-e Modelo Nacional</t>
    </r>
  </si>
  <si>
    <t>C403</t>
  </si>
  <si>
    <t>PedPlaca</t>
  </si>
  <si>
    <t>Placa do veículo</t>
  </si>
  <si>
    <r>
      <rPr>
        <rFont val="Tahoma"/>
        <color rgb="FF2A6099"/>
        <sz val="10.0"/>
      </rPr>
      <t xml:space="preserve">Deve ser informada no padrão [A-Z]{2,3}[0-9]{4}|[A-Z]{3,4}[0-9]{3}
</t>
    </r>
    <r>
      <rPr>
        <rFont val="Tahoma"/>
        <b/>
        <color rgb="FF2A6099"/>
        <sz val="10.0"/>
      </rPr>
      <t>Uso específico para NFS-e Modelo Nacional</t>
    </r>
  </si>
  <si>
    <t>C404</t>
  </si>
  <si>
    <t>PedCodAcesso</t>
  </si>
  <si>
    <t>Código de acesso gerado automaticamente pelo sistema emissor da concessionária</t>
  </si>
  <si>
    <t>C405</t>
  </si>
  <si>
    <t>PedCodContrato</t>
  </si>
  <si>
    <t>Código de contrato gerado automaticamente pelo sistema nacional no cadastro da concessionária</t>
  </si>
  <si>
    <t>V(4)</t>
  </si>
  <si>
    <t>NFSOutrasinformacoes</t>
  </si>
  <si>
    <t>Outras informações</t>
  </si>
  <si>
    <t>C(1000)</t>
  </si>
  <si>
    <t>Sempre será Impresso no Espelho do RPS do InvoiCy. Porém, só envia para as prefeituras do Betha, IPM, E&amp;L, SimplISS, Prescon e INFISC. Se você utilizar o espelho do RPS gerado pelo InvoiCy, sempre terá essa informação impressa! Obs: Caso seja enviado menos de 58 caracteres, o layout Betha concatena o link do espelho da NFS-e neste campo.</t>
  </si>
  <si>
    <t>RPSCanhoto</t>
  </si>
  <si>
    <t>Canhoto do RPS (INFISC)</t>
  </si>
  <si>
    <t>Campo exclusivo do padrão INFISC. Gerar espelho?
0 - Não
1 - Cabeçalho
2 - Rodapé</t>
  </si>
  <si>
    <t>Arquivo</t>
  </si>
  <si>
    <t>Arquivo de retorno</t>
  </si>
  <si>
    <t>V(2M)</t>
  </si>
  <si>
    <t>Enviar o arquivo  em base64. Para mais informações de envio consultar o tópico de Orientações aos municípios que integram com o InvoiCy NFS-e através de arquivo</t>
  </si>
  <si>
    <t>ExtensaoArquivo</t>
  </si>
  <si>
    <t>Extensão do arquivo de envio</t>
  </si>
  <si>
    <t>TXT, XML ou CSV. Informar somente se preencher a tag Arquivo.</t>
  </si>
  <si>
    <t>Tipos</t>
  </si>
  <si>
    <t>N(4.0) - Numérico Inteiro de tamanho 4 (tamanho varia conforme especificado). Exemplo: 2015.
N(16.2) - Numérico de até 16 posições, sendo 2 casas decimais. Exemplo 56.29.
C(40) - Caractere.
V(255) - Varchar (equivalente a caractere).
Date - Datas no formato AAAA-MM-DD.
DateTime - Data e Hora no no formato AAAA-MM-DDTHH:mm:ss.</t>
  </si>
  <si>
    <t>Documento</t>
  </si>
  <si>
    <t>RAIZ</t>
  </si>
  <si>
    <t>Preenchimento obrigatório</t>
  </si>
  <si>
    <t>DocModelo</t>
  </si>
  <si>
    <t>Modelo do documento</t>
  </si>
  <si>
    <t>Será retornado “NFSe”</t>
  </si>
  <si>
    <t>DocNumero</t>
  </si>
  <si>
    <t>Número do RPS.</t>
  </si>
  <si>
    <t>DocSerie</t>
  </si>
  <si>
    <t>Série do Documeno</t>
  </si>
  <si>
    <t>v(5)</t>
  </si>
  <si>
    <t>DocIDUnico</t>
  </si>
  <si>
    <t>DocProtocolo</t>
  </si>
  <si>
    <t>Número do Protocolo</t>
  </si>
  <si>
    <t>v(50)</t>
  </si>
  <si>
    <t>DocPDFBase64</t>
  </si>
  <si>
    <t>Espelho RPS em PDF e em base 64</t>
  </si>
  <si>
    <t>v(2M)</t>
  </si>
  <si>
    <t>DocPDFDownload</t>
  </si>
  <si>
    <t>Link para download do Espelho RPS em PDF.</t>
  </si>
  <si>
    <t>V(999)</t>
  </si>
  <si>
    <t>DocXMLBase64</t>
  </si>
  <si>
    <t>XML da NFS-e em base 64.</t>
  </si>
  <si>
    <t>DocXMLDownload</t>
  </si>
  <si>
    <t>XML Download do Documento</t>
  </si>
  <si>
    <t>DocArquivo</t>
  </si>
  <si>
    <t>Arquivo de Envio em base 64</t>
  </si>
  <si>
    <t>Somente para prefeituras que utilizam a integração via arquivo</t>
  </si>
  <si>
    <t>DocExtensaoArquivo</t>
  </si>
  <si>
    <t>Extensão do Arquivo de Envio (DocArquivo)</t>
  </si>
  <si>
    <t>DocImpPrefeitura</t>
  </si>
  <si>
    <t>Link para impressão no sistema da prefeitura</t>
  </si>
  <si>
    <t>v(1000)</t>
  </si>
  <si>
    <t>Exclusivo para os padrões que permitem a captura da URL de impressão.
Necessário tratamento para substituir o caracter "&amp;amp;" por "&amp;"</t>
  </si>
  <si>
    <t>1.5.0.0</t>
  </si>
  <si>
    <t>DocCompleto</t>
  </si>
  <si>
    <t>Retorno do XML do InoviCy com informações atualizadas</t>
  </si>
  <si>
    <t>NFSe</t>
  </si>
  <si>
    <t>Dados NFS-e</t>
  </si>
  <si>
    <t>NFSeNumero</t>
  </si>
  <si>
    <t>Número da NFS-e</t>
  </si>
  <si>
    <t>NFSeCodVerificacao</t>
  </si>
  <si>
    <t>Código de Verificação da NFS-e</t>
  </si>
  <si>
    <t>Situacao</t>
  </si>
  <si>
    <t>SitCodigo</t>
  </si>
  <si>
    <t>Código da Situação</t>
  </si>
  <si>
    <t>SitDescricao</t>
  </si>
  <si>
    <t>Descrição da Situação</t>
  </si>
  <si>
    <t>Naturezas da operação utilizadas em cada padrão ou município.</t>
  </si>
  <si>
    <t>Valores Padrão do InvoiCy</t>
  </si>
  <si>
    <t>Município = zero significa que o valor é válido para todos municípios daquele padrão. Município &gt;0 significa que aquele município possui valores diferentes.</t>
  </si>
  <si>
    <t>Naturezas de Operação</t>
  </si>
  <si>
    <t>Padrão</t>
  </si>
  <si>
    <t>Município</t>
  </si>
  <si>
    <t>Código do InvoiCy</t>
  </si>
  <si>
    <t>Valor no município</t>
  </si>
  <si>
    <t>Tributação no município</t>
  </si>
  <si>
    <t>3enet</t>
  </si>
  <si>
    <t>Tributação no Municipio</t>
  </si>
  <si>
    <t>Tributação fora do município</t>
  </si>
  <si>
    <t>Tributação fora do municipio</t>
  </si>
  <si>
    <t>Isenção</t>
  </si>
  <si>
    <t>Imune</t>
  </si>
  <si>
    <t>Imunidade</t>
  </si>
  <si>
    <t>Exigibilidade suspensa por decisão judicial</t>
  </si>
  <si>
    <t>Imp. devido fora do município sem obrigação de ret. na fonte</t>
  </si>
  <si>
    <t>Exigibilidade suspensa por procedimento administrativo</t>
  </si>
  <si>
    <t>Exigível</t>
  </si>
  <si>
    <t>ÁBACO</t>
  </si>
  <si>
    <t>Não incidência</t>
  </si>
  <si>
    <t>Exportação</t>
  </si>
  <si>
    <t>ISS fixo</t>
  </si>
  <si>
    <t>Substituição tributária</t>
  </si>
  <si>
    <t>Simples Nacional</t>
  </si>
  <si>
    <t>Isenção parcial</t>
  </si>
  <si>
    <t>Ágili 2</t>
  </si>
  <si>
    <t>Cancelado</t>
  </si>
  <si>
    <t>ISS retido pelo tomador/intermediário</t>
  </si>
  <si>
    <t>Não tributável</t>
  </si>
  <si>
    <t>Micro Empreendedor Individual (MEI)</t>
  </si>
  <si>
    <t>Serviço para imóvel (Construção Civil)</t>
  </si>
  <si>
    <t>Serviço em via pública</t>
  </si>
  <si>
    <t>Tributada integralmente com ISSRF</t>
  </si>
  <si>
    <t>ArrecadaNet</t>
  </si>
  <si>
    <t>Tributada com redução da base de cálculo</t>
  </si>
  <si>
    <t>Tributada com redução da base de cálculo com ISSRF</t>
  </si>
  <si>
    <t>Tributada com redução da base de cálculo com Sub. Tributária</t>
  </si>
  <si>
    <t>Não tributada - ISS regime estimativa</t>
  </si>
  <si>
    <t>Não Tributada - ISS construção civil recolhido antecipadamente</t>
  </si>
  <si>
    <t>Não Tributada - Ato Cooperado</t>
  </si>
  <si>
    <t>Simples Nacional e com o ISS retido na fonte</t>
  </si>
  <si>
    <t>Assessor Publico</t>
  </si>
  <si>
    <t>Tributação no município (Normal)</t>
  </si>
  <si>
    <t>Substituição tributária pelo agenciador ou intermediário da prestação do serviço</t>
  </si>
  <si>
    <t>Optante do Super Simples</t>
  </si>
  <si>
    <t>Simples Nacional e substituição tributária</t>
  </si>
  <si>
    <t>Cancelada</t>
  </si>
  <si>
    <t>ISSRetidoAnteriormenteSubstitutoTributario</t>
  </si>
  <si>
    <t>Não Tributada</t>
  </si>
  <si>
    <t>Tributada com redução da base de cálculo ou alíquota e com ISS retido na fonte</t>
  </si>
  <si>
    <t>ISS MEI</t>
  </si>
  <si>
    <t>Tributada com reducao da base de cálculo ou alíquota e sujeita ao regime da substituicao tributária</t>
  </si>
  <si>
    <t>Normal Prefeitura</t>
  </si>
  <si>
    <t>Tributada com reducao da base de cálculo  ou aliquota e com o ISS retido anteriormente pelo substituto tributário</t>
  </si>
  <si>
    <t>Não-tributável em Lins</t>
  </si>
  <si>
    <t>Nao tributada em razao do destino dos bens ou objetos - Mercadorias para a industrializacao ou comercializacao</t>
  </si>
  <si>
    <t>Isenta/Imune</t>
  </si>
  <si>
    <t>Nao tributada em razao do diferimento da prestacao do servico</t>
  </si>
  <si>
    <t>Tributado no município, porém Isento</t>
  </si>
  <si>
    <t>Normal</t>
  </si>
  <si>
    <t>Tributado Fora do município, porém Isento</t>
  </si>
  <si>
    <t>Tributado no município, porém Imune</t>
  </si>
  <si>
    <t>Cancelada/Extraviada</t>
  </si>
  <si>
    <t>Tributado Fora do município, porém Imune</t>
  </si>
  <si>
    <t>SIMEI</t>
  </si>
  <si>
    <t>Tributado no município, porém Exigibilidade Suspensa</t>
  </si>
  <si>
    <t>Tratamento Fiscal Diferenciado</t>
  </si>
  <si>
    <t>Tributado Fora do município, porém Exigibilidade Suspensa</t>
  </si>
  <si>
    <t>Imune  Lei Federal</t>
  </si>
  <si>
    <t>Estimado</t>
  </si>
  <si>
    <t>Imposto devido no município, com retenção na fonte (serviço prestado no município)</t>
  </si>
  <si>
    <t>Imposto devido no município, sem retenção na fonte (serviço prestado no município)</t>
  </si>
  <si>
    <t>MEI MICROEMPREENDEDOR</t>
  </si>
  <si>
    <t>Não tributável (serviço prestado no município)</t>
  </si>
  <si>
    <t>ASTEN</t>
  </si>
  <si>
    <t>Simples Nacional (serviço prestado no município)</t>
  </si>
  <si>
    <t>Imposto devido no município, com retenção na fonte (serviço prestado fora do município)</t>
  </si>
  <si>
    <t>Imposto devido no município, sem retenção na fonte (serviço prestado fora do município)</t>
  </si>
  <si>
    <t>Imposto devido fora do município, com retenção na fonte (serviço prestado fora do município)</t>
  </si>
  <si>
    <t>Imposto devido fora do município, sem retenção na fonte (serviço prestado fora do município)</t>
  </si>
  <si>
    <t>Não tributável (serviço prestado fora do município)</t>
  </si>
  <si>
    <t>Simples Nacional (serviço prestado fora do Município)</t>
  </si>
  <si>
    <t>BETHA 1</t>
  </si>
  <si>
    <t>Não tributável (serviço prestado no exterior)</t>
  </si>
  <si>
    <t>Serviço no município - ISS mensal sem retenção na fonte</t>
  </si>
  <si>
    <t>Serviço no município - ISS mensal com retenção na fonte</t>
  </si>
  <si>
    <t>Construção civil - no município - ISS mensal sem retenção na fonte</t>
  </si>
  <si>
    <t>Construção civil - no município - ISS mensal com retenção na fonte</t>
  </si>
  <si>
    <t>Serviço em outro município – ISS mensal sem retenção na fonte</t>
  </si>
  <si>
    <t>Serviço em outro município – ISS mensal com retenção na fonte</t>
  </si>
  <si>
    <t>Construção civil - outro município - ISS mensal sem retenção na fonte</t>
  </si>
  <si>
    <t>BETHA 1 Sequencial</t>
  </si>
  <si>
    <t>Construção civil - outro município - ISS mensal com retenção na fonte</t>
  </si>
  <si>
    <t>Serviço não enquadrada nas situações anteriores - sem retenção</t>
  </si>
  <si>
    <t>Serviço não enquadrada nas situações anteriores - com retenção</t>
  </si>
  <si>
    <t>ISS devido para o município (Simples Nacional)</t>
  </si>
  <si>
    <t>ISS devido para outro município (Simples Nacional)</t>
  </si>
  <si>
    <t>Escritório Contábil (Simples Nacional)</t>
  </si>
  <si>
    <t>ISS retido pelo tomador/intermediário (Simples Nacional)</t>
  </si>
  <si>
    <t>Operação imune, isenta ou não tributada (Simples Nacional)</t>
  </si>
  <si>
    <t>BETHA 2</t>
  </si>
  <si>
    <t>Exigibilidade suspensa por processo administrativo</t>
  </si>
  <si>
    <t>Não Incidência</t>
  </si>
  <si>
    <t>BOANF</t>
  </si>
  <si>
    <t>BSIT-BR</t>
  </si>
  <si>
    <t>CECAM</t>
  </si>
  <si>
    <t>Serviço na sede do prestador</t>
  </si>
  <si>
    <t>Serviço fora do Município</t>
  </si>
  <si>
    <t>Serviço para Imóvel (Construção Civil)</t>
  </si>
  <si>
    <t>CENTI</t>
  </si>
  <si>
    <t>Comunix</t>
  </si>
  <si>
    <t>Retida</t>
  </si>
  <si>
    <t>M.E.I Micro Empresa Individual</t>
  </si>
  <si>
    <t>Iss Devido Fora Do Município</t>
  </si>
  <si>
    <t>Conam</t>
  </si>
  <si>
    <t>Tributado</t>
  </si>
  <si>
    <t>Isenção / Imunidade</t>
  </si>
  <si>
    <t>Suspensão</t>
  </si>
  <si>
    <t>ISS Fixo</t>
  </si>
  <si>
    <t>CONSIST</t>
  </si>
  <si>
    <t>Outro município</t>
  </si>
  <si>
    <t>Normal -A recolher</t>
  </si>
  <si>
    <t>Retido na fonte</t>
  </si>
  <si>
    <t>MEI</t>
  </si>
  <si>
    <t>COPLAN</t>
  </si>
  <si>
    <t>DATAPUBLIC</t>
  </si>
  <si>
    <t>Tributável</t>
  </si>
  <si>
    <t>Isento ISS</t>
  </si>
  <si>
    <t>Não Incidência no Município</t>
  </si>
  <si>
    <t>Tributável Simples Nacional</t>
  </si>
  <si>
    <t>Tributável MEI</t>
  </si>
  <si>
    <t>DB NFSE</t>
  </si>
  <si>
    <t>DEISS</t>
  </si>
  <si>
    <t>Tributaçao No Município</t>
  </si>
  <si>
    <t>T</t>
  </si>
  <si>
    <t>Tributação Fora do Município</t>
  </si>
  <si>
    <t>R</t>
  </si>
  <si>
    <t>I</t>
  </si>
  <si>
    <t>DigiFred</t>
  </si>
  <si>
    <t>DSFNET</t>
  </si>
  <si>
    <t>C</t>
  </si>
  <si>
    <t>F</t>
  </si>
  <si>
    <t>K</t>
  </si>
  <si>
    <t>Tributável Fixo</t>
  </si>
  <si>
    <t>Tributável S. N.</t>
  </si>
  <si>
    <t>H</t>
  </si>
  <si>
    <t>Micro Empreendedor Individual</t>
  </si>
  <si>
    <t>M</t>
  </si>
  <si>
    <t>DUETO 1</t>
  </si>
  <si>
    <t>DUETO 2</t>
  </si>
  <si>
    <t>E&amp;L</t>
  </si>
  <si>
    <t>E&amp;L 2.0</t>
  </si>
  <si>
    <t>eISS</t>
  </si>
  <si>
    <t>EMBRAS SIAP.NET</t>
  </si>
  <si>
    <t>EQUIPLANO</t>
  </si>
  <si>
    <t>E-RECEITAS</t>
  </si>
  <si>
    <t>FacilitaISS</t>
  </si>
  <si>
    <t>FGMAISS</t>
  </si>
  <si>
    <t>exigibilidade suspensa por decisão judicial</t>
  </si>
  <si>
    <t>Exigibilidade Suspensa por Processo Administrativo</t>
  </si>
  <si>
    <t>FintelISS</t>
  </si>
  <si>
    <t>FISS-LEX</t>
  </si>
  <si>
    <t>Freire</t>
  </si>
  <si>
    <t>Generativa</t>
  </si>
  <si>
    <t>GENFE</t>
  </si>
  <si>
    <t>GESPAM</t>
  </si>
  <si>
    <t>GINFES</t>
  </si>
  <si>
    <t>GOIANIA</t>
  </si>
  <si>
    <t>GOVERNA</t>
  </si>
  <si>
    <t>Isento</t>
  </si>
  <si>
    <t>Autônomo(Fixo)</t>
  </si>
  <si>
    <t>M.E.I.</t>
  </si>
  <si>
    <t>Governa TXT</t>
  </si>
  <si>
    <t>Outro Municipio</t>
  </si>
  <si>
    <t>Retido na Fonte</t>
  </si>
  <si>
    <t>Governo Digital</t>
  </si>
  <si>
    <t>Governo Eletrônico</t>
  </si>
  <si>
    <t>INFISC - Caxias do Sul</t>
  </si>
  <si>
    <t>INFISC - Farroupilha</t>
  </si>
  <si>
    <t>INFISC - Santiago</t>
  </si>
  <si>
    <t>INFISC - Sapucaia</t>
  </si>
  <si>
    <t>INFISC Campo Bom</t>
  </si>
  <si>
    <t>IPM</t>
  </si>
  <si>
    <t>Tributada Integralmente</t>
  </si>
  <si>
    <t>Tributado integralmente (Tomador)</t>
  </si>
  <si>
    <t>Isenta</t>
  </si>
  <si>
    <t>Não Tributada - ISS regime Fixo</t>
  </si>
  <si>
    <t>Tributada Integralmente e sujeita à Subs Tributária</t>
  </si>
  <si>
    <t>Tributada Integralmente com ISSRF</t>
  </si>
  <si>
    <t>Tributada com redução da BC e sujeita à Subst. Tributária</t>
  </si>
  <si>
    <t>Não Tributada - ISS regime Estimativa</t>
  </si>
  <si>
    <t>Não Tributada - ISS Construção Civil</t>
  </si>
  <si>
    <t>ISANETO</t>
  </si>
  <si>
    <t>ISISS</t>
  </si>
  <si>
    <t>ISS Fortaleza</t>
  </si>
  <si>
    <t>Tributação no Município</t>
  </si>
  <si>
    <t>ISS Intel</t>
  </si>
  <si>
    <t>ISS Online AEG</t>
  </si>
  <si>
    <t>ISS On-line Supernova</t>
  </si>
  <si>
    <t>ISS Simples SpConsig</t>
  </si>
  <si>
    <t>Isenção / Imune</t>
  </si>
  <si>
    <t>ISS a Recolher</t>
  </si>
  <si>
    <t>ISS Retido</t>
  </si>
  <si>
    <t>Não Tributável</t>
  </si>
  <si>
    <t>Simples Nacional ISS Retido na Fonte</t>
  </si>
  <si>
    <t>ISS.NET</t>
  </si>
  <si>
    <t>ISS4R</t>
  </si>
  <si>
    <t>ISSe</t>
  </si>
  <si>
    <t>ISSNFe Online</t>
  </si>
  <si>
    <t>ISSWeb Camaçari</t>
  </si>
  <si>
    <t>ISSWeb Fiorilli</t>
  </si>
  <si>
    <t>JANELA UNICA</t>
  </si>
  <si>
    <t>Exigibilidade Suspensa por Decisão Judicial</t>
  </si>
  <si>
    <t>JFISS Digital</t>
  </si>
  <si>
    <t>JGBAIAO</t>
  </si>
  <si>
    <t>LEXSOM</t>
  </si>
  <si>
    <t>MEMORY</t>
  </si>
  <si>
    <t>Metrópolis</t>
  </si>
  <si>
    <t>MITRA</t>
  </si>
  <si>
    <t>NF Paulistana</t>
  </si>
  <si>
    <t>No Municipio</t>
  </si>
  <si>
    <t>Fora do Município</t>
  </si>
  <si>
    <t>P</t>
  </si>
  <si>
    <t>Tributada no Município, porém Isento.</t>
  </si>
  <si>
    <t>A</t>
  </si>
  <si>
    <t>Tributada fora do Município, porém Isento.</t>
  </si>
  <si>
    <t>B</t>
  </si>
  <si>
    <t>Tributada no Município, porém Imune.</t>
  </si>
  <si>
    <t>Tributada fora do Município, porém Imune.</t>
  </si>
  <si>
    <t>N</t>
  </si>
  <si>
    <t>Tributada no Município, porém Exigibilidade Suspensa</t>
  </si>
  <si>
    <t>X</t>
  </si>
  <si>
    <t>Tributada fora do Município, porém Exigibilidade Suspensa</t>
  </si>
  <si>
    <t>V</t>
  </si>
  <si>
    <t>NF-Eletronica</t>
  </si>
  <si>
    <t>Issqn isento</t>
  </si>
  <si>
    <t>Issqn imune</t>
  </si>
  <si>
    <t>Issqn fixo</t>
  </si>
  <si>
    <t>Simei</t>
  </si>
  <si>
    <t>Issqn estimado</t>
  </si>
  <si>
    <t>NFPSe</t>
  </si>
  <si>
    <t>Tributada integralmente</t>
  </si>
  <si>
    <t>Tributada por meio de imposto fixo</t>
  </si>
  <si>
    <t>Tributada integralmente e regime da substituição tributária</t>
  </si>
  <si>
    <t>Tributada integralmente e regime do Simples Nacional</t>
  </si>
  <si>
    <t>Tributada integralmente e com ISQN retido na fonte</t>
  </si>
  <si>
    <t>Tributada com redução da base de cálculo ou alíquota</t>
  </si>
  <si>
    <t>Tributada integralmente, regime do SN e ISQN retido na fonte</t>
  </si>
  <si>
    <t>Tributada integralmente e subs. tribut. pelo intermediário</t>
  </si>
  <si>
    <t>Tributada integralmente,regime do SN e da subst. tributária</t>
  </si>
  <si>
    <t>Tributada integralmente e com o ISQN retido pelo subs.tribut</t>
  </si>
  <si>
    <t>Tributada com redução da BC ou alíq. com ISQN retido na font</t>
  </si>
  <si>
    <t>Tributada com Red da B.C e sujeita ao regime da subst. Trib.</t>
  </si>
  <si>
    <t>Tributada com Red da B.C e com ISSQN Ret. anteriormente</t>
  </si>
  <si>
    <t>Não tributada em razão do destino dos bens ou objetos</t>
  </si>
  <si>
    <t>Não tributada em razão do diferimento da prestação do serv.</t>
  </si>
  <si>
    <t>NFPSe WS</t>
  </si>
  <si>
    <t>Tritutada integralmente</t>
  </si>
  <si>
    <t>Tributada por meio do imposto fixo</t>
  </si>
  <si>
    <t>Não tributada</t>
  </si>
  <si>
    <t>Tributada com redução da BC ou alíq. e sujeita subs. Tribut.</t>
  </si>
  <si>
    <t>Tributada com red da BC ou alíq. com ISQN ret subs. Tribut.</t>
  </si>
  <si>
    <t>Não tributada em razão do deferimento da prest. do serviço</t>
  </si>
  <si>
    <t>NFSD</t>
  </si>
  <si>
    <t>NFSe NET</t>
  </si>
  <si>
    <t>NFSE-Ecidade</t>
  </si>
  <si>
    <t>NFWEB</t>
  </si>
  <si>
    <t>Operação Normal</t>
  </si>
  <si>
    <t>Operação Isenta/Imune</t>
  </si>
  <si>
    <t>Operação efetuada em outro Municipio</t>
  </si>
  <si>
    <t>ISS Suspenso por Decisão Judicial</t>
  </si>
  <si>
    <t>J</t>
  </si>
  <si>
    <t>NOTA BLU</t>
  </si>
  <si>
    <t>tributação no município</t>
  </si>
  <si>
    <t>tributação fora do município</t>
  </si>
  <si>
    <t>isenção</t>
  </si>
  <si>
    <t>Nota Carioca</t>
  </si>
  <si>
    <t>Nota Natalense</t>
  </si>
  <si>
    <t>Nota Salvador</t>
  </si>
  <si>
    <t>PMJP</t>
  </si>
  <si>
    <t>Portal Facil</t>
  </si>
  <si>
    <t>PRODATA</t>
  </si>
  <si>
    <t>Pública</t>
  </si>
  <si>
    <t>ISS devido para Itajaí</t>
  </si>
  <si>
    <t>ISS devido para outro município</t>
  </si>
  <si>
    <t>Operação imune, isenta ou não tributada</t>
  </si>
  <si>
    <t>ISS Fixo (Soc. Profissionais)</t>
  </si>
  <si>
    <t>MEI (Simples Nacional)</t>
  </si>
  <si>
    <t>Operação imune, isenta ou não tributada (Simples Nacional</t>
  </si>
  <si>
    <t>Tributação devida para Timóteo</t>
  </si>
  <si>
    <t>Tributação fora do Município</t>
  </si>
  <si>
    <t>Tributação fixa</t>
  </si>
  <si>
    <t>Tributação retida pelo Tomador</t>
  </si>
  <si>
    <t>Tributação retida pelo Tomador (Prestador Simples Nacional)</t>
  </si>
  <si>
    <t>ISS devido para Mafra</t>
  </si>
  <si>
    <t>ISS devido para outro Município</t>
  </si>
  <si>
    <t>ISENTO</t>
  </si>
  <si>
    <t>IMUNE</t>
  </si>
  <si>
    <t>ISS FIXO</t>
  </si>
  <si>
    <t>ISS devido para Mafra (Simples Nacional)</t>
  </si>
  <si>
    <t>ISS retido pelo tomador</t>
  </si>
  <si>
    <t>ISS devido para outro Município (Simples Nacional)</t>
  </si>
  <si>
    <t>ISS retido pelo tomador (Simples Nacional)</t>
  </si>
  <si>
    <t>RLZ</t>
  </si>
  <si>
    <t>SAATRI</t>
  </si>
  <si>
    <t>SAPITUR</t>
  </si>
  <si>
    <t>imune</t>
  </si>
  <si>
    <t>exigibilidade suspensa por processo administrativo</t>
  </si>
  <si>
    <t>não incidência</t>
  </si>
  <si>
    <t>exportação</t>
  </si>
  <si>
    <t>SEMFAZ</t>
  </si>
  <si>
    <t>SH3</t>
  </si>
  <si>
    <t>SIAM</t>
  </si>
  <si>
    <t>SIAPPA</t>
  </si>
  <si>
    <t>Tributado no Prestador</t>
  </si>
  <si>
    <t>S</t>
  </si>
  <si>
    <t>Tributado no Tomador</t>
  </si>
  <si>
    <t>Atividade sem retenção</t>
  </si>
  <si>
    <t>Sigcorp Bauru</t>
  </si>
  <si>
    <t>tp</t>
  </si>
  <si>
    <t>não tributado</t>
  </si>
  <si>
    <t>nt</t>
  </si>
  <si>
    <t>isenta</t>
  </si>
  <si>
    <t>is</t>
  </si>
  <si>
    <t>im</t>
  </si>
  <si>
    <t>Tributado no tomador</t>
  </si>
  <si>
    <t>tt</t>
  </si>
  <si>
    <t>Sigcorp Cianorte</t>
  </si>
  <si>
    <t>Sigcorp Ivaiporã</t>
  </si>
  <si>
    <t>SIGcorp Londrina</t>
  </si>
  <si>
    <t>Tributada no prestador</t>
  </si>
  <si>
    <t>outro município</t>
  </si>
  <si>
    <t>si</t>
  </si>
  <si>
    <t>Tributado Fixo</t>
  </si>
  <si>
    <t>tf</t>
  </si>
  <si>
    <t>ca</t>
  </si>
  <si>
    <t>Tributada no tomador</t>
  </si>
  <si>
    <t>SigCORP Marilia</t>
  </si>
  <si>
    <t>Sigcorp Mogi Guaçu</t>
  </si>
  <si>
    <t>Tributo no Tomador</t>
  </si>
  <si>
    <t>Sigcorp Rio Grande</t>
  </si>
  <si>
    <t>Retido Fora</t>
  </si>
  <si>
    <t>rf</t>
  </si>
  <si>
    <t>SIGCORP S.J. de Meriti</t>
  </si>
  <si>
    <t>Sigcorp São Goncalo</t>
  </si>
  <si>
    <t>Sigcorp TXT</t>
  </si>
  <si>
    <t>Tributada</t>
  </si>
  <si>
    <t>U</t>
  </si>
  <si>
    <t>cancelado</t>
  </si>
  <si>
    <t>tomador</t>
  </si>
  <si>
    <t>SimplISS</t>
  </si>
  <si>
    <t>SISNFE BAURU</t>
  </si>
  <si>
    <t>SJP</t>
  </si>
  <si>
    <t>SMARapd SIL Tecnologia WS</t>
  </si>
  <si>
    <t>SMARAPDSIL WS2</t>
  </si>
  <si>
    <t>Solução Pública</t>
  </si>
  <si>
    <t>SysISS</t>
  </si>
  <si>
    <t>System</t>
  </si>
  <si>
    <t>Tecnos</t>
  </si>
  <si>
    <t>Thema</t>
  </si>
  <si>
    <t>Imposto devido no município, com obrigação de ret. na fonte</t>
  </si>
  <si>
    <t>Imposto devido no município, sem obrigação de ret. na fonte</t>
  </si>
  <si>
    <t>ISSQN Fixo</t>
  </si>
  <si>
    <t>Imp. recolhido pelo regime único de arrecadação S.N.</t>
  </si>
  <si>
    <t>Imposto devido no município, com obrigação de Ret. na fonte</t>
  </si>
  <si>
    <t>Imp. devido fora do município com obrigação de ret. na fonte</t>
  </si>
  <si>
    <t>Imposto recolhido pelo regime único de arrecadação S.N.</t>
  </si>
  <si>
    <t>Imposto devido no município</t>
  </si>
  <si>
    <t>Imposto recolhido pelo regime único de arrecadação</t>
  </si>
  <si>
    <t>Imposto recolhido por guia sem escrituração</t>
  </si>
  <si>
    <t>Imposto Devido no municipio, com obrigação de ret. na fonte</t>
  </si>
  <si>
    <t>Imposto devido no municipio, sem obrigação de ret. na fonte</t>
  </si>
  <si>
    <t>Imposto devido no municipio, sem obrigação ret. na fonte</t>
  </si>
  <si>
    <t>Imposto devido fora municipio, com obrigação ret. na fonte</t>
  </si>
  <si>
    <t>Imposto devido fora municipio, sem obrigação ret. na fonte</t>
  </si>
  <si>
    <t>Imposto devido fora de Passo Fundo</t>
  </si>
  <si>
    <t>Imposto recolhido com valor fixo</t>
  </si>
  <si>
    <t>Imposto recolhido Regime Único Arrecadação(Simples Nacional)</t>
  </si>
  <si>
    <t>TINUS</t>
  </si>
  <si>
    <t>TINUS - UPLOAD</t>
  </si>
  <si>
    <t>TIPLAN</t>
  </si>
  <si>
    <t>Tributos Municipais</t>
  </si>
  <si>
    <t>Operação normal (tributação normal)</t>
  </si>
  <si>
    <t>Operação efetuada em outro Município</t>
  </si>
  <si>
    <t>Operação isenta ou não tributável no Município</t>
  </si>
  <si>
    <t>Tributos Web - Elotech</t>
  </si>
  <si>
    <t>VLCNET</t>
  </si>
  <si>
    <t>Tributado Fora do Município</t>
  </si>
  <si>
    <t>Mico Empreendedor Individual (MEI)</t>
  </si>
  <si>
    <t>Imposto devido no município, com retenção na fonte</t>
  </si>
  <si>
    <t>WebISS 1</t>
  </si>
  <si>
    <t>WebISS 2</t>
  </si>
  <si>
    <r>
      <rPr>
        <rFont val="Tahoma"/>
        <b/>
        <color rgb="FFFF0000"/>
        <sz val="10.0"/>
      </rPr>
      <t xml:space="preserve">ATENÇÃO! </t>
    </r>
    <r>
      <rPr>
        <rFont val="Tahoma"/>
        <b val="0"/>
        <color rgb="FF000000"/>
        <sz val="10.0"/>
      </rPr>
      <t xml:space="preserve">Layout utilizado para identificação de tags retornadas em DocCompleto no Retorno_Recepção de RPS </t>
    </r>
    <r>
      <rPr>
        <rFont val="Tahoma"/>
        <b/>
        <color rgb="FF000000"/>
        <sz val="10.0"/>
      </rPr>
      <t>apenas</t>
    </r>
    <r>
      <rPr>
        <rFont val="Tahoma"/>
        <b val="0"/>
        <color rgb="FF000000"/>
        <sz val="10.0"/>
      </rPr>
      <t xml:space="preserve"> quando o cliente utilizar a configuração</t>
    </r>
    <r>
      <rPr>
        <rFont val="Tahoma"/>
        <b/>
        <color rgb="FF000000"/>
        <sz val="10.0"/>
      </rPr>
      <t xml:space="preserve"> “NFSE Invoicy” no campo “XML InvoiCy no retorno da requisição/exportação”</t>
    </r>
  </si>
  <si>
    <t>E01</t>
  </si>
  <si>
    <t>Elemento Superior da Estrutura retornada  na tag DocCompleto</t>
  </si>
  <si>
    <t>D14</t>
  </si>
  <si>
    <t>Grupo da NFSe retornada quando estiver selecionado no Invoicy a opção “NFSE Invoicy” no campo “XML InvoiCy no retorno da requisição/exportação”</t>
  </si>
  <si>
    <t>E03</t>
  </si>
  <si>
    <t>Numero da NFSe gerada</t>
  </si>
  <si>
    <t>E04</t>
  </si>
  <si>
    <t>Código de verificação da NFSe</t>
  </si>
  <si>
    <t>E05</t>
  </si>
  <si>
    <t>Protocolo</t>
  </si>
  <si>
    <t>Número do protocolo</t>
  </si>
  <si>
    <t>1-0</t>
  </si>
  <si>
    <t>E06</t>
  </si>
  <si>
    <t xml:space="preserve">Chave de acesso </t>
  </si>
  <si>
    <t>E07</t>
  </si>
  <si>
    <t>StatusDocumento</t>
  </si>
  <si>
    <t>Status do documento</t>
  </si>
  <si>
    <t>1 – Pendente                                                                                                                      2 – Autorizado                                                                                                                    3 – Rejeitado                                                                                                                      4 – Necessita interação                                                                                                        5 – Cancelado                                                                                                                     6 – Inutilizado                                                                                                                     7 – Aguardando Consulta                                                                                                     9 – Em Conflito</t>
  </si>
  <si>
    <t>E08</t>
  </si>
  <si>
    <t>StatusDescricao</t>
  </si>
  <si>
    <t>Descrição do status do documento</t>
  </si>
  <si>
    <t>Descrição do status: Pendente; Autorizado; Rejeitado; Necessita interação; Cancelado; Inutilizado; Aguardando Consulta; Em Conflito</t>
  </si>
  <si>
    <t>E09</t>
  </si>
  <si>
    <t>DtaHraProcessamento</t>
  </si>
  <si>
    <t>Data e hora do processamento</t>
  </si>
  <si>
    <t>E10</t>
  </si>
  <si>
    <t>NFSeDataEmissao</t>
  </si>
  <si>
    <t>Data da emissão da NFSe</t>
  </si>
  <si>
    <t>E11</t>
  </si>
  <si>
    <t>DataHoraCanc</t>
  </si>
  <si>
    <t>Data e hora do cancelamento da NFSe</t>
  </si>
  <si>
    <t>E12</t>
  </si>
  <si>
    <t>NFSeSerie</t>
  </si>
  <si>
    <t>Série da NFSe</t>
  </si>
  <si>
    <t>E13</t>
  </si>
  <si>
    <t>DocXMLLink</t>
  </si>
  <si>
    <t>Link para download do xml de NFSe e RPS</t>
  </si>
  <si>
    <t>V(1000)</t>
  </si>
  <si>
    <t>E14</t>
  </si>
  <si>
    <t>DocPDFLink</t>
  </si>
  <si>
    <t>Link para download do espelho da NFSe</t>
  </si>
  <si>
    <t>E15</t>
  </si>
  <si>
    <t>Link para impressão do espelho no modelo da prefeitura</t>
  </si>
  <si>
    <t>E16</t>
  </si>
  <si>
    <t>XML do documento convertido para Base64</t>
  </si>
  <si>
    <t>E17</t>
  </si>
  <si>
    <t xml:space="preserve">Estrutura do retorno do RPS </t>
  </si>
  <si>
    <t>O xml retornado contém as informações do RPS apenas com as tags alimentadas pelo município em questão, a estrutura segue o mesmo padrão do Envio_Recepção de RPS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</si>
</sst>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1.0"/>
      <color rgb="FF000000"/>
      <name val="Calibri"/>
      <scheme val="minor"/>
    </font>
    <font>
      <b/>
      <sz val="10.0"/>
      <color rgb="FF000000"/>
      <name val="Tahoma"/>
    </font>
    <font>
      <sz val="10.0"/>
      <color rgb="FF000000"/>
      <name val="Tahoma"/>
    </font>
    <font>
      <u/>
      <sz val="10.0"/>
      <color rgb="FF000000"/>
      <name val="Tahoma"/>
    </font>
    <font>
      <sz val="10.0"/>
      <color rgb="FF3465A4"/>
      <name val="Tahoma"/>
    </font>
    <font>
      <sz val="11.0"/>
      <color rgb="FF000000"/>
      <name val="Calibri"/>
    </font>
    <font>
      <sz val="11.0"/>
      <color rgb="FF2A6099"/>
      <name val="Calibri"/>
    </font>
    <font>
      <b/>
      <sz val="10.0"/>
      <color rgb="FF3465A4"/>
      <name val="Tahoma"/>
    </font>
    <font>
      <u/>
      <sz val="10.0"/>
      <color rgb="FF0563C1"/>
      <name val="Tahoma"/>
    </font>
    <font>
      <u/>
      <sz val="11.0"/>
      <color rgb="FF0563C1"/>
      <name val="Calibri"/>
    </font>
    <font>
      <sz val="10.0"/>
      <color theme="1"/>
      <name val="Tahoma"/>
    </font>
    <font>
      <sz val="10.0"/>
      <color rgb="FF2A6099"/>
      <name val="Tahoma"/>
    </font>
    <font>
      <b/>
      <sz val="10.0"/>
      <color rgb="FF2A6099"/>
      <name val="Tahoma"/>
    </font>
    <font>
      <u/>
      <sz val="10.0"/>
      <color rgb="FF3465A4"/>
      <name val="Tahoma"/>
    </font>
    <font>
      <u/>
      <sz val="11.0"/>
      <color rgb="FF0563C1"/>
      <name val="Calibri"/>
    </font>
    <font/>
    <font>
      <b/>
      <sz val="11.0"/>
      <color rgb="FF000000"/>
      <name val="Calibri"/>
    </font>
    <font>
      <b/>
      <u/>
      <sz val="11.0"/>
      <color rgb="FF0000FF"/>
      <name val="Calibri"/>
    </font>
    <font>
      <b/>
      <sz val="10.0"/>
      <color rgb="FFFF0000"/>
      <name val="Tahoma"/>
    </font>
    <font>
      <sz val="10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EECE1"/>
        <bgColor rgb="FFEEECE1"/>
      </patternFill>
    </fill>
    <fill>
      <patternFill patternType="solid">
        <fgColor rgb="FFDDDDDD"/>
        <bgColor rgb="FFDDDDDD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/>
    </border>
    <border>
      <right style="thin">
        <color rgb="FF000000"/>
      </right>
    </border>
    <border>
      <left style="thin">
        <color rgb="FF000000"/>
      </left>
    </border>
    <border>
      <left/>
      <bottom/>
    </border>
    <border>
      <right style="thin">
        <color rgb="FF000000"/>
      </right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1" fillId="2" fontId="1" numFmtId="0" xfId="0" applyAlignment="1" applyBorder="1" applyFont="1">
      <alignment horizontal="left" shrinkToFit="0" vertical="center" wrapText="0"/>
    </xf>
    <xf borderId="1" fillId="2" fontId="1" numFmtId="0" xfId="0" applyAlignment="1" applyBorder="1" applyFont="1">
      <alignment horizontal="center" shrinkToFit="0" vertical="top" wrapText="0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shrinkToFit="0" vertical="top" wrapText="1"/>
    </xf>
    <xf borderId="2" fillId="3" fontId="2" numFmtId="0" xfId="0" applyAlignment="1" applyBorder="1" applyFill="1" applyFont="1">
      <alignment shrinkToFit="0" vertical="center" wrapText="0"/>
    </xf>
    <xf borderId="1" fillId="3" fontId="1" numFmtId="0" xfId="0" applyAlignment="1" applyBorder="1" applyFont="1">
      <alignment horizontal="center" shrinkToFit="0" vertical="center" wrapText="1"/>
    </xf>
    <xf borderId="1" fillId="3" fontId="1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shrinkToFit="0" vertical="center" wrapText="0"/>
    </xf>
    <xf borderId="1" fillId="3" fontId="1" numFmtId="0" xfId="0" applyAlignment="1" applyBorder="1" applyFont="1">
      <alignment horizontal="left" shrinkToFit="0" vertical="center" wrapText="1"/>
    </xf>
    <xf borderId="1" fillId="3" fontId="1" numFmtId="49" xfId="0" applyAlignment="1" applyBorder="1" applyFont="1" applyNumberFormat="1">
      <alignment horizontal="center" shrinkToFit="0" vertical="center" wrapText="0"/>
    </xf>
    <xf borderId="1" fillId="3" fontId="1" numFmtId="0" xfId="0" applyAlignment="1" applyBorder="1" applyFont="1">
      <alignment horizontal="left" shrinkToFit="0" vertical="top" wrapText="0"/>
    </xf>
    <xf borderId="1" fillId="3" fontId="1" numFmtId="0" xfId="0" applyAlignment="1" applyBorder="1" applyFont="1">
      <alignment horizontal="left" shrinkToFit="0" vertical="top" wrapText="1"/>
    </xf>
    <xf borderId="2" fillId="3" fontId="1" numFmtId="0" xfId="0" applyAlignment="1" applyBorder="1" applyFont="1">
      <alignment shrinkToFit="0" vertical="center" wrapText="0"/>
    </xf>
    <xf borderId="1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shrinkToFit="0" vertical="center" wrapText="0"/>
    </xf>
    <xf borderId="1" fillId="3" fontId="2" numFmtId="0" xfId="0" applyAlignment="1" applyBorder="1" applyFont="1">
      <alignment shrinkToFit="0" vertical="center" wrapText="1"/>
    </xf>
    <xf borderId="1" fillId="3" fontId="2" numFmtId="49" xfId="0" applyAlignment="1" applyBorder="1" applyFont="1" applyNumberFormat="1">
      <alignment horizontal="center" shrinkToFit="0" vertical="center" wrapText="0"/>
    </xf>
    <xf borderId="1" fillId="3" fontId="2" numFmtId="0" xfId="0" applyAlignment="1" applyBorder="1" applyFont="1">
      <alignment horizontal="left" shrinkToFit="0" vertical="top" wrapText="0"/>
    </xf>
    <xf borderId="1" fillId="3" fontId="2" numFmtId="0" xfId="0" applyAlignment="1" applyBorder="1" applyFont="1">
      <alignment horizontal="left" shrinkToFit="0" vertical="top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shrinkToFit="0" vertical="top" wrapText="0"/>
    </xf>
    <xf borderId="1" fillId="3" fontId="2" numFmtId="0" xfId="0" applyAlignment="1" applyBorder="1" applyFont="1">
      <alignment shrinkToFit="0" vertical="top" wrapText="1"/>
    </xf>
    <xf borderId="1" fillId="3" fontId="1" numFmtId="0" xfId="0" applyAlignment="1" applyBorder="1" applyFont="1">
      <alignment horizontal="left" shrinkToFit="0" vertical="center" wrapText="0"/>
    </xf>
    <xf borderId="1" fillId="3" fontId="3" numFmtId="0" xfId="0" applyAlignment="1" applyBorder="1" applyFont="1">
      <alignment horizontal="left" shrinkToFit="0" vertical="top" wrapText="1"/>
    </xf>
    <xf borderId="1" fillId="3" fontId="4" numFmtId="0" xfId="0" applyAlignment="1" applyBorder="1" applyFont="1">
      <alignment horizontal="center" shrinkToFit="0" vertical="center" wrapText="1"/>
    </xf>
    <xf borderId="1" fillId="3" fontId="4" numFmtId="0" xfId="0" applyAlignment="1" applyBorder="1" applyFont="1">
      <alignment horizontal="center" shrinkToFit="0" vertical="center" wrapText="0"/>
    </xf>
    <xf borderId="1" fillId="3" fontId="4" numFmtId="0" xfId="0" applyAlignment="1" applyBorder="1" applyFont="1">
      <alignment horizontal="left" shrinkToFit="0" vertical="center" wrapText="0"/>
    </xf>
    <xf borderId="1" fillId="3" fontId="4" numFmtId="0" xfId="0" applyAlignment="1" applyBorder="1" applyFont="1">
      <alignment shrinkToFit="0" vertical="center" wrapText="1"/>
    </xf>
    <xf borderId="1" fillId="3" fontId="4" numFmtId="49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horizontal="left" shrinkToFit="0" vertical="top" wrapText="1"/>
    </xf>
    <xf borderId="1" fillId="3" fontId="4" numFmtId="0" xfId="0" applyAlignment="1" applyBorder="1" applyFont="1">
      <alignment shrinkToFit="0" vertical="top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shrinkToFit="0" vertical="top" wrapText="1"/>
    </xf>
    <xf borderId="1" fillId="3" fontId="5" numFmtId="0" xfId="0" applyAlignment="1" applyBorder="1" applyFont="1">
      <alignment horizontal="left" shrinkToFit="0" vertical="top" wrapText="1"/>
    </xf>
    <xf borderId="0" fillId="0" fontId="6" numFmtId="0" xfId="0" applyAlignment="1" applyFont="1">
      <alignment shrinkToFit="0" vertical="bottom" wrapText="1"/>
    </xf>
    <xf borderId="1" fillId="3" fontId="4" numFmtId="0" xfId="0" applyAlignment="1" applyBorder="1" applyFont="1">
      <alignment horizontal="left" shrinkToFit="0" vertical="top" wrapText="1"/>
    </xf>
    <xf borderId="1" fillId="3" fontId="4" numFmtId="0" xfId="0" applyAlignment="1" applyBorder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top" wrapText="0"/>
    </xf>
    <xf borderId="3" fillId="3" fontId="2" numFmtId="0" xfId="0" applyAlignment="1" applyBorder="1" applyFont="1">
      <alignment horizontal="left" shrinkToFit="0" vertical="top" wrapText="0"/>
    </xf>
    <xf borderId="1" fillId="3" fontId="7" numFmtId="0" xfId="0" applyAlignment="1" applyBorder="1" applyFont="1">
      <alignment horizontal="left" shrinkToFit="0" vertical="top" wrapText="0"/>
    </xf>
    <xf borderId="1" fillId="3" fontId="1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shrinkToFit="0" vertical="top" wrapText="0"/>
    </xf>
    <xf borderId="2" fillId="3" fontId="4" numFmtId="0" xfId="0" applyAlignment="1" applyBorder="1" applyFont="1">
      <alignment shrinkToFit="0" vertical="center" wrapText="0"/>
    </xf>
    <xf borderId="1" fillId="3" fontId="9" numFmtId="0" xfId="0" applyAlignment="1" applyBorder="1" applyFont="1">
      <alignment horizontal="left" shrinkToFit="0" vertical="top" wrapText="1"/>
    </xf>
    <xf borderId="1" fillId="0" fontId="2" numFmtId="0" xfId="0" applyAlignment="1" applyBorder="1" applyFont="1">
      <alignment horizontal="left" shrinkToFit="0" vertical="center" wrapText="0"/>
    </xf>
    <xf borderId="1" fillId="0" fontId="10" numFmtId="0" xfId="0" applyAlignment="1" applyBorder="1" applyFont="1">
      <alignment horizontal="left" shrinkToFit="0" vertical="center" wrapText="0"/>
    </xf>
    <xf borderId="3" fillId="3" fontId="2" numFmtId="0" xfId="0" applyAlignment="1" applyBorder="1" applyFont="1">
      <alignment shrinkToFit="0" vertical="center" wrapText="1"/>
    </xf>
    <xf borderId="3" fillId="3" fontId="2" numFmtId="0" xfId="0" applyAlignment="1" applyBorder="1" applyFont="1">
      <alignment horizontal="center" shrinkToFit="0" vertical="center" wrapText="0"/>
    </xf>
    <xf borderId="3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shrinkToFit="0" vertical="top" wrapText="0"/>
    </xf>
    <xf borderId="3" fillId="3" fontId="2" numFmtId="0" xfId="0" applyAlignment="1" applyBorder="1" applyFont="1">
      <alignment horizontal="left" shrinkToFit="0" vertical="center" wrapText="0"/>
    </xf>
    <xf borderId="3" fillId="3" fontId="2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center" wrapText="1"/>
    </xf>
    <xf borderId="1" fillId="3" fontId="11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left" shrinkToFit="0" vertical="center" wrapText="0"/>
    </xf>
    <xf borderId="1" fillId="3" fontId="11" numFmtId="0" xfId="0" applyAlignment="1" applyBorder="1" applyFont="1">
      <alignment horizontal="left" shrinkToFit="0" vertical="center" wrapText="1"/>
    </xf>
    <xf borderId="1" fillId="3" fontId="11" numFmtId="0" xfId="0" applyAlignment="1" applyBorder="1" applyFont="1">
      <alignment shrinkToFit="0" vertical="center" wrapText="0"/>
    </xf>
    <xf borderId="1" fillId="3" fontId="11" numFmtId="49" xfId="0" applyAlignment="1" applyBorder="1" applyFont="1" applyNumberFormat="1">
      <alignment horizontal="center" shrinkToFit="0" vertical="center" wrapText="0"/>
    </xf>
    <xf borderId="1" fillId="3" fontId="12" numFmtId="0" xfId="0" applyAlignment="1" applyBorder="1" applyFont="1">
      <alignment horizontal="left" shrinkToFit="0" vertical="top" wrapText="0"/>
    </xf>
    <xf borderId="3" fillId="3" fontId="10" numFmtId="0" xfId="0" applyAlignment="1" applyBorder="1" applyFont="1">
      <alignment horizontal="left" shrinkToFit="0" vertical="center" wrapText="0"/>
    </xf>
    <xf borderId="3" fillId="3" fontId="11" numFmtId="0" xfId="0" applyAlignment="1" applyBorder="1" applyFont="1">
      <alignment horizontal="left" shrinkToFit="0" vertical="center" wrapText="0"/>
    </xf>
    <xf borderId="3" fillId="3" fontId="11" numFmtId="0" xfId="0" applyAlignment="1" applyBorder="1" applyFont="1">
      <alignment shrinkToFit="0" vertical="center" wrapText="1"/>
    </xf>
    <xf borderId="3" fillId="3" fontId="11" numFmtId="0" xfId="0" applyAlignment="1" applyBorder="1" applyFont="1">
      <alignment horizontal="center" shrinkToFit="0" vertical="center" wrapText="0"/>
    </xf>
    <xf borderId="3" fillId="3" fontId="11" numFmtId="49" xfId="0" applyAlignment="1" applyBorder="1" applyFont="1" applyNumberFormat="1">
      <alignment horizontal="center" shrinkToFit="0" vertical="center" wrapText="0"/>
    </xf>
    <xf borderId="1" fillId="3" fontId="11" numFmtId="0" xfId="0" applyAlignment="1" applyBorder="1" applyFont="1">
      <alignment horizontal="left" shrinkToFit="0" vertical="top" wrapText="1"/>
    </xf>
    <xf borderId="3" fillId="3" fontId="11" numFmtId="0" xfId="0" applyAlignment="1" applyBorder="1" applyFont="1">
      <alignment horizontal="center" shrinkToFit="0" vertical="center" wrapText="1"/>
    </xf>
    <xf borderId="1" fillId="3" fontId="12" numFmtId="0" xfId="0" applyAlignment="1" applyBorder="1" applyFont="1">
      <alignment horizontal="left" shrinkToFit="0" vertical="top" wrapText="1"/>
    </xf>
    <xf borderId="2" fillId="3" fontId="11" numFmtId="0" xfId="0" applyAlignment="1" applyBorder="1" applyFont="1">
      <alignment shrinkToFit="0" vertical="center" wrapText="0"/>
    </xf>
    <xf borderId="1" fillId="3" fontId="13" numFmtId="0" xfId="0" applyAlignment="1" applyBorder="1" applyFont="1">
      <alignment horizontal="left" shrinkToFit="0" vertical="top" wrapText="1"/>
    </xf>
    <xf borderId="1" fillId="3" fontId="11" numFmtId="0" xfId="0" applyAlignment="1" applyBorder="1" applyFont="1">
      <alignment horizontal="left" readingOrder="0" shrinkToFit="0" vertical="center" wrapText="0"/>
    </xf>
    <xf borderId="1" fillId="3" fontId="14" numFmtId="0" xfId="0" applyAlignment="1" applyBorder="1" applyFont="1">
      <alignment horizontal="left" shrinkToFit="0" vertical="top" wrapText="0"/>
    </xf>
    <xf borderId="1" fillId="3" fontId="2" numFmtId="0" xfId="0" applyAlignment="1" applyBorder="1" applyFont="1">
      <alignment shrinkToFit="0" vertical="center" wrapText="0"/>
    </xf>
    <xf borderId="1" fillId="3" fontId="11" numFmtId="0" xfId="0" applyAlignment="1" applyBorder="1" applyFont="1">
      <alignment shrinkToFit="0" vertical="center" wrapText="1"/>
    </xf>
    <xf borderId="1" fillId="4" fontId="11" numFmtId="0" xfId="0" applyAlignment="1" applyBorder="1" applyFill="1" applyFont="1">
      <alignment horizontal="center" shrinkToFit="0" vertical="center" wrapText="1"/>
    </xf>
    <xf borderId="1" fillId="4" fontId="11" numFmtId="0" xfId="0" applyAlignment="1" applyBorder="1" applyFont="1">
      <alignment horizontal="center" shrinkToFit="0" vertical="center" wrapText="0"/>
    </xf>
    <xf borderId="1" fillId="4" fontId="11" numFmtId="0" xfId="0" applyAlignment="1" applyBorder="1" applyFont="1">
      <alignment horizontal="left" shrinkToFit="0" vertical="center" wrapText="0"/>
    </xf>
    <xf borderId="1" fillId="4" fontId="11" numFmtId="0" xfId="0" applyAlignment="1" applyBorder="1" applyFont="1">
      <alignment horizontal="left" shrinkToFit="0" vertical="center" wrapText="1"/>
    </xf>
    <xf borderId="1" fillId="4" fontId="11" numFmtId="49" xfId="0" applyAlignment="1" applyBorder="1" applyFont="1" applyNumberFormat="1">
      <alignment horizontal="center" shrinkToFit="0" vertical="center" wrapText="0"/>
    </xf>
    <xf borderId="1" fillId="4" fontId="11" numFmtId="0" xfId="0" applyAlignment="1" applyBorder="1" applyFont="1">
      <alignment horizontal="left" shrinkToFit="0" vertical="top" wrapText="1"/>
    </xf>
    <xf borderId="1" fillId="4" fontId="12" numFmtId="0" xfId="0" applyAlignment="1" applyBorder="1" applyFont="1">
      <alignment horizontal="left" shrinkToFit="0" vertical="top" wrapText="1"/>
    </xf>
    <xf borderId="1" fillId="3" fontId="10" numFmtId="0" xfId="0" applyAlignment="1" applyBorder="1" applyFont="1">
      <alignment horizontal="left" shrinkToFit="0" vertical="center" wrapText="0"/>
    </xf>
    <xf borderId="1" fillId="3" fontId="2" numFmtId="49" xfId="0" applyAlignment="1" applyBorder="1" applyFont="1" applyNumberFormat="1">
      <alignment horizontal="center" shrinkToFit="0" vertical="center" wrapText="1"/>
    </xf>
    <xf borderId="1" fillId="3" fontId="11" numFmtId="49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left" shrinkToFit="0" vertical="top" wrapText="0"/>
    </xf>
    <xf borderId="0" fillId="0" fontId="2" numFmtId="0" xfId="0" applyAlignment="1" applyFont="1">
      <alignment shrinkToFit="0" vertical="center" wrapText="0"/>
    </xf>
    <xf borderId="1" fillId="0" fontId="11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left" shrinkToFit="0" vertical="center" wrapText="0"/>
    </xf>
    <xf borderId="1" fillId="0" fontId="11" numFmtId="0" xfId="0" applyAlignment="1" applyBorder="1" applyFont="1">
      <alignment horizontal="left" shrinkToFit="0" vertical="center" wrapText="1"/>
    </xf>
    <xf borderId="1" fillId="0" fontId="11" numFmtId="49" xfId="0" applyAlignment="1" applyBorder="1" applyFont="1" applyNumberFormat="1">
      <alignment horizontal="center" shrinkToFit="0" vertical="center" wrapText="1"/>
    </xf>
    <xf borderId="1" fillId="3" fontId="11" numFmtId="0" xfId="0" applyAlignment="1" applyBorder="1" applyFont="1">
      <alignment shrinkToFit="0" vertical="top" wrapText="1"/>
    </xf>
    <xf borderId="1" fillId="3" fontId="12" numFmtId="0" xfId="0" applyAlignment="1" applyBorder="1" applyFont="1">
      <alignment horizontal="left" shrinkToFit="0" vertical="center" wrapText="0"/>
    </xf>
    <xf borderId="1" fillId="3" fontId="12" numFmtId="0" xfId="0" applyAlignment="1" applyBorder="1" applyFont="1">
      <alignment horizontal="center" shrinkToFit="0" vertical="center" wrapText="0"/>
    </xf>
    <xf borderId="2" fillId="3" fontId="2" numFmtId="0" xfId="0" applyAlignment="1" applyBorder="1" applyFont="1">
      <alignment horizontal="left" shrinkToFit="0" vertical="top" wrapText="1"/>
    </xf>
    <xf borderId="2" fillId="3" fontId="2" numFmtId="0" xfId="0" applyAlignment="1" applyBorder="1" applyFont="1">
      <alignment horizontal="center" shrinkToFit="0" vertical="center" wrapText="0"/>
    </xf>
    <xf borderId="2" fillId="3" fontId="2" numFmtId="0" xfId="0" applyAlignment="1" applyBorder="1" applyFont="1">
      <alignment shrinkToFit="0" vertical="top" wrapText="0"/>
    </xf>
    <xf borderId="2" fillId="3" fontId="2" numFmtId="0" xfId="0" applyAlignment="1" applyBorder="1" applyFont="1">
      <alignment shrinkToFit="0" vertical="top" wrapText="1"/>
    </xf>
    <xf borderId="4" fillId="5" fontId="1" numFmtId="0" xfId="0" applyAlignment="1" applyBorder="1" applyFill="1" applyFont="1">
      <alignment horizontal="center" shrinkToFit="0" vertical="center" wrapText="0"/>
    </xf>
    <xf borderId="5" fillId="0" fontId="15" numFmtId="0" xfId="0" applyBorder="1" applyFont="1"/>
    <xf borderId="6" fillId="0" fontId="5" numFmtId="0" xfId="0" applyAlignment="1" applyBorder="1" applyFont="1">
      <alignment horizontal="left" shrinkToFit="0" vertical="top" wrapText="1"/>
    </xf>
    <xf borderId="7" fillId="0" fontId="15" numFmtId="0" xfId="0" applyBorder="1" applyFont="1"/>
    <xf borderId="8" fillId="0" fontId="15" numFmtId="0" xfId="0" applyBorder="1" applyFont="1"/>
    <xf borderId="9" fillId="0" fontId="15" numFmtId="0" xfId="0" applyBorder="1" applyFont="1"/>
    <xf borderId="10" fillId="0" fontId="15" numFmtId="0" xfId="0" applyBorder="1" applyFont="1"/>
    <xf borderId="11" fillId="0" fontId="15" numFmtId="0" xfId="0" applyBorder="1" applyFont="1"/>
    <xf borderId="12" fillId="0" fontId="15" numFmtId="0" xfId="0" applyBorder="1" applyFont="1"/>
    <xf borderId="13" fillId="0" fontId="15" numFmtId="0" xfId="0" applyBorder="1" applyFont="1"/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top" wrapText="0"/>
    </xf>
    <xf borderId="0" fillId="0" fontId="5" numFmtId="0" xfId="0" applyAlignment="1" applyFont="1">
      <alignment shrinkToFit="0" vertical="top" wrapText="1"/>
    </xf>
    <xf borderId="14" fillId="2" fontId="1" numFmtId="0" xfId="0" applyAlignment="1" applyBorder="1" applyFont="1">
      <alignment horizontal="center" shrinkToFit="0" vertical="center" wrapText="0"/>
    </xf>
    <xf borderId="14" fillId="2" fontId="2" numFmtId="0" xfId="0" applyAlignment="1" applyBorder="1" applyFont="1">
      <alignment horizontal="center" shrinkToFit="0" vertical="center" wrapText="0"/>
    </xf>
    <xf borderId="14" fillId="2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1" fillId="0" fontId="1" numFmtId="0" xfId="0" applyAlignment="1" applyBorder="1" applyFont="1">
      <alignment horizontal="center" shrinkToFit="0" vertical="bottom" wrapText="0"/>
    </xf>
    <xf borderId="1" fillId="0" fontId="1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0" fillId="0" fontId="2" numFmtId="0" xfId="0" applyAlignment="1" applyFont="1">
      <alignment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2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shrinkToFit="0" vertical="center" wrapText="1"/>
    </xf>
    <xf borderId="1" fillId="0" fontId="1" numFmtId="0" xfId="0" applyAlignment="1" applyBorder="1" applyFont="1">
      <alignment horizontal="left" shrinkToFit="0" vertical="bottom" wrapText="0"/>
    </xf>
    <xf borderId="2" fillId="3" fontId="2" numFmtId="49" xfId="0" applyAlignment="1" applyBorder="1" applyFont="1" applyNumberFormat="1">
      <alignment shrinkToFit="0" vertical="center" wrapText="0"/>
    </xf>
    <xf borderId="0" fillId="0" fontId="5" numFmtId="0" xfId="0" applyAlignment="1" applyFont="1">
      <alignment shrinkToFit="0" vertical="bottom" wrapText="1"/>
    </xf>
    <xf borderId="0" fillId="0" fontId="16" numFmtId="0" xfId="0" applyAlignment="1" applyFont="1">
      <alignment horizontal="left" shrinkToFit="0" vertical="bottom" wrapText="0"/>
    </xf>
    <xf borderId="15" fillId="2" fontId="16" numFmtId="0" xfId="0" applyAlignment="1" applyBorder="1" applyFont="1">
      <alignment horizontal="center" shrinkToFit="0" vertical="bottom" wrapText="0"/>
    </xf>
    <xf borderId="16" fillId="0" fontId="15" numFmtId="0" xfId="0" applyBorder="1" applyFont="1"/>
    <xf borderId="17" fillId="0" fontId="15" numFmtId="0" xfId="0" applyBorder="1" applyFont="1"/>
    <xf borderId="18" fillId="2" fontId="17" numFmtId="0" xfId="0" applyAlignment="1" applyBorder="1" applyFont="1">
      <alignment horizontal="center" shrinkToFit="0" vertical="bottom" wrapText="0"/>
    </xf>
    <xf borderId="19" fillId="2" fontId="16" numFmtId="0" xfId="0" applyAlignment="1" applyBorder="1" applyFont="1">
      <alignment horizontal="center" shrinkToFit="0" vertical="bottom" wrapText="0"/>
    </xf>
    <xf borderId="20" fillId="0" fontId="15" numFmtId="0" xfId="0" applyBorder="1" applyFont="1"/>
    <xf borderId="15" fillId="2" fontId="16" numFmtId="0" xfId="0" applyAlignment="1" applyBorder="1" applyFont="1">
      <alignment horizontal="left" shrinkToFit="0" vertical="bottom" wrapText="0"/>
    </xf>
    <xf borderId="21" fillId="0" fontId="15" numFmtId="0" xfId="0" applyBorder="1" applyFont="1"/>
    <xf borderId="1" fillId="0" fontId="16" numFmtId="0" xfId="0" applyAlignment="1" applyBorder="1" applyFont="1">
      <alignment horizontal="center" shrinkToFit="0" vertical="bottom" wrapText="0"/>
    </xf>
    <xf borderId="1" fillId="0" fontId="16" numFmtId="0" xfId="0" applyAlignment="1" applyBorder="1" applyFont="1">
      <alignment shrinkToFit="0" vertical="bottom" wrapText="1"/>
    </xf>
    <xf borderId="1" fillId="0" fontId="16" numFmtId="0" xfId="0" applyAlignment="1" applyBorder="1" applyFont="1">
      <alignment horizontal="left" shrinkToFit="0" vertical="bottom" wrapText="0"/>
    </xf>
    <xf borderId="1" fillId="0" fontId="16" numFmtId="0" xfId="0" applyAlignment="1" applyBorder="1" applyFont="1">
      <alignment horizontal="center" shrinkToFit="0" vertical="bottom" wrapText="1"/>
    </xf>
    <xf borderId="1" fillId="0" fontId="16" numFmtId="0" xfId="0" applyAlignment="1" applyBorder="1" applyFont="1">
      <alignment shrinkToFit="0" vertical="bottom" wrapText="0"/>
    </xf>
    <xf borderId="1" fillId="0" fontId="5" numFmtId="0" xfId="0" applyAlignment="1" applyBorder="1" applyFon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1"/>
    </xf>
    <xf borderId="0" fillId="0" fontId="5" numFmtId="0" xfId="0" applyAlignment="1" applyFont="1">
      <alignment horizontal="left" shrinkToFit="0" vertical="bottom" wrapText="0"/>
    </xf>
    <xf borderId="1" fillId="0" fontId="5" numFmtId="0" xfId="0" applyAlignment="1" applyBorder="1" applyFont="1">
      <alignment horizontal="left" shrinkToFit="0" vertical="bottom" wrapText="0"/>
    </xf>
    <xf borderId="1" fillId="0" fontId="5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left" shrinkToFit="0" vertical="bottom" wrapText="1"/>
    </xf>
    <xf borderId="0" fillId="0" fontId="5" numFmtId="0" xfId="0" applyAlignment="1" applyFont="1">
      <alignment horizontal="center" shrinkToFit="0" vertical="bottom" wrapText="1"/>
    </xf>
    <xf borderId="22" fillId="6" fontId="18" numFmtId="0" xfId="0" applyAlignment="1" applyBorder="1" applyFill="1" applyFont="1">
      <alignment horizontal="center" shrinkToFit="0" vertical="center" wrapText="1"/>
    </xf>
    <xf borderId="23" fillId="0" fontId="15" numFmtId="0" xfId="0" applyBorder="1" applyFont="1"/>
    <xf borderId="24" fillId="0" fontId="15" numFmtId="0" xfId="0" applyBorder="1" applyFont="1"/>
    <xf borderId="0" fillId="0" fontId="1" numFmtId="0" xfId="0" applyAlignment="1" applyFont="1">
      <alignment shrinkToFit="0" vertical="bottom" wrapText="0"/>
    </xf>
    <xf borderId="1" fillId="0" fontId="5" numFmtId="49" xfId="0" applyAlignment="1" applyBorder="1" applyFont="1" applyNumberFormat="1">
      <alignment horizontal="center" shrinkToFit="0" vertical="bottom" wrapText="0"/>
    </xf>
    <xf borderId="1" fillId="3" fontId="5" numFmtId="49" xfId="0" applyAlignment="1" applyBorder="1" applyFont="1" applyNumberFormat="1">
      <alignment horizontal="center" shrinkToFit="0" vertical="center" wrapText="0"/>
    </xf>
    <xf borderId="1" fillId="0" fontId="19" numFmtId="0" xfId="0" applyAlignment="1" applyBorder="1" applyFont="1">
      <alignment horizontal="center" shrinkToFit="0" vertical="bottom" wrapText="0"/>
    </xf>
    <xf borderId="1" fillId="0" fontId="19" numFmtId="0" xfId="0" applyAlignment="1" applyBorder="1" applyFont="1">
      <alignment shrinkToFit="0" vertical="bottom" wrapText="0"/>
    </xf>
    <xf borderId="1" fillId="0" fontId="5" numFmtId="4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1">
    <dxf>
      <font>
        <sz val="11.0"/>
        <color rgb="FF000000"/>
        <name val="Calibri"/>
      </font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esenvolvedores.migrate.info/2021/12/10/controle-de-numeracao-de-rps/" TargetMode="External"/><Relationship Id="rId2" Type="http://schemas.openxmlformats.org/officeDocument/2006/relationships/hyperlink" Target="https://desenvolvedores.migrate.com.br/2019/05/10/tabela-de-codigos-ibge-de-uf-e-municipios/" TargetMode="External"/><Relationship Id="rId3" Type="http://schemas.openxmlformats.org/officeDocument/2006/relationships/hyperlink" Target="https://desenvolvedores.migrate.com.br/2019/05/10/tabela-de-codigos-ibge-de-uf-e-municipios/" TargetMode="External"/><Relationship Id="rId4" Type="http://schemas.openxmlformats.org/officeDocument/2006/relationships/hyperlink" Target="https://www.bcb.gov.br/estabilidadefinanceira/todasmoedas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desenvolvedores.migrate.com.br/2019/05/10/tabela-de-codigos-ibge-de-uf-e-municipios/" TargetMode="External"/><Relationship Id="rId9" Type="http://schemas.openxmlformats.org/officeDocument/2006/relationships/hyperlink" Target="https://desenvolvedores.migrate.com.br/2019/05/10/tabela-de-codigos-ibge-de-uf-e-municipios/" TargetMode="External"/><Relationship Id="rId5" Type="http://schemas.openxmlformats.org/officeDocument/2006/relationships/hyperlink" Target="https://desenvolvedores.migrate.com.br/2019/05/10/tabela-de-codigos-ibge-de-uf-e-municipios/" TargetMode="External"/><Relationship Id="rId6" Type="http://schemas.openxmlformats.org/officeDocument/2006/relationships/hyperlink" Target="https://desenvolvedores.migrate.com.br/2019/05/10/tabela-de-codigos-ibge-de-uf-e-municipios/" TargetMode="External"/><Relationship Id="rId7" Type="http://schemas.openxmlformats.org/officeDocument/2006/relationships/hyperlink" Target="https://desenvolvedores.migrate.com.br/2019/05/10/tabela-de-codigos-ibge-de-uf-e-municipios/" TargetMode="External"/><Relationship Id="rId8" Type="http://schemas.openxmlformats.org/officeDocument/2006/relationships/hyperlink" Target="https://desenvolvedores.migrate.com.br/2019/05/10/tabela-de-codigos-ibge-de-uf-e-municipios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43"/>
    <col customWidth="1" min="2" max="2" width="5.57"/>
    <col customWidth="1" min="3" max="3" width="32.14"/>
    <col customWidth="1" min="4" max="4" width="48.57"/>
    <col customWidth="1" min="5" max="5" width="3.43"/>
    <col customWidth="1" min="6" max="6" width="8.86"/>
    <col customWidth="1" min="7" max="7" width="11.0"/>
    <col customWidth="1" min="8" max="8" width="5.57"/>
    <col customWidth="1" min="9" max="9" width="77.71"/>
    <col customWidth="1" min="10" max="10" width="14.0"/>
    <col customWidth="1" min="11" max="11" width="72.86"/>
    <col customWidth="1" min="12" max="26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4" t="s">
        <v>9</v>
      </c>
      <c r="K1" s="5" t="s">
        <v>10</v>
      </c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2.75" customHeight="1">
      <c r="A2" s="7">
        <f t="shared" ref="A2:A19" si="1">ROW()-1</f>
        <v>1</v>
      </c>
      <c r="B2" s="8" t="str">
        <f t="shared" ref="B2:B19" si="2">CONCATENATE("C",IF(A2&lt;=9,0,),A2)</f>
        <v>C01</v>
      </c>
      <c r="C2" s="9" t="s">
        <v>11</v>
      </c>
      <c r="D2" s="10" t="s">
        <v>12</v>
      </c>
      <c r="E2" s="8" t="s">
        <v>13</v>
      </c>
      <c r="F2" s="8" t="s">
        <v>14</v>
      </c>
      <c r="G2" s="11" t="s">
        <v>15</v>
      </c>
      <c r="H2" s="8" t="s">
        <v>14</v>
      </c>
      <c r="I2" s="12"/>
      <c r="J2" s="7" t="s">
        <v>16</v>
      </c>
      <c r="K2" s="13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12.75" customHeight="1">
      <c r="A3" s="15">
        <f t="shared" si="1"/>
        <v>2</v>
      </c>
      <c r="B3" s="16" t="str">
        <f t="shared" si="2"/>
        <v>C02</v>
      </c>
      <c r="C3" s="17" t="s">
        <v>17</v>
      </c>
      <c r="D3" s="18" t="s">
        <v>18</v>
      </c>
      <c r="E3" s="16" t="s">
        <v>13</v>
      </c>
      <c r="F3" s="16" t="s">
        <v>19</v>
      </c>
      <c r="G3" s="19" t="s">
        <v>15</v>
      </c>
      <c r="H3" s="16" t="str">
        <f t="shared" ref="H3:H9" si="3">$B$2</f>
        <v>C01</v>
      </c>
      <c r="I3" s="20" t="s">
        <v>20</v>
      </c>
      <c r="J3" s="15" t="s">
        <v>16</v>
      </c>
      <c r="K3" s="21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15">
        <f t="shared" si="1"/>
        <v>3</v>
      </c>
      <c r="B4" s="16" t="str">
        <f t="shared" si="2"/>
        <v>C03</v>
      </c>
      <c r="C4" s="17" t="s">
        <v>21</v>
      </c>
      <c r="D4" s="22" t="s">
        <v>22</v>
      </c>
      <c r="E4" s="16" t="s">
        <v>23</v>
      </c>
      <c r="F4" s="16" t="s">
        <v>24</v>
      </c>
      <c r="G4" s="19" t="s">
        <v>15</v>
      </c>
      <c r="H4" s="16" t="str">
        <f t="shared" si="3"/>
        <v>C01</v>
      </c>
      <c r="I4" s="23" t="s">
        <v>25</v>
      </c>
      <c r="J4" s="15" t="s">
        <v>16</v>
      </c>
      <c r="K4" s="24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3.5" customHeight="1">
      <c r="A5" s="15">
        <f t="shared" si="1"/>
        <v>4</v>
      </c>
      <c r="B5" s="16" t="str">
        <f t="shared" si="2"/>
        <v>C04</v>
      </c>
      <c r="C5" s="17" t="s">
        <v>26</v>
      </c>
      <c r="D5" s="22" t="s">
        <v>27</v>
      </c>
      <c r="E5" s="16" t="s">
        <v>23</v>
      </c>
      <c r="F5" s="16" t="s">
        <v>28</v>
      </c>
      <c r="G5" s="19" t="s">
        <v>29</v>
      </c>
      <c r="H5" s="16" t="str">
        <f t="shared" si="3"/>
        <v>C01</v>
      </c>
      <c r="I5" s="23" t="s">
        <v>30</v>
      </c>
      <c r="J5" s="15" t="s">
        <v>16</v>
      </c>
      <c r="K5" s="24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3.5" customHeight="1">
      <c r="A6" s="15">
        <f t="shared" si="1"/>
        <v>5</v>
      </c>
      <c r="B6" s="16" t="str">
        <f t="shared" si="2"/>
        <v>C05</v>
      </c>
      <c r="C6" s="17" t="s">
        <v>31</v>
      </c>
      <c r="D6" s="22" t="s">
        <v>32</v>
      </c>
      <c r="E6" s="16" t="s">
        <v>23</v>
      </c>
      <c r="F6" s="16" t="s">
        <v>33</v>
      </c>
      <c r="G6" s="19" t="s">
        <v>29</v>
      </c>
      <c r="H6" s="16" t="str">
        <f t="shared" si="3"/>
        <v>C01</v>
      </c>
      <c r="I6" s="23" t="s">
        <v>34</v>
      </c>
      <c r="J6" s="15" t="s">
        <v>16</v>
      </c>
      <c r="K6" s="24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15">
        <f t="shared" si="1"/>
        <v>6</v>
      </c>
      <c r="B7" s="16" t="str">
        <f t="shared" si="2"/>
        <v>C06</v>
      </c>
      <c r="C7" s="17" t="s">
        <v>35</v>
      </c>
      <c r="D7" s="22" t="s">
        <v>36</v>
      </c>
      <c r="E7" s="16" t="s">
        <v>23</v>
      </c>
      <c r="F7" s="16" t="s">
        <v>37</v>
      </c>
      <c r="G7" s="19" t="s">
        <v>29</v>
      </c>
      <c r="H7" s="16" t="str">
        <f t="shared" si="3"/>
        <v>C01</v>
      </c>
      <c r="I7" s="23" t="s">
        <v>38</v>
      </c>
      <c r="J7" s="15" t="s">
        <v>16</v>
      </c>
      <c r="K7" s="2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3.5" customHeight="1">
      <c r="A8" s="15">
        <f t="shared" si="1"/>
        <v>7</v>
      </c>
      <c r="B8" s="16" t="str">
        <f t="shared" si="2"/>
        <v>C07</v>
      </c>
      <c r="C8" s="17" t="s">
        <v>39</v>
      </c>
      <c r="D8" s="22" t="s">
        <v>40</v>
      </c>
      <c r="E8" s="16" t="s">
        <v>23</v>
      </c>
      <c r="F8" s="16" t="s">
        <v>41</v>
      </c>
      <c r="G8" s="19" t="s">
        <v>29</v>
      </c>
      <c r="H8" s="16" t="str">
        <f t="shared" si="3"/>
        <v>C01</v>
      </c>
      <c r="I8" s="23" t="s">
        <v>42</v>
      </c>
      <c r="J8" s="15" t="s">
        <v>16</v>
      </c>
      <c r="K8" s="24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7">
        <f t="shared" si="1"/>
        <v>8</v>
      </c>
      <c r="B9" s="8" t="str">
        <f t="shared" si="2"/>
        <v>C08</v>
      </c>
      <c r="C9" s="25" t="s">
        <v>43</v>
      </c>
      <c r="D9" s="7"/>
      <c r="E9" s="8" t="s">
        <v>13</v>
      </c>
      <c r="F9" s="8" t="s">
        <v>14</v>
      </c>
      <c r="G9" s="11" t="s">
        <v>15</v>
      </c>
      <c r="H9" s="8" t="str">
        <f t="shared" si="3"/>
        <v>C01</v>
      </c>
      <c r="I9" s="12"/>
      <c r="J9" s="7" t="s">
        <v>16</v>
      </c>
      <c r="K9" s="1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12.75" customHeight="1">
      <c r="A10" s="15">
        <f t="shared" si="1"/>
        <v>9</v>
      </c>
      <c r="B10" s="16" t="str">
        <f t="shared" si="2"/>
        <v>C09</v>
      </c>
      <c r="C10" s="17" t="s">
        <v>44</v>
      </c>
      <c r="D10" s="22" t="s">
        <v>45</v>
      </c>
      <c r="E10" s="16" t="s">
        <v>23</v>
      </c>
      <c r="F10" s="16" t="s">
        <v>46</v>
      </c>
      <c r="G10" s="19" t="s">
        <v>15</v>
      </c>
      <c r="H10" s="16" t="str">
        <f t="shared" ref="H10:H12" si="4">$B$9</f>
        <v>C08</v>
      </c>
      <c r="I10" s="20" t="s">
        <v>47</v>
      </c>
      <c r="J10" s="15" t="s">
        <v>16</v>
      </c>
      <c r="K10" s="21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5">
        <f t="shared" si="1"/>
        <v>10</v>
      </c>
      <c r="B11" s="16" t="str">
        <f t="shared" si="2"/>
        <v>C10</v>
      </c>
      <c r="C11" s="17" t="s">
        <v>48</v>
      </c>
      <c r="D11" s="22" t="s">
        <v>49</v>
      </c>
      <c r="E11" s="16" t="s">
        <v>23</v>
      </c>
      <c r="F11" s="16" t="s">
        <v>50</v>
      </c>
      <c r="G11" s="19" t="s">
        <v>15</v>
      </c>
      <c r="H11" s="16" t="str">
        <f t="shared" si="4"/>
        <v>C08</v>
      </c>
      <c r="I11" s="20" t="s">
        <v>51</v>
      </c>
      <c r="J11" s="15" t="s">
        <v>16</v>
      </c>
      <c r="K11" s="21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5">
        <f t="shared" si="1"/>
        <v>11</v>
      </c>
      <c r="B12" s="16" t="str">
        <f t="shared" si="2"/>
        <v>C11</v>
      </c>
      <c r="C12" s="17" t="s">
        <v>52</v>
      </c>
      <c r="D12" s="18" t="s">
        <v>53</v>
      </c>
      <c r="E12" s="16" t="s">
        <v>23</v>
      </c>
      <c r="F12" s="16" t="s">
        <v>54</v>
      </c>
      <c r="G12" s="19" t="s">
        <v>15</v>
      </c>
      <c r="H12" s="16" t="str">
        <f t="shared" si="4"/>
        <v>C08</v>
      </c>
      <c r="I12" s="20" t="s">
        <v>55</v>
      </c>
      <c r="J12" s="15" t="s">
        <v>16</v>
      </c>
      <c r="K12" s="21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78.75" customHeight="1">
      <c r="A13" s="15">
        <f t="shared" si="1"/>
        <v>12</v>
      </c>
      <c r="B13" s="16" t="str">
        <f t="shared" si="2"/>
        <v>C12</v>
      </c>
      <c r="C13" s="17" t="s">
        <v>56</v>
      </c>
      <c r="D13" s="18" t="s">
        <v>57</v>
      </c>
      <c r="E13" s="16" t="s">
        <v>23</v>
      </c>
      <c r="F13" s="16" t="s">
        <v>58</v>
      </c>
      <c r="G13" s="19" t="s">
        <v>29</v>
      </c>
      <c r="H13" s="16" t="s">
        <v>59</v>
      </c>
      <c r="I13" s="26" t="s">
        <v>60</v>
      </c>
      <c r="J13" s="15" t="s">
        <v>61</v>
      </c>
      <c r="K13" s="21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5">
        <f t="shared" si="1"/>
        <v>13</v>
      </c>
      <c r="B14" s="16" t="str">
        <f t="shared" si="2"/>
        <v>C13</v>
      </c>
      <c r="C14" s="17" t="s">
        <v>62</v>
      </c>
      <c r="D14" s="22" t="s">
        <v>63</v>
      </c>
      <c r="E14" s="16" t="s">
        <v>23</v>
      </c>
      <c r="F14" s="16" t="s">
        <v>64</v>
      </c>
      <c r="G14" s="19" t="s">
        <v>15</v>
      </c>
      <c r="H14" s="16" t="str">
        <f t="shared" ref="H14:H19" si="5">$B$9</f>
        <v>C08</v>
      </c>
      <c r="I14" s="20" t="s">
        <v>65</v>
      </c>
      <c r="J14" s="15" t="s">
        <v>16</v>
      </c>
      <c r="K14" s="21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5">
        <f t="shared" si="1"/>
        <v>14</v>
      </c>
      <c r="B15" s="16" t="str">
        <f t="shared" si="2"/>
        <v>C14</v>
      </c>
      <c r="C15" s="17" t="s">
        <v>66</v>
      </c>
      <c r="D15" s="22" t="s">
        <v>67</v>
      </c>
      <c r="E15" s="16" t="s">
        <v>23</v>
      </c>
      <c r="F15" s="16" t="s">
        <v>64</v>
      </c>
      <c r="G15" s="19" t="s">
        <v>29</v>
      </c>
      <c r="H15" s="16" t="str">
        <f t="shared" si="5"/>
        <v>C08</v>
      </c>
      <c r="I15" s="20" t="s">
        <v>65</v>
      </c>
      <c r="J15" s="15" t="s">
        <v>16</v>
      </c>
      <c r="K15" s="21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35.0" customHeight="1">
      <c r="A16" s="15">
        <f t="shared" si="1"/>
        <v>15</v>
      </c>
      <c r="B16" s="16" t="str">
        <f t="shared" si="2"/>
        <v>C15</v>
      </c>
      <c r="C16" s="17" t="s">
        <v>68</v>
      </c>
      <c r="D16" s="22" t="s">
        <v>69</v>
      </c>
      <c r="E16" s="16" t="s">
        <v>23</v>
      </c>
      <c r="F16" s="16" t="s">
        <v>54</v>
      </c>
      <c r="G16" s="19" t="s">
        <v>29</v>
      </c>
      <c r="H16" s="16" t="str">
        <f t="shared" si="5"/>
        <v>C08</v>
      </c>
      <c r="I16" s="21" t="s">
        <v>70</v>
      </c>
      <c r="J16" s="15" t="s">
        <v>71</v>
      </c>
      <c r="K16" s="21" t="s">
        <v>72</v>
      </c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97.5" customHeight="1">
      <c r="A17" s="15">
        <f t="shared" si="1"/>
        <v>16</v>
      </c>
      <c r="B17" s="16" t="str">
        <f t="shared" si="2"/>
        <v>C16</v>
      </c>
      <c r="C17" s="17" t="s">
        <v>73</v>
      </c>
      <c r="D17" s="18" t="s">
        <v>74</v>
      </c>
      <c r="E17" s="16" t="s">
        <v>23</v>
      </c>
      <c r="F17" s="16" t="s">
        <v>75</v>
      </c>
      <c r="G17" s="19" t="s">
        <v>15</v>
      </c>
      <c r="H17" s="16" t="str">
        <f t="shared" si="5"/>
        <v>C08</v>
      </c>
      <c r="I17" s="20" t="s">
        <v>76</v>
      </c>
      <c r="J17" s="15" t="s">
        <v>71</v>
      </c>
      <c r="K17" s="21" t="s">
        <v>77</v>
      </c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15">
        <f t="shared" si="1"/>
        <v>17</v>
      </c>
      <c r="B18" s="16" t="str">
        <f t="shared" si="2"/>
        <v>C17</v>
      </c>
      <c r="C18" s="17" t="s">
        <v>78</v>
      </c>
      <c r="D18" s="18" t="s">
        <v>79</v>
      </c>
      <c r="E18" s="16" t="s">
        <v>23</v>
      </c>
      <c r="F18" s="16" t="s">
        <v>80</v>
      </c>
      <c r="G18" s="19" t="s">
        <v>15</v>
      </c>
      <c r="H18" s="16" t="str">
        <f t="shared" si="5"/>
        <v>C08</v>
      </c>
      <c r="I18" s="21" t="s">
        <v>81</v>
      </c>
      <c r="J18" s="15" t="s">
        <v>16</v>
      </c>
      <c r="K18" s="2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15">
        <f t="shared" si="1"/>
        <v>18</v>
      </c>
      <c r="B19" s="16" t="str">
        <f t="shared" si="2"/>
        <v>C18</v>
      </c>
      <c r="C19" s="17" t="s">
        <v>82</v>
      </c>
      <c r="D19" s="18" t="s">
        <v>83</v>
      </c>
      <c r="E19" s="16" t="s">
        <v>23</v>
      </c>
      <c r="F19" s="16" t="s">
        <v>84</v>
      </c>
      <c r="G19" s="19" t="s">
        <v>29</v>
      </c>
      <c r="H19" s="16" t="str">
        <f t="shared" si="5"/>
        <v>C08</v>
      </c>
      <c r="I19" s="20" t="s">
        <v>85</v>
      </c>
      <c r="J19" s="15" t="s">
        <v>16</v>
      </c>
      <c r="K19" s="24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88.5" customHeight="1">
      <c r="A20" s="27">
        <v>19.0</v>
      </c>
      <c r="B20" s="28" t="s">
        <v>86</v>
      </c>
      <c r="C20" s="29" t="s">
        <v>87</v>
      </c>
      <c r="D20" s="30" t="s">
        <v>88</v>
      </c>
      <c r="E20" s="28" t="s">
        <v>23</v>
      </c>
      <c r="F20" s="28" t="s">
        <v>89</v>
      </c>
      <c r="G20" s="31" t="s">
        <v>29</v>
      </c>
      <c r="H20" s="28" t="s">
        <v>59</v>
      </c>
      <c r="I20" s="32" t="s">
        <v>90</v>
      </c>
      <c r="J20" s="27"/>
      <c r="K20" s="33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62.25" customHeight="1">
      <c r="A21" s="34">
        <v>20.0</v>
      </c>
      <c r="B21" s="35" t="s">
        <v>91</v>
      </c>
      <c r="C21" s="36" t="s">
        <v>92</v>
      </c>
      <c r="D21" s="37" t="s">
        <v>93</v>
      </c>
      <c r="E21" s="35" t="s">
        <v>23</v>
      </c>
      <c r="F21" s="35" t="s">
        <v>94</v>
      </c>
      <c r="G21" s="38" t="s">
        <v>29</v>
      </c>
      <c r="H21" s="35" t="s">
        <v>59</v>
      </c>
      <c r="I21" s="32" t="s">
        <v>95</v>
      </c>
      <c r="J21" s="34" t="s">
        <v>16</v>
      </c>
      <c r="K21" s="39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3.5" customHeight="1">
      <c r="A22" s="15">
        <f t="shared" ref="A22:A23" si="6">ROW()-1</f>
        <v>21</v>
      </c>
      <c r="B22" s="16" t="str">
        <f t="shared" ref="B22:B23" si="7">CONCATENATE("C",IF(A22&lt;=9,0,),A22)</f>
        <v>C21</v>
      </c>
      <c r="C22" s="17" t="s">
        <v>96</v>
      </c>
      <c r="D22" s="18" t="s">
        <v>97</v>
      </c>
      <c r="E22" s="16" t="s">
        <v>23</v>
      </c>
      <c r="F22" s="16" t="s">
        <v>98</v>
      </c>
      <c r="G22" s="19" t="s">
        <v>29</v>
      </c>
      <c r="H22" s="16" t="str">
        <f t="shared" ref="H22:H23" si="8">$B$9</f>
        <v>C08</v>
      </c>
      <c r="I22" s="40" t="s">
        <v>99</v>
      </c>
      <c r="J22" s="15" t="s">
        <v>100</v>
      </c>
      <c r="K22" s="21" t="s">
        <v>101</v>
      </c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31.25" customHeight="1">
      <c r="A23" s="15">
        <f t="shared" si="6"/>
        <v>22</v>
      </c>
      <c r="B23" s="16" t="str">
        <f t="shared" si="7"/>
        <v>C22</v>
      </c>
      <c r="C23" s="17" t="s">
        <v>102</v>
      </c>
      <c r="D23" s="18" t="s">
        <v>103</v>
      </c>
      <c r="E23" s="16" t="s">
        <v>23</v>
      </c>
      <c r="F23" s="16" t="s">
        <v>54</v>
      </c>
      <c r="G23" s="19" t="s">
        <v>15</v>
      </c>
      <c r="H23" s="16" t="str">
        <f t="shared" si="8"/>
        <v>C08</v>
      </c>
      <c r="I23" s="21" t="s">
        <v>104</v>
      </c>
      <c r="J23" s="15" t="s">
        <v>16</v>
      </c>
      <c r="K23" s="2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50.75" customHeight="1">
      <c r="A24" s="27">
        <v>22.0</v>
      </c>
      <c r="B24" s="28" t="s">
        <v>105</v>
      </c>
      <c r="C24" s="29" t="s">
        <v>106</v>
      </c>
      <c r="D24" s="30" t="s">
        <v>107</v>
      </c>
      <c r="E24" s="28" t="s">
        <v>23</v>
      </c>
      <c r="F24" s="28" t="s">
        <v>89</v>
      </c>
      <c r="G24" s="31" t="s">
        <v>29</v>
      </c>
      <c r="H24" s="28" t="s">
        <v>59</v>
      </c>
      <c r="I24" s="41" t="s">
        <v>108</v>
      </c>
      <c r="J24" s="27"/>
      <c r="K24" s="42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74.25" customHeight="1">
      <c r="A25" s="15">
        <f>ROW()-1</f>
        <v>24</v>
      </c>
      <c r="B25" s="16" t="str">
        <f>CONCATENATE("C",IF(A25&lt;=9,0,),A25)</f>
        <v>C24</v>
      </c>
      <c r="C25" s="17" t="s">
        <v>109</v>
      </c>
      <c r="D25" s="18" t="s">
        <v>110</v>
      </c>
      <c r="E25" s="16" t="s">
        <v>23</v>
      </c>
      <c r="F25" s="16" t="s">
        <v>54</v>
      </c>
      <c r="G25" s="19" t="s">
        <v>15</v>
      </c>
      <c r="H25" s="16" t="str">
        <f>$B$9</f>
        <v>C08</v>
      </c>
      <c r="I25" s="21" t="s">
        <v>111</v>
      </c>
      <c r="J25" s="15" t="s">
        <v>16</v>
      </c>
      <c r="K25" s="2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59.0" customHeight="1">
      <c r="A26" s="27">
        <v>24.0</v>
      </c>
      <c r="B26" s="28" t="s">
        <v>112</v>
      </c>
      <c r="C26" s="29" t="s">
        <v>113</v>
      </c>
      <c r="D26" s="30" t="s">
        <v>114</v>
      </c>
      <c r="E26" s="28" t="s">
        <v>23</v>
      </c>
      <c r="F26" s="28" t="s">
        <v>54</v>
      </c>
      <c r="G26" s="31" t="s">
        <v>29</v>
      </c>
      <c r="H26" s="28" t="s">
        <v>59</v>
      </c>
      <c r="I26" s="42" t="s">
        <v>115</v>
      </c>
      <c r="J26" s="27"/>
      <c r="K26" s="42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19.25" customHeight="1">
      <c r="A27" s="27">
        <v>25.0</v>
      </c>
      <c r="B27" s="28" t="s">
        <v>112</v>
      </c>
      <c r="C27" s="29" t="s">
        <v>116</v>
      </c>
      <c r="D27" s="30" t="s">
        <v>117</v>
      </c>
      <c r="E27" s="28" t="s">
        <v>23</v>
      </c>
      <c r="F27" s="28" t="s">
        <v>54</v>
      </c>
      <c r="G27" s="31" t="s">
        <v>29</v>
      </c>
      <c r="H27" s="28" t="s">
        <v>59</v>
      </c>
      <c r="I27" s="42" t="s">
        <v>118</v>
      </c>
      <c r="J27" s="27"/>
      <c r="K27" s="42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96.0" customHeight="1">
      <c r="A28" s="15">
        <f t="shared" ref="A28:A37" si="9">ROW()-1</f>
        <v>27</v>
      </c>
      <c r="B28" s="16" t="str">
        <f t="shared" ref="B28:B37" si="10">CONCATENATE("C",IF(A28&lt;=9,0,),A28)</f>
        <v>C27</v>
      </c>
      <c r="C28" s="17" t="s">
        <v>119</v>
      </c>
      <c r="D28" s="18" t="s">
        <v>120</v>
      </c>
      <c r="E28" s="16" t="s">
        <v>23</v>
      </c>
      <c r="F28" s="16" t="s">
        <v>54</v>
      </c>
      <c r="G28" s="19" t="s">
        <v>15</v>
      </c>
      <c r="H28" s="16" t="str">
        <f t="shared" ref="H28:H32" si="11">$B$9</f>
        <v>C08</v>
      </c>
      <c r="I28" s="21" t="s">
        <v>121</v>
      </c>
      <c r="J28" s="15" t="s">
        <v>16</v>
      </c>
      <c r="K28" s="2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53.25" customHeight="1">
      <c r="A29" s="15">
        <f t="shared" si="9"/>
        <v>28</v>
      </c>
      <c r="B29" s="16" t="str">
        <f t="shared" si="10"/>
        <v>C28</v>
      </c>
      <c r="C29" s="17" t="s">
        <v>122</v>
      </c>
      <c r="D29" s="22" t="s">
        <v>123</v>
      </c>
      <c r="E29" s="16" t="s">
        <v>23</v>
      </c>
      <c r="F29" s="16" t="s">
        <v>28</v>
      </c>
      <c r="G29" s="19" t="s">
        <v>29</v>
      </c>
      <c r="H29" s="16" t="str">
        <f t="shared" si="11"/>
        <v>C08</v>
      </c>
      <c r="I29" s="21" t="s">
        <v>124</v>
      </c>
      <c r="J29" s="15" t="s">
        <v>71</v>
      </c>
      <c r="K29" s="2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89.25" customHeight="1">
      <c r="A30" s="15">
        <f t="shared" si="9"/>
        <v>29</v>
      </c>
      <c r="B30" s="16" t="str">
        <f t="shared" si="10"/>
        <v>C29</v>
      </c>
      <c r="C30" s="17" t="s">
        <v>125</v>
      </c>
      <c r="D30" s="22" t="s">
        <v>126</v>
      </c>
      <c r="E30" s="16" t="s">
        <v>23</v>
      </c>
      <c r="F30" s="16" t="s">
        <v>54</v>
      </c>
      <c r="G30" s="19" t="s">
        <v>29</v>
      </c>
      <c r="H30" s="16" t="str">
        <f t="shared" si="11"/>
        <v>C08</v>
      </c>
      <c r="I30" s="21" t="s">
        <v>127</v>
      </c>
      <c r="J30" s="15" t="s">
        <v>16</v>
      </c>
      <c r="K30" s="21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15">
        <f t="shared" si="9"/>
        <v>30</v>
      </c>
      <c r="B31" s="16" t="str">
        <f t="shared" si="10"/>
        <v>C30</v>
      </c>
      <c r="C31" s="17" t="s">
        <v>128</v>
      </c>
      <c r="D31" s="22" t="s">
        <v>129</v>
      </c>
      <c r="E31" s="16" t="s">
        <v>23</v>
      </c>
      <c r="F31" s="16" t="s">
        <v>130</v>
      </c>
      <c r="G31" s="19" t="s">
        <v>15</v>
      </c>
      <c r="H31" s="16" t="str">
        <f t="shared" si="11"/>
        <v>C08</v>
      </c>
      <c r="I31" s="21" t="s">
        <v>131</v>
      </c>
      <c r="J31" s="15" t="s">
        <v>16</v>
      </c>
      <c r="K31" s="21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7">
        <f t="shared" si="9"/>
        <v>31</v>
      </c>
      <c r="B32" s="8" t="str">
        <f t="shared" si="10"/>
        <v>C31</v>
      </c>
      <c r="C32" s="25" t="s">
        <v>132</v>
      </c>
      <c r="D32" s="7"/>
      <c r="E32" s="8" t="s">
        <v>13</v>
      </c>
      <c r="F32" s="8" t="s">
        <v>14</v>
      </c>
      <c r="G32" s="11" t="s">
        <v>29</v>
      </c>
      <c r="H32" s="8" t="str">
        <f t="shared" si="11"/>
        <v>C08</v>
      </c>
      <c r="I32" s="12"/>
      <c r="J32" s="15" t="s">
        <v>16</v>
      </c>
      <c r="K32" s="13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ht="12.75" customHeight="1">
      <c r="A33" s="15">
        <f t="shared" si="9"/>
        <v>32</v>
      </c>
      <c r="B33" s="16" t="str">
        <f t="shared" si="10"/>
        <v>C32</v>
      </c>
      <c r="C33" s="17" t="s">
        <v>133</v>
      </c>
      <c r="D33" s="18" t="s">
        <v>134</v>
      </c>
      <c r="E33" s="16" t="s">
        <v>23</v>
      </c>
      <c r="F33" s="16" t="s">
        <v>46</v>
      </c>
      <c r="G33" s="19" t="s">
        <v>15</v>
      </c>
      <c r="H33" s="16" t="str">
        <f t="shared" ref="H33:H37" si="12">$B$32</f>
        <v>C31</v>
      </c>
      <c r="I33" s="20" t="s">
        <v>135</v>
      </c>
      <c r="J33" s="15" t="s">
        <v>16</v>
      </c>
      <c r="K33" s="2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15">
        <f t="shared" si="9"/>
        <v>33</v>
      </c>
      <c r="B34" s="16" t="str">
        <f t="shared" si="10"/>
        <v>C33</v>
      </c>
      <c r="C34" s="17" t="s">
        <v>136</v>
      </c>
      <c r="D34" s="22" t="s">
        <v>137</v>
      </c>
      <c r="E34" s="16" t="s">
        <v>23</v>
      </c>
      <c r="F34" s="16" t="s">
        <v>50</v>
      </c>
      <c r="G34" s="19" t="s">
        <v>15</v>
      </c>
      <c r="H34" s="16" t="str">
        <f t="shared" si="12"/>
        <v>C31</v>
      </c>
      <c r="I34" s="20"/>
      <c r="J34" s="15" t="s">
        <v>16</v>
      </c>
      <c r="K34" s="24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15">
        <f t="shared" si="9"/>
        <v>34</v>
      </c>
      <c r="B35" s="16" t="str">
        <f t="shared" si="10"/>
        <v>C34</v>
      </c>
      <c r="C35" s="17" t="s">
        <v>138</v>
      </c>
      <c r="D35" s="22" t="s">
        <v>139</v>
      </c>
      <c r="E35" s="16" t="s">
        <v>23</v>
      </c>
      <c r="F35" s="16" t="s">
        <v>54</v>
      </c>
      <c r="G35" s="19" t="s">
        <v>15</v>
      </c>
      <c r="H35" s="16" t="str">
        <f t="shared" si="12"/>
        <v>C31</v>
      </c>
      <c r="I35" s="20"/>
      <c r="J35" s="15" t="s">
        <v>16</v>
      </c>
      <c r="K35" s="13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15">
        <f t="shared" si="9"/>
        <v>35</v>
      </c>
      <c r="B36" s="16" t="str">
        <f t="shared" si="10"/>
        <v>C35</v>
      </c>
      <c r="C36" s="17" t="s">
        <v>140</v>
      </c>
      <c r="D36" s="22" t="s">
        <v>141</v>
      </c>
      <c r="E36" s="16" t="s">
        <v>23</v>
      </c>
      <c r="F36" s="16" t="s">
        <v>46</v>
      </c>
      <c r="G36" s="19" t="s">
        <v>29</v>
      </c>
      <c r="H36" s="16" t="str">
        <f t="shared" si="12"/>
        <v>C31</v>
      </c>
      <c r="I36" s="20" t="s">
        <v>142</v>
      </c>
      <c r="J36" s="15" t="s">
        <v>16</v>
      </c>
      <c r="K36" s="2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15">
        <f t="shared" si="9"/>
        <v>36</v>
      </c>
      <c r="B37" s="16" t="str">
        <f t="shared" si="10"/>
        <v>C36</v>
      </c>
      <c r="C37" s="17" t="s">
        <v>143</v>
      </c>
      <c r="D37" s="22" t="s">
        <v>144</v>
      </c>
      <c r="E37" s="16" t="s">
        <v>23</v>
      </c>
      <c r="F37" s="16" t="s">
        <v>64</v>
      </c>
      <c r="G37" s="19" t="s">
        <v>29</v>
      </c>
      <c r="H37" s="16" t="str">
        <f t="shared" si="12"/>
        <v>C31</v>
      </c>
      <c r="I37" s="21" t="s">
        <v>145</v>
      </c>
      <c r="J37" s="15" t="s">
        <v>16</v>
      </c>
      <c r="K37" s="2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27">
        <v>36.0</v>
      </c>
      <c r="B38" s="28" t="s">
        <v>146</v>
      </c>
      <c r="C38" s="29" t="s">
        <v>147</v>
      </c>
      <c r="D38" s="43" t="s">
        <v>148</v>
      </c>
      <c r="E38" s="28" t="s">
        <v>23</v>
      </c>
      <c r="F38" s="28" t="s">
        <v>149</v>
      </c>
      <c r="G38" s="31" t="s">
        <v>29</v>
      </c>
      <c r="H38" s="28" t="s">
        <v>150</v>
      </c>
      <c r="I38" s="44"/>
      <c r="J38" s="27"/>
      <c r="K38" s="42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40.25" customHeight="1">
      <c r="A39" s="27">
        <v>37.0</v>
      </c>
      <c r="B39" s="28" t="s">
        <v>151</v>
      </c>
      <c r="C39" s="29" t="s">
        <v>152</v>
      </c>
      <c r="D39" s="43" t="s">
        <v>153</v>
      </c>
      <c r="E39" s="28" t="s">
        <v>23</v>
      </c>
      <c r="F39" s="28" t="s">
        <v>80</v>
      </c>
      <c r="G39" s="31" t="s">
        <v>29</v>
      </c>
      <c r="H39" s="28" t="s">
        <v>150</v>
      </c>
      <c r="I39" s="42" t="s">
        <v>154</v>
      </c>
      <c r="J39" s="27"/>
      <c r="K39" s="42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48.0" customHeight="1">
      <c r="A40" s="27">
        <v>38.0</v>
      </c>
      <c r="B40" s="28" t="s">
        <v>155</v>
      </c>
      <c r="C40" s="29" t="s">
        <v>156</v>
      </c>
      <c r="D40" s="43" t="s">
        <v>157</v>
      </c>
      <c r="E40" s="28" t="s">
        <v>23</v>
      </c>
      <c r="F40" s="28" t="s">
        <v>158</v>
      </c>
      <c r="G40" s="31" t="s">
        <v>29</v>
      </c>
      <c r="H40" s="28" t="s">
        <v>150</v>
      </c>
      <c r="I40" s="42" t="s">
        <v>159</v>
      </c>
      <c r="J40" s="27"/>
      <c r="K40" s="42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7">
        <f t="shared" ref="A41:A47" si="13">ROW()-1</f>
        <v>40</v>
      </c>
      <c r="B41" s="8" t="str">
        <f t="shared" ref="B41:B47" si="14">CONCATENATE("C",IF(A41&lt;=9,0,),A41)</f>
        <v>C40</v>
      </c>
      <c r="C41" s="25" t="s">
        <v>160</v>
      </c>
      <c r="D41" s="7"/>
      <c r="E41" s="8" t="s">
        <v>13</v>
      </c>
      <c r="F41" s="8" t="s">
        <v>14</v>
      </c>
      <c r="G41" s="11" t="s">
        <v>15</v>
      </c>
      <c r="H41" s="8" t="str">
        <f>$B$9</f>
        <v>C08</v>
      </c>
      <c r="I41" s="12"/>
      <c r="J41" s="7" t="s">
        <v>16</v>
      </c>
      <c r="K41" s="21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ht="12.75" customHeight="1">
      <c r="A42" s="15">
        <f t="shared" si="13"/>
        <v>41</v>
      </c>
      <c r="B42" s="16" t="str">
        <f t="shared" si="14"/>
        <v>C41</v>
      </c>
      <c r="C42" s="17" t="s">
        <v>161</v>
      </c>
      <c r="D42" s="18" t="s">
        <v>162</v>
      </c>
      <c r="E42" s="16" t="s">
        <v>163</v>
      </c>
      <c r="F42" s="16" t="s">
        <v>164</v>
      </c>
      <c r="G42" s="19" t="s">
        <v>15</v>
      </c>
      <c r="H42" s="16" t="str">
        <f t="shared" ref="H42:H47" si="15">$B$41</f>
        <v>C40</v>
      </c>
      <c r="I42" s="45" t="s">
        <v>165</v>
      </c>
      <c r="J42" s="15" t="s">
        <v>16</v>
      </c>
      <c r="K42" s="2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15">
        <f t="shared" si="13"/>
        <v>42</v>
      </c>
      <c r="B43" s="16" t="str">
        <f t="shared" si="14"/>
        <v>C42</v>
      </c>
      <c r="C43" s="17" t="s">
        <v>166</v>
      </c>
      <c r="D43" s="22" t="s">
        <v>167</v>
      </c>
      <c r="E43" s="16" t="s">
        <v>23</v>
      </c>
      <c r="F43" s="16" t="s">
        <v>168</v>
      </c>
      <c r="G43" s="19" t="s">
        <v>15</v>
      </c>
      <c r="H43" s="16" t="str">
        <f t="shared" si="15"/>
        <v>C40</v>
      </c>
      <c r="I43" s="20"/>
      <c r="J43" s="15" t="s">
        <v>16</v>
      </c>
      <c r="K43" s="2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15">
        <f t="shared" si="13"/>
        <v>43</v>
      </c>
      <c r="B44" s="16" t="str">
        <f t="shared" si="14"/>
        <v>C43</v>
      </c>
      <c r="C44" s="17" t="s">
        <v>169</v>
      </c>
      <c r="D44" s="22" t="s">
        <v>170</v>
      </c>
      <c r="E44" s="16" t="s">
        <v>23</v>
      </c>
      <c r="F44" s="16" t="s">
        <v>168</v>
      </c>
      <c r="G44" s="19" t="s">
        <v>15</v>
      </c>
      <c r="H44" s="16" t="str">
        <f t="shared" si="15"/>
        <v>C40</v>
      </c>
      <c r="I44" s="20"/>
      <c r="J44" s="15" t="s">
        <v>16</v>
      </c>
      <c r="K44" s="2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15">
        <f t="shared" si="13"/>
        <v>44</v>
      </c>
      <c r="B45" s="16" t="str">
        <f t="shared" si="14"/>
        <v>C44</v>
      </c>
      <c r="C45" s="17" t="s">
        <v>171</v>
      </c>
      <c r="D45" s="22" t="s">
        <v>172</v>
      </c>
      <c r="E45" s="16" t="s">
        <v>23</v>
      </c>
      <c r="F45" s="16" t="s">
        <v>173</v>
      </c>
      <c r="G45" s="19" t="s">
        <v>15</v>
      </c>
      <c r="H45" s="16" t="str">
        <f t="shared" si="15"/>
        <v>C40</v>
      </c>
      <c r="I45" s="20"/>
      <c r="J45" s="15" t="s">
        <v>16</v>
      </c>
      <c r="K45" s="13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15">
        <f t="shared" si="13"/>
        <v>45</v>
      </c>
      <c r="B46" s="16" t="str">
        <f t="shared" si="14"/>
        <v>C45</v>
      </c>
      <c r="C46" s="17" t="s">
        <v>174</v>
      </c>
      <c r="D46" s="22" t="s">
        <v>175</v>
      </c>
      <c r="E46" s="16" t="s">
        <v>23</v>
      </c>
      <c r="F46" s="16" t="s">
        <v>173</v>
      </c>
      <c r="G46" s="19" t="s">
        <v>29</v>
      </c>
      <c r="H46" s="16" t="str">
        <f t="shared" si="15"/>
        <v>C40</v>
      </c>
      <c r="I46" s="20" t="s">
        <v>176</v>
      </c>
      <c r="J46" s="15" t="s">
        <v>16</v>
      </c>
      <c r="K46" s="21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15">
        <f t="shared" si="13"/>
        <v>46</v>
      </c>
      <c r="B47" s="16" t="str">
        <f t="shared" si="14"/>
        <v>C46</v>
      </c>
      <c r="C47" s="17" t="s">
        <v>177</v>
      </c>
      <c r="D47" s="22" t="s">
        <v>178</v>
      </c>
      <c r="E47" s="16" t="s">
        <v>23</v>
      </c>
      <c r="F47" s="16" t="s">
        <v>173</v>
      </c>
      <c r="G47" s="19" t="s">
        <v>29</v>
      </c>
      <c r="H47" s="16" t="str">
        <f t="shared" si="15"/>
        <v>C40</v>
      </c>
      <c r="I47" s="20"/>
      <c r="J47" s="15" t="s">
        <v>16</v>
      </c>
      <c r="K47" s="24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39.0" customHeight="1">
      <c r="A48" s="15">
        <v>46.0</v>
      </c>
      <c r="B48" s="16" t="s">
        <v>179</v>
      </c>
      <c r="C48" s="17" t="s">
        <v>180</v>
      </c>
      <c r="D48" s="22" t="s">
        <v>181</v>
      </c>
      <c r="E48" s="16" t="s">
        <v>23</v>
      </c>
      <c r="F48" s="16" t="s">
        <v>94</v>
      </c>
      <c r="G48" s="19" t="s">
        <v>29</v>
      </c>
      <c r="H48" s="16" t="s">
        <v>182</v>
      </c>
      <c r="I48" s="46" t="s">
        <v>183</v>
      </c>
      <c r="J48" s="15"/>
      <c r="K48" s="24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7">
        <f t="shared" ref="A49:A81" si="16">ROW()-1</f>
        <v>48</v>
      </c>
      <c r="B49" s="8" t="str">
        <f t="shared" ref="B49:B81" si="17">CONCATENATE("C",IF(A49&lt;=9,0,),A49)</f>
        <v>C48</v>
      </c>
      <c r="C49" s="25" t="s">
        <v>184</v>
      </c>
      <c r="D49" s="47" t="s">
        <v>185</v>
      </c>
      <c r="E49" s="8" t="s">
        <v>13</v>
      </c>
      <c r="F49" s="8" t="s">
        <v>14</v>
      </c>
      <c r="G49" s="11" t="s">
        <v>15</v>
      </c>
      <c r="H49" s="8" t="str">
        <f>$B$41</f>
        <v>C40</v>
      </c>
      <c r="I49" s="12"/>
      <c r="J49" s="7" t="s">
        <v>16</v>
      </c>
      <c r="K49" s="1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ht="12.75" customHeight="1">
      <c r="A50" s="15">
        <f t="shared" si="16"/>
        <v>49</v>
      </c>
      <c r="B50" s="16" t="str">
        <f t="shared" si="17"/>
        <v>C49</v>
      </c>
      <c r="C50" s="17" t="s">
        <v>186</v>
      </c>
      <c r="D50" s="22" t="s">
        <v>187</v>
      </c>
      <c r="E50" s="16" t="s">
        <v>23</v>
      </c>
      <c r="F50" s="16" t="s">
        <v>188</v>
      </c>
      <c r="G50" s="19" t="s">
        <v>15</v>
      </c>
      <c r="H50" s="16" t="str">
        <f t="shared" ref="H50:H59" si="18">$B$49</f>
        <v>C48</v>
      </c>
      <c r="I50" s="20"/>
      <c r="J50" s="15" t="s">
        <v>16</v>
      </c>
      <c r="K50" s="21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15">
        <f t="shared" si="16"/>
        <v>50</v>
      </c>
      <c r="B51" s="16" t="str">
        <f t="shared" si="17"/>
        <v>C50</v>
      </c>
      <c r="C51" s="17" t="s">
        <v>189</v>
      </c>
      <c r="D51" s="22" t="s">
        <v>190</v>
      </c>
      <c r="E51" s="16" t="s">
        <v>23</v>
      </c>
      <c r="F51" s="16" t="s">
        <v>168</v>
      </c>
      <c r="G51" s="19" t="s">
        <v>15</v>
      </c>
      <c r="H51" s="16" t="str">
        <f t="shared" si="18"/>
        <v>C48</v>
      </c>
      <c r="I51" s="20"/>
      <c r="J51" s="15" t="s">
        <v>16</v>
      </c>
      <c r="K51" s="21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15">
        <f t="shared" si="16"/>
        <v>51</v>
      </c>
      <c r="B52" s="16" t="str">
        <f t="shared" si="17"/>
        <v>C51</v>
      </c>
      <c r="C52" s="17" t="s">
        <v>191</v>
      </c>
      <c r="D52" s="22" t="s">
        <v>192</v>
      </c>
      <c r="E52" s="16" t="s">
        <v>23</v>
      </c>
      <c r="F52" s="16" t="s">
        <v>168</v>
      </c>
      <c r="G52" s="19" t="s">
        <v>29</v>
      </c>
      <c r="H52" s="16" t="str">
        <f t="shared" si="18"/>
        <v>C48</v>
      </c>
      <c r="I52" s="20"/>
      <c r="J52" s="15" t="s">
        <v>16</v>
      </c>
      <c r="K52" s="21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15">
        <f t="shared" si="16"/>
        <v>52</v>
      </c>
      <c r="B53" s="16" t="str">
        <f t="shared" si="17"/>
        <v>C52</v>
      </c>
      <c r="C53" s="17" t="s">
        <v>193</v>
      </c>
      <c r="D53" s="22" t="s">
        <v>194</v>
      </c>
      <c r="E53" s="16" t="s">
        <v>23</v>
      </c>
      <c r="F53" s="16" t="s">
        <v>168</v>
      </c>
      <c r="G53" s="19" t="s">
        <v>29</v>
      </c>
      <c r="H53" s="16" t="str">
        <f t="shared" si="18"/>
        <v>C48</v>
      </c>
      <c r="I53" s="20"/>
      <c r="J53" s="15" t="s">
        <v>16</v>
      </c>
      <c r="K53" s="21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15">
        <f t="shared" si="16"/>
        <v>53</v>
      </c>
      <c r="B54" s="16" t="str">
        <f t="shared" si="17"/>
        <v>C53</v>
      </c>
      <c r="C54" s="17" t="s">
        <v>195</v>
      </c>
      <c r="D54" s="22" t="s">
        <v>196</v>
      </c>
      <c r="E54" s="16" t="s">
        <v>23</v>
      </c>
      <c r="F54" s="16" t="s">
        <v>168</v>
      </c>
      <c r="G54" s="19" t="s">
        <v>15</v>
      </c>
      <c r="H54" s="16" t="str">
        <f t="shared" si="18"/>
        <v>C48</v>
      </c>
      <c r="I54" s="20"/>
      <c r="J54" s="15" t="s">
        <v>16</v>
      </c>
      <c r="K54" s="21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15">
        <f t="shared" si="16"/>
        <v>54</v>
      </c>
      <c r="B55" s="16" t="str">
        <f t="shared" si="17"/>
        <v>C54</v>
      </c>
      <c r="C55" s="17" t="s">
        <v>197</v>
      </c>
      <c r="D55" s="22" t="s">
        <v>198</v>
      </c>
      <c r="E55" s="16" t="s">
        <v>23</v>
      </c>
      <c r="F55" s="16" t="s">
        <v>199</v>
      </c>
      <c r="G55" s="19" t="s">
        <v>15</v>
      </c>
      <c r="H55" s="16" t="str">
        <f t="shared" si="18"/>
        <v>C48</v>
      </c>
      <c r="I55" s="48" t="s">
        <v>200</v>
      </c>
      <c r="J55" s="15" t="s">
        <v>16</v>
      </c>
      <c r="K55" s="21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15">
        <f t="shared" si="16"/>
        <v>55</v>
      </c>
      <c r="B56" s="16" t="str">
        <f t="shared" si="17"/>
        <v>C55</v>
      </c>
      <c r="C56" s="17" t="s">
        <v>201</v>
      </c>
      <c r="D56" s="22" t="s">
        <v>202</v>
      </c>
      <c r="E56" s="16" t="s">
        <v>23</v>
      </c>
      <c r="F56" s="16" t="s">
        <v>203</v>
      </c>
      <c r="G56" s="19" t="s">
        <v>15</v>
      </c>
      <c r="H56" s="16" t="str">
        <f t="shared" si="18"/>
        <v>C48</v>
      </c>
      <c r="I56" s="20" t="s">
        <v>204</v>
      </c>
      <c r="J56" s="15" t="s">
        <v>16</v>
      </c>
      <c r="K56" s="13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15">
        <f t="shared" si="16"/>
        <v>56</v>
      </c>
      <c r="B57" s="16" t="str">
        <f t="shared" si="17"/>
        <v>C56</v>
      </c>
      <c r="C57" s="17" t="s">
        <v>205</v>
      </c>
      <c r="D57" s="22" t="s">
        <v>206</v>
      </c>
      <c r="E57" s="16" t="s">
        <v>23</v>
      </c>
      <c r="F57" s="16" t="s">
        <v>207</v>
      </c>
      <c r="G57" s="19" t="s">
        <v>15</v>
      </c>
      <c r="H57" s="16" t="str">
        <f t="shared" si="18"/>
        <v>C48</v>
      </c>
      <c r="I57" s="20"/>
      <c r="J57" s="15" t="s">
        <v>16</v>
      </c>
      <c r="K57" s="21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15">
        <f t="shared" si="16"/>
        <v>57</v>
      </c>
      <c r="B58" s="16" t="str">
        <f t="shared" si="17"/>
        <v>C57</v>
      </c>
      <c r="C58" s="17" t="s">
        <v>208</v>
      </c>
      <c r="D58" s="22" t="s">
        <v>209</v>
      </c>
      <c r="E58" s="16" t="s">
        <v>23</v>
      </c>
      <c r="F58" s="16" t="s">
        <v>164</v>
      </c>
      <c r="G58" s="19" t="s">
        <v>29</v>
      </c>
      <c r="H58" s="16" t="str">
        <f t="shared" si="18"/>
        <v>C48</v>
      </c>
      <c r="I58" s="20"/>
      <c r="J58" s="15" t="s">
        <v>16</v>
      </c>
      <c r="K58" s="24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15">
        <f t="shared" si="16"/>
        <v>58</v>
      </c>
      <c r="B59" s="16" t="str">
        <f t="shared" si="17"/>
        <v>C58</v>
      </c>
      <c r="C59" s="17" t="s">
        <v>210</v>
      </c>
      <c r="D59" s="22" t="s">
        <v>211</v>
      </c>
      <c r="E59" s="16" t="s">
        <v>23</v>
      </c>
      <c r="F59" s="16" t="s">
        <v>212</v>
      </c>
      <c r="G59" s="19" t="s">
        <v>29</v>
      </c>
      <c r="H59" s="16" t="str">
        <f t="shared" si="18"/>
        <v>C48</v>
      </c>
      <c r="I59" s="20"/>
      <c r="J59" s="15" t="s">
        <v>16</v>
      </c>
      <c r="K59" s="13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3.5" customHeight="1">
      <c r="A60" s="7">
        <f t="shared" si="16"/>
        <v>59</v>
      </c>
      <c r="B60" s="8" t="str">
        <f t="shared" si="17"/>
        <v>C59</v>
      </c>
      <c r="C60" s="25" t="s">
        <v>213</v>
      </c>
      <c r="D60" s="7"/>
      <c r="E60" s="8" t="s">
        <v>13</v>
      </c>
      <c r="F60" s="8" t="s">
        <v>14</v>
      </c>
      <c r="G60" s="11" t="s">
        <v>29</v>
      </c>
      <c r="H60" s="8" t="str">
        <f>$B$9</f>
        <v>C08</v>
      </c>
      <c r="I60" s="13" t="s">
        <v>214</v>
      </c>
      <c r="J60" s="7" t="s">
        <v>16</v>
      </c>
      <c r="K60" s="21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ht="12.75" customHeight="1">
      <c r="A61" s="7">
        <f t="shared" si="16"/>
        <v>60</v>
      </c>
      <c r="B61" s="8" t="str">
        <f t="shared" si="17"/>
        <v>C60</v>
      </c>
      <c r="C61" s="25" t="s">
        <v>215</v>
      </c>
      <c r="D61" s="7"/>
      <c r="E61" s="8" t="s">
        <v>13</v>
      </c>
      <c r="F61" s="8" t="s">
        <v>14</v>
      </c>
      <c r="G61" s="11" t="s">
        <v>216</v>
      </c>
      <c r="H61" s="8" t="str">
        <f>$B$60</f>
        <v>C59</v>
      </c>
      <c r="I61" s="12" t="s">
        <v>217</v>
      </c>
      <c r="J61" s="7" t="s">
        <v>16</v>
      </c>
      <c r="K61" s="21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ht="12.75" customHeight="1">
      <c r="A62" s="15">
        <f t="shared" si="16"/>
        <v>61</v>
      </c>
      <c r="B62" s="16" t="str">
        <f t="shared" si="17"/>
        <v>C61</v>
      </c>
      <c r="C62" s="17" t="s">
        <v>218</v>
      </c>
      <c r="D62" s="22" t="s">
        <v>219</v>
      </c>
      <c r="E62" s="16" t="s">
        <v>23</v>
      </c>
      <c r="F62" s="16" t="s">
        <v>220</v>
      </c>
      <c r="G62" s="19" t="s">
        <v>15</v>
      </c>
      <c r="H62" s="16" t="str">
        <f t="shared" ref="H62:H81" si="19">$B$61</f>
        <v>C60</v>
      </c>
      <c r="I62" s="20"/>
      <c r="J62" s="15" t="s">
        <v>16</v>
      </c>
      <c r="K62" s="21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15">
        <f t="shared" si="16"/>
        <v>62</v>
      </c>
      <c r="B63" s="16" t="str">
        <f t="shared" si="17"/>
        <v>C62</v>
      </c>
      <c r="C63" s="17" t="s">
        <v>221</v>
      </c>
      <c r="D63" s="22" t="s">
        <v>222</v>
      </c>
      <c r="E63" s="16" t="s">
        <v>23</v>
      </c>
      <c r="F63" s="16" t="s">
        <v>223</v>
      </c>
      <c r="G63" s="19" t="s">
        <v>15</v>
      </c>
      <c r="H63" s="16" t="str">
        <f t="shared" si="19"/>
        <v>C60</v>
      </c>
      <c r="I63" s="20"/>
      <c r="J63" s="15" t="s">
        <v>16</v>
      </c>
      <c r="K63" s="21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15">
        <f t="shared" si="16"/>
        <v>63</v>
      </c>
      <c r="B64" s="16" t="str">
        <f t="shared" si="17"/>
        <v>C63</v>
      </c>
      <c r="C64" s="17" t="s">
        <v>224</v>
      </c>
      <c r="D64" s="22" t="s">
        <v>225</v>
      </c>
      <c r="E64" s="16" t="s">
        <v>23</v>
      </c>
      <c r="F64" s="16" t="s">
        <v>226</v>
      </c>
      <c r="G64" s="19" t="s">
        <v>15</v>
      </c>
      <c r="H64" s="16" t="str">
        <f t="shared" si="19"/>
        <v>C60</v>
      </c>
      <c r="I64" s="12" t="s">
        <v>227</v>
      </c>
      <c r="J64" s="15" t="s">
        <v>16</v>
      </c>
      <c r="K64" s="21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15">
        <f t="shared" si="16"/>
        <v>64</v>
      </c>
      <c r="B65" s="16" t="str">
        <f t="shared" si="17"/>
        <v>C64</v>
      </c>
      <c r="C65" s="17" t="s">
        <v>228</v>
      </c>
      <c r="D65" s="22" t="s">
        <v>229</v>
      </c>
      <c r="E65" s="16" t="s">
        <v>23</v>
      </c>
      <c r="F65" s="16" t="s">
        <v>230</v>
      </c>
      <c r="G65" s="19" t="s">
        <v>15</v>
      </c>
      <c r="H65" s="16" t="str">
        <f t="shared" si="19"/>
        <v>C60</v>
      </c>
      <c r="I65" s="20"/>
      <c r="J65" s="15" t="s">
        <v>16</v>
      </c>
      <c r="K65" s="21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15">
        <f t="shared" si="16"/>
        <v>65</v>
      </c>
      <c r="B66" s="16" t="str">
        <f t="shared" si="17"/>
        <v>C65</v>
      </c>
      <c r="C66" s="17" t="s">
        <v>231</v>
      </c>
      <c r="D66" s="22" t="s">
        <v>232</v>
      </c>
      <c r="E66" s="16" t="s">
        <v>23</v>
      </c>
      <c r="F66" s="16" t="s">
        <v>230</v>
      </c>
      <c r="G66" s="19" t="s">
        <v>15</v>
      </c>
      <c r="H66" s="16" t="str">
        <f t="shared" si="19"/>
        <v>C60</v>
      </c>
      <c r="I66" s="20"/>
      <c r="J66" s="15" t="s">
        <v>16</v>
      </c>
      <c r="K66" s="13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15">
        <f t="shared" si="16"/>
        <v>66</v>
      </c>
      <c r="B67" s="16" t="str">
        <f t="shared" si="17"/>
        <v>C66</v>
      </c>
      <c r="C67" s="17" t="s">
        <v>233</v>
      </c>
      <c r="D67" s="22" t="s">
        <v>234</v>
      </c>
      <c r="E67" s="16" t="s">
        <v>23</v>
      </c>
      <c r="F67" s="16" t="s">
        <v>19</v>
      </c>
      <c r="G67" s="19" t="s">
        <v>29</v>
      </c>
      <c r="H67" s="16" t="str">
        <f t="shared" si="19"/>
        <v>C60</v>
      </c>
      <c r="I67" s="20"/>
      <c r="J67" s="15" t="s">
        <v>16</v>
      </c>
      <c r="K67" s="21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15">
        <f t="shared" si="16"/>
        <v>67</v>
      </c>
      <c r="B68" s="16" t="str">
        <f t="shared" si="17"/>
        <v>C67</v>
      </c>
      <c r="C68" s="17" t="s">
        <v>235</v>
      </c>
      <c r="D68" s="22" t="s">
        <v>236</v>
      </c>
      <c r="E68" s="16" t="s">
        <v>23</v>
      </c>
      <c r="F68" s="16" t="s">
        <v>230</v>
      </c>
      <c r="G68" s="19" t="s">
        <v>29</v>
      </c>
      <c r="H68" s="16" t="str">
        <f t="shared" si="19"/>
        <v>C60</v>
      </c>
      <c r="I68" s="20"/>
      <c r="J68" s="15" t="s">
        <v>16</v>
      </c>
      <c r="K68" s="24" t="s">
        <v>237</v>
      </c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15">
        <f t="shared" si="16"/>
        <v>68</v>
      </c>
      <c r="B69" s="16" t="str">
        <f t="shared" si="17"/>
        <v>C68</v>
      </c>
      <c r="C69" s="17" t="s">
        <v>238</v>
      </c>
      <c r="D69" s="18" t="s">
        <v>239</v>
      </c>
      <c r="E69" s="16" t="s">
        <v>23</v>
      </c>
      <c r="F69" s="16" t="s">
        <v>80</v>
      </c>
      <c r="G69" s="19" t="s">
        <v>29</v>
      </c>
      <c r="H69" s="16" t="str">
        <f t="shared" si="19"/>
        <v>C60</v>
      </c>
      <c r="I69" s="21" t="s">
        <v>240</v>
      </c>
      <c r="J69" s="15" t="s">
        <v>16</v>
      </c>
      <c r="K69" s="13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15">
        <f t="shared" si="16"/>
        <v>69</v>
      </c>
      <c r="B70" s="16" t="str">
        <f t="shared" si="17"/>
        <v>C69</v>
      </c>
      <c r="C70" s="17" t="s">
        <v>241</v>
      </c>
      <c r="D70" s="22" t="s">
        <v>242</v>
      </c>
      <c r="E70" s="16" t="s">
        <v>23</v>
      </c>
      <c r="F70" s="16" t="s">
        <v>19</v>
      </c>
      <c r="G70" s="19" t="s">
        <v>29</v>
      </c>
      <c r="H70" s="16" t="str">
        <f t="shared" si="19"/>
        <v>C60</v>
      </c>
      <c r="I70" s="20"/>
      <c r="J70" s="15" t="s">
        <v>16</v>
      </c>
      <c r="K70" s="21" t="s">
        <v>243</v>
      </c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15">
        <f t="shared" si="16"/>
        <v>70</v>
      </c>
      <c r="B71" s="16" t="str">
        <f t="shared" si="17"/>
        <v>C70</v>
      </c>
      <c r="C71" s="17" t="s">
        <v>244</v>
      </c>
      <c r="D71" s="22" t="s">
        <v>245</v>
      </c>
      <c r="E71" s="16" t="s">
        <v>23</v>
      </c>
      <c r="F71" s="16" t="s">
        <v>246</v>
      </c>
      <c r="G71" s="19" t="s">
        <v>29</v>
      </c>
      <c r="H71" s="16" t="str">
        <f t="shared" si="19"/>
        <v>C60</v>
      </c>
      <c r="I71" s="20" t="s">
        <v>247</v>
      </c>
      <c r="J71" s="15" t="s">
        <v>16</v>
      </c>
      <c r="K71" s="21" t="s">
        <v>248</v>
      </c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15">
        <f t="shared" si="16"/>
        <v>71</v>
      </c>
      <c r="B72" s="16" t="str">
        <f t="shared" si="17"/>
        <v>C71</v>
      </c>
      <c r="C72" s="17" t="s">
        <v>249</v>
      </c>
      <c r="D72" s="22" t="s">
        <v>250</v>
      </c>
      <c r="E72" s="16" t="s">
        <v>23</v>
      </c>
      <c r="F72" s="16" t="s">
        <v>251</v>
      </c>
      <c r="G72" s="19" t="s">
        <v>29</v>
      </c>
      <c r="H72" s="16" t="str">
        <f t="shared" si="19"/>
        <v>C60</v>
      </c>
      <c r="I72" s="20"/>
      <c r="J72" s="15" t="s">
        <v>16</v>
      </c>
      <c r="K72" s="21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15">
        <f t="shared" si="16"/>
        <v>72</v>
      </c>
      <c r="B73" s="16" t="str">
        <f t="shared" si="17"/>
        <v>C72</v>
      </c>
      <c r="C73" s="17" t="s">
        <v>252</v>
      </c>
      <c r="D73" s="22" t="s">
        <v>253</v>
      </c>
      <c r="E73" s="16" t="s">
        <v>23</v>
      </c>
      <c r="F73" s="16" t="s">
        <v>254</v>
      </c>
      <c r="G73" s="19" t="s">
        <v>15</v>
      </c>
      <c r="H73" s="16" t="str">
        <f t="shared" si="19"/>
        <v>C60</v>
      </c>
      <c r="I73" s="20"/>
      <c r="J73" s="15" t="s">
        <v>16</v>
      </c>
      <c r="K73" s="21" t="s">
        <v>255</v>
      </c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15">
        <f t="shared" si="16"/>
        <v>73</v>
      </c>
      <c r="B74" s="16" t="str">
        <f t="shared" si="17"/>
        <v>C73</v>
      </c>
      <c r="C74" s="17" t="s">
        <v>256</v>
      </c>
      <c r="D74" s="22" t="s">
        <v>257</v>
      </c>
      <c r="E74" s="16" t="s">
        <v>23</v>
      </c>
      <c r="F74" s="16" t="s">
        <v>254</v>
      </c>
      <c r="G74" s="19" t="s">
        <v>29</v>
      </c>
      <c r="H74" s="16" t="str">
        <f t="shared" si="19"/>
        <v>C60</v>
      </c>
      <c r="I74" s="20"/>
      <c r="J74" s="15" t="s">
        <v>16</v>
      </c>
      <c r="K74" s="21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15">
        <f t="shared" si="16"/>
        <v>74</v>
      </c>
      <c r="B75" s="16" t="str">
        <f t="shared" si="17"/>
        <v>C74</v>
      </c>
      <c r="C75" s="17" t="s">
        <v>258</v>
      </c>
      <c r="D75" s="22" t="s">
        <v>259</v>
      </c>
      <c r="E75" s="16" t="s">
        <v>23</v>
      </c>
      <c r="F75" s="16" t="s">
        <v>260</v>
      </c>
      <c r="G75" s="19" t="s">
        <v>15</v>
      </c>
      <c r="H75" s="16" t="str">
        <f t="shared" si="19"/>
        <v>C60</v>
      </c>
      <c r="I75" s="20" t="s">
        <v>261</v>
      </c>
      <c r="J75" s="15" t="s">
        <v>16</v>
      </c>
      <c r="K75" s="21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15">
        <f t="shared" si="16"/>
        <v>75</v>
      </c>
      <c r="B76" s="16" t="str">
        <f t="shared" si="17"/>
        <v>C75</v>
      </c>
      <c r="C76" s="17" t="s">
        <v>262</v>
      </c>
      <c r="D76" s="18" t="s">
        <v>263</v>
      </c>
      <c r="E76" s="16" t="s">
        <v>23</v>
      </c>
      <c r="F76" s="16" t="s">
        <v>264</v>
      </c>
      <c r="G76" s="19" t="s">
        <v>29</v>
      </c>
      <c r="H76" s="16" t="str">
        <f t="shared" si="19"/>
        <v>C60</v>
      </c>
      <c r="I76" s="20" t="s">
        <v>265</v>
      </c>
      <c r="J76" s="15" t="s">
        <v>16</v>
      </c>
      <c r="K76" s="13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15">
        <f t="shared" si="16"/>
        <v>76</v>
      </c>
      <c r="B77" s="16" t="str">
        <f t="shared" si="17"/>
        <v>C76</v>
      </c>
      <c r="C77" s="17" t="s">
        <v>266</v>
      </c>
      <c r="D77" s="22" t="s">
        <v>267</v>
      </c>
      <c r="E77" s="16" t="s">
        <v>23</v>
      </c>
      <c r="F77" s="16" t="s">
        <v>254</v>
      </c>
      <c r="G77" s="19" t="s">
        <v>15</v>
      </c>
      <c r="H77" s="16" t="str">
        <f t="shared" si="19"/>
        <v>C60</v>
      </c>
      <c r="I77" s="20" t="s">
        <v>268</v>
      </c>
      <c r="J77" s="15" t="s">
        <v>16</v>
      </c>
      <c r="K77" s="21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15">
        <f t="shared" si="16"/>
        <v>77</v>
      </c>
      <c r="B78" s="16" t="str">
        <f t="shared" si="17"/>
        <v>C77</v>
      </c>
      <c r="C78" s="17" t="s">
        <v>269</v>
      </c>
      <c r="D78" s="22" t="s">
        <v>270</v>
      </c>
      <c r="E78" s="16" t="s">
        <v>23</v>
      </c>
      <c r="F78" s="16" t="s">
        <v>254</v>
      </c>
      <c r="G78" s="19" t="s">
        <v>29</v>
      </c>
      <c r="H78" s="16" t="str">
        <f t="shared" si="19"/>
        <v>C60</v>
      </c>
      <c r="I78" s="20" t="s">
        <v>271</v>
      </c>
      <c r="J78" s="15" t="s">
        <v>16</v>
      </c>
      <c r="K78" s="24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15">
        <f t="shared" si="16"/>
        <v>78</v>
      </c>
      <c r="B79" s="16" t="str">
        <f t="shared" si="17"/>
        <v>C78</v>
      </c>
      <c r="C79" s="17" t="s">
        <v>272</v>
      </c>
      <c r="D79" s="18" t="s">
        <v>273</v>
      </c>
      <c r="E79" s="16" t="s">
        <v>23</v>
      </c>
      <c r="F79" s="16" t="s">
        <v>54</v>
      </c>
      <c r="G79" s="19" t="s">
        <v>15</v>
      </c>
      <c r="H79" s="16" t="str">
        <f t="shared" si="19"/>
        <v>C60</v>
      </c>
      <c r="I79" s="21" t="s">
        <v>274</v>
      </c>
      <c r="J79" s="15" t="s">
        <v>16</v>
      </c>
      <c r="K79" s="13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15">
        <f t="shared" si="16"/>
        <v>79</v>
      </c>
      <c r="B80" s="16" t="str">
        <f t="shared" si="17"/>
        <v>C79</v>
      </c>
      <c r="C80" s="17" t="s">
        <v>275</v>
      </c>
      <c r="D80" s="18" t="s">
        <v>276</v>
      </c>
      <c r="E80" s="16" t="s">
        <v>23</v>
      </c>
      <c r="F80" s="16" t="s">
        <v>54</v>
      </c>
      <c r="G80" s="19" t="s">
        <v>29</v>
      </c>
      <c r="H80" s="16" t="str">
        <f t="shared" si="19"/>
        <v>C60</v>
      </c>
      <c r="I80" s="21" t="s">
        <v>277</v>
      </c>
      <c r="J80" s="15" t="s">
        <v>16</v>
      </c>
      <c r="K80" s="21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31.5" customHeight="1">
      <c r="A81" s="15">
        <f t="shared" si="16"/>
        <v>80</v>
      </c>
      <c r="B81" s="16" t="str">
        <f t="shared" si="17"/>
        <v>C80</v>
      </c>
      <c r="C81" s="17" t="s">
        <v>278</v>
      </c>
      <c r="D81" s="22" t="s">
        <v>279</v>
      </c>
      <c r="E81" s="16" t="s">
        <v>23</v>
      </c>
      <c r="F81" s="16" t="s">
        <v>251</v>
      </c>
      <c r="G81" s="19" t="s">
        <v>15</v>
      </c>
      <c r="H81" s="16" t="str">
        <f t="shared" si="19"/>
        <v>C60</v>
      </c>
      <c r="I81" s="20" t="s">
        <v>280</v>
      </c>
      <c r="J81" s="15" t="s">
        <v>16</v>
      </c>
      <c r="K81" s="21" t="s">
        <v>281</v>
      </c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44.25" customHeight="1">
      <c r="A82" s="27">
        <v>79.0</v>
      </c>
      <c r="B82" s="28" t="s">
        <v>282</v>
      </c>
      <c r="C82" s="29" t="s">
        <v>283</v>
      </c>
      <c r="D82" s="43" t="s">
        <v>284</v>
      </c>
      <c r="E82" s="28" t="s">
        <v>23</v>
      </c>
      <c r="F82" s="28" t="s">
        <v>285</v>
      </c>
      <c r="G82" s="31" t="s">
        <v>29</v>
      </c>
      <c r="H82" s="28" t="s">
        <v>286</v>
      </c>
      <c r="I82" s="42" t="s">
        <v>287</v>
      </c>
      <c r="J82" s="27"/>
      <c r="K82" s="42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ht="29.25" customHeight="1">
      <c r="A83" s="15">
        <f t="shared" ref="A83:A94" si="20">ROW()-1</f>
        <v>82</v>
      </c>
      <c r="B83" s="16" t="str">
        <f t="shared" ref="B83:B94" si="21">CONCATENATE("C",IF(A83&lt;=9,0,),A83)</f>
        <v>C82</v>
      </c>
      <c r="C83" s="17" t="s">
        <v>288</v>
      </c>
      <c r="D83" s="22" t="s">
        <v>289</v>
      </c>
      <c r="E83" s="16" t="s">
        <v>23</v>
      </c>
      <c r="F83" s="16" t="s">
        <v>75</v>
      </c>
      <c r="G83" s="19" t="s">
        <v>15</v>
      </c>
      <c r="H83" s="16" t="str">
        <f t="shared" ref="H83:H94" si="22">$B$61</f>
        <v>C60</v>
      </c>
      <c r="I83" s="20" t="s">
        <v>290</v>
      </c>
      <c r="J83" s="15" t="s">
        <v>16</v>
      </c>
      <c r="K83" s="21" t="s">
        <v>291</v>
      </c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69.75" customHeight="1">
      <c r="A84" s="15">
        <f t="shared" si="20"/>
        <v>83</v>
      </c>
      <c r="B84" s="16" t="str">
        <f t="shared" si="21"/>
        <v>C83</v>
      </c>
      <c r="C84" s="17" t="s">
        <v>292</v>
      </c>
      <c r="D84" s="22" t="s">
        <v>293</v>
      </c>
      <c r="E84" s="16" t="s">
        <v>23</v>
      </c>
      <c r="F84" s="16" t="s">
        <v>294</v>
      </c>
      <c r="G84" s="19" t="s">
        <v>29</v>
      </c>
      <c r="H84" s="16" t="str">
        <f t="shared" si="22"/>
        <v>C60</v>
      </c>
      <c r="I84" s="50" t="s">
        <v>295</v>
      </c>
      <c r="J84" s="15" t="s">
        <v>16</v>
      </c>
      <c r="K84" s="21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56.25" customHeight="1">
      <c r="A85" s="15">
        <f t="shared" si="20"/>
        <v>84</v>
      </c>
      <c r="B85" s="16" t="str">
        <f t="shared" si="21"/>
        <v>C84</v>
      </c>
      <c r="C85" s="17" t="s">
        <v>296</v>
      </c>
      <c r="D85" s="22" t="s">
        <v>297</v>
      </c>
      <c r="E85" s="16" t="s">
        <v>23</v>
      </c>
      <c r="F85" s="16" t="s">
        <v>84</v>
      </c>
      <c r="G85" s="19" t="s">
        <v>29</v>
      </c>
      <c r="H85" s="16" t="str">
        <f t="shared" si="22"/>
        <v>C60</v>
      </c>
      <c r="I85" s="21" t="s">
        <v>85</v>
      </c>
      <c r="J85" s="15" t="s">
        <v>16</v>
      </c>
      <c r="K85" s="21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15">
        <f t="shared" si="20"/>
        <v>85</v>
      </c>
      <c r="B86" s="16" t="str">
        <f t="shared" si="21"/>
        <v>C85</v>
      </c>
      <c r="C86" s="17" t="s">
        <v>298</v>
      </c>
      <c r="D86" s="22" t="s">
        <v>299</v>
      </c>
      <c r="E86" s="16" t="s">
        <v>23</v>
      </c>
      <c r="F86" s="16" t="s">
        <v>300</v>
      </c>
      <c r="G86" s="19" t="s">
        <v>29</v>
      </c>
      <c r="H86" s="16" t="str">
        <f t="shared" si="22"/>
        <v>C60</v>
      </c>
      <c r="I86" s="21" t="s">
        <v>301</v>
      </c>
      <c r="J86" s="15" t="s">
        <v>16</v>
      </c>
      <c r="K86" s="21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15">
        <f t="shared" si="20"/>
        <v>86</v>
      </c>
      <c r="B87" s="16" t="str">
        <f t="shared" si="21"/>
        <v>C86</v>
      </c>
      <c r="C87" s="17" t="s">
        <v>302</v>
      </c>
      <c r="D87" s="22" t="s">
        <v>303</v>
      </c>
      <c r="E87" s="16" t="s">
        <v>23</v>
      </c>
      <c r="F87" s="16" t="s">
        <v>304</v>
      </c>
      <c r="G87" s="19" t="s">
        <v>29</v>
      </c>
      <c r="H87" s="16" t="str">
        <f t="shared" si="22"/>
        <v>C60</v>
      </c>
      <c r="I87" s="20" t="s">
        <v>305</v>
      </c>
      <c r="J87" s="15" t="s">
        <v>16</v>
      </c>
      <c r="K87" s="13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15">
        <f t="shared" si="20"/>
        <v>87</v>
      </c>
      <c r="B88" s="16" t="str">
        <f t="shared" si="21"/>
        <v>C87</v>
      </c>
      <c r="C88" s="17" t="s">
        <v>306</v>
      </c>
      <c r="D88" s="22" t="s">
        <v>307</v>
      </c>
      <c r="E88" s="16" t="s">
        <v>23</v>
      </c>
      <c r="F88" s="16" t="s">
        <v>308</v>
      </c>
      <c r="G88" s="19" t="s">
        <v>29</v>
      </c>
      <c r="H88" s="16" t="str">
        <f t="shared" si="22"/>
        <v>C60</v>
      </c>
      <c r="I88" s="20" t="s">
        <v>305</v>
      </c>
      <c r="J88" s="15" t="s">
        <v>16</v>
      </c>
      <c r="K88" s="21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15">
        <f t="shared" si="20"/>
        <v>88</v>
      </c>
      <c r="B89" s="16" t="str">
        <f t="shared" si="21"/>
        <v>C88</v>
      </c>
      <c r="C89" s="17" t="s">
        <v>309</v>
      </c>
      <c r="D89" s="22" t="s">
        <v>310</v>
      </c>
      <c r="E89" s="16" t="s">
        <v>23</v>
      </c>
      <c r="F89" s="16" t="s">
        <v>46</v>
      </c>
      <c r="G89" s="19" t="s">
        <v>29</v>
      </c>
      <c r="H89" s="16" t="str">
        <f t="shared" si="22"/>
        <v>C60</v>
      </c>
      <c r="I89" s="20" t="s">
        <v>305</v>
      </c>
      <c r="J89" s="15" t="s">
        <v>16</v>
      </c>
      <c r="K89" s="24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15">
        <f t="shared" si="20"/>
        <v>89</v>
      </c>
      <c r="B90" s="16" t="str">
        <f t="shared" si="21"/>
        <v>C89</v>
      </c>
      <c r="C90" s="17" t="s">
        <v>311</v>
      </c>
      <c r="D90" s="22" t="s">
        <v>312</v>
      </c>
      <c r="E90" s="16" t="s">
        <v>23</v>
      </c>
      <c r="F90" s="16" t="s">
        <v>254</v>
      </c>
      <c r="G90" s="19" t="s">
        <v>29</v>
      </c>
      <c r="H90" s="16" t="str">
        <f t="shared" si="22"/>
        <v>C60</v>
      </c>
      <c r="I90" s="20" t="s">
        <v>305</v>
      </c>
      <c r="J90" s="15" t="s">
        <v>16</v>
      </c>
      <c r="K90" s="13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15">
        <f t="shared" si="20"/>
        <v>90</v>
      </c>
      <c r="B91" s="16" t="str">
        <f t="shared" si="21"/>
        <v>C90</v>
      </c>
      <c r="C91" s="17" t="s">
        <v>313</v>
      </c>
      <c r="D91" s="22" t="s">
        <v>314</v>
      </c>
      <c r="E91" s="16" t="s">
        <v>23</v>
      </c>
      <c r="F91" s="16" t="s">
        <v>254</v>
      </c>
      <c r="G91" s="19" t="s">
        <v>29</v>
      </c>
      <c r="H91" s="16" t="str">
        <f t="shared" si="22"/>
        <v>C60</v>
      </c>
      <c r="I91" s="20"/>
      <c r="J91" s="15" t="s">
        <v>16</v>
      </c>
      <c r="K91" s="21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15">
        <f t="shared" si="20"/>
        <v>91</v>
      </c>
      <c r="B92" s="16" t="str">
        <f t="shared" si="21"/>
        <v>C91</v>
      </c>
      <c r="C92" s="17" t="s">
        <v>315</v>
      </c>
      <c r="D92" s="22" t="s">
        <v>316</v>
      </c>
      <c r="E92" s="16" t="s">
        <v>23</v>
      </c>
      <c r="F92" s="16" t="s">
        <v>254</v>
      </c>
      <c r="G92" s="19" t="s">
        <v>29</v>
      </c>
      <c r="H92" s="16" t="str">
        <f t="shared" si="22"/>
        <v>C60</v>
      </c>
      <c r="I92" s="20"/>
      <c r="J92" s="15" t="s">
        <v>16</v>
      </c>
      <c r="K92" s="21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15">
        <f t="shared" si="20"/>
        <v>92</v>
      </c>
      <c r="B93" s="16" t="str">
        <f t="shared" si="21"/>
        <v>C92</v>
      </c>
      <c r="C93" s="17" t="s">
        <v>317</v>
      </c>
      <c r="D93" s="22" t="s">
        <v>318</v>
      </c>
      <c r="E93" s="16" t="s">
        <v>23</v>
      </c>
      <c r="F93" s="16" t="s">
        <v>319</v>
      </c>
      <c r="G93" s="19" t="s">
        <v>29</v>
      </c>
      <c r="H93" s="16" t="str">
        <f t="shared" si="22"/>
        <v>C60</v>
      </c>
      <c r="I93" s="20" t="s">
        <v>320</v>
      </c>
      <c r="J93" s="15" t="s">
        <v>16</v>
      </c>
      <c r="K93" s="21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15">
        <f t="shared" si="20"/>
        <v>93</v>
      </c>
      <c r="B94" s="16" t="str">
        <f t="shared" si="21"/>
        <v>C93</v>
      </c>
      <c r="C94" s="17" t="s">
        <v>321</v>
      </c>
      <c r="D94" s="22" t="s">
        <v>322</v>
      </c>
      <c r="E94" s="16" t="s">
        <v>23</v>
      </c>
      <c r="F94" s="16" t="s">
        <v>254</v>
      </c>
      <c r="G94" s="19" t="s">
        <v>29</v>
      </c>
      <c r="H94" s="16" t="str">
        <f t="shared" si="22"/>
        <v>C60</v>
      </c>
      <c r="I94" s="20"/>
      <c r="J94" s="15" t="s">
        <v>16</v>
      </c>
      <c r="K94" s="21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15">
        <v>92.0</v>
      </c>
      <c r="B95" s="16" t="s">
        <v>323</v>
      </c>
      <c r="C95" s="51" t="s">
        <v>324</v>
      </c>
      <c r="D95" s="22" t="s">
        <v>325</v>
      </c>
      <c r="E95" s="16" t="s">
        <v>23</v>
      </c>
      <c r="F95" s="16" t="s">
        <v>230</v>
      </c>
      <c r="G95" s="19" t="s">
        <v>29</v>
      </c>
      <c r="H95" s="16" t="s">
        <v>286</v>
      </c>
      <c r="I95" s="44"/>
      <c r="J95" s="27"/>
      <c r="K95" s="42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15">
        <f t="shared" ref="A96:A97" si="23">ROW()-1</f>
        <v>95</v>
      </c>
      <c r="B96" s="16" t="str">
        <f t="shared" ref="B96:B97" si="24">CONCATENATE("C",IF(A96&lt;=9,0,),A96)</f>
        <v>C95</v>
      </c>
      <c r="C96" s="17" t="s">
        <v>326</v>
      </c>
      <c r="D96" s="22" t="s">
        <v>327</v>
      </c>
      <c r="E96" s="16" t="s">
        <v>23</v>
      </c>
      <c r="F96" s="16" t="s">
        <v>319</v>
      </c>
      <c r="G96" s="19" t="s">
        <v>29</v>
      </c>
      <c r="H96" s="16" t="str">
        <f t="shared" ref="H96:H97" si="25">$B$61</f>
        <v>C60</v>
      </c>
      <c r="I96" s="20" t="s">
        <v>320</v>
      </c>
      <c r="J96" s="15" t="s">
        <v>16</v>
      </c>
      <c r="K96" s="21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15">
        <f t="shared" si="23"/>
        <v>96</v>
      </c>
      <c r="B97" s="16" t="str">
        <f t="shared" si="24"/>
        <v>C96</v>
      </c>
      <c r="C97" s="17" t="s">
        <v>328</v>
      </c>
      <c r="D97" s="22" t="s">
        <v>329</v>
      </c>
      <c r="E97" s="16" t="s">
        <v>23</v>
      </c>
      <c r="F97" s="16" t="s">
        <v>254</v>
      </c>
      <c r="G97" s="19" t="s">
        <v>29</v>
      </c>
      <c r="H97" s="16" t="str">
        <f t="shared" si="25"/>
        <v>C60</v>
      </c>
      <c r="I97" s="20"/>
      <c r="J97" s="15" t="s">
        <v>16</v>
      </c>
      <c r="K97" s="13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15">
        <v>95.0</v>
      </c>
      <c r="B98" s="16" t="s">
        <v>330</v>
      </c>
      <c r="C98" s="52" t="s">
        <v>331</v>
      </c>
      <c r="D98" s="22" t="s">
        <v>332</v>
      </c>
      <c r="E98" s="16" t="s">
        <v>23</v>
      </c>
      <c r="F98" s="16" t="s">
        <v>230</v>
      </c>
      <c r="G98" s="19" t="s">
        <v>29</v>
      </c>
      <c r="H98" s="16" t="s">
        <v>286</v>
      </c>
      <c r="I98" s="20"/>
      <c r="J98" s="15"/>
      <c r="K98" s="13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15">
        <f t="shared" ref="A99:A100" si="26">ROW()-1</f>
        <v>98</v>
      </c>
      <c r="B99" s="16" t="str">
        <f t="shared" ref="B99:B100" si="27">CONCATENATE("C",IF(A99&lt;=9,0,),A99)</f>
        <v>C98</v>
      </c>
      <c r="C99" s="17" t="s">
        <v>333</v>
      </c>
      <c r="D99" s="22" t="s">
        <v>334</v>
      </c>
      <c r="E99" s="16" t="s">
        <v>23</v>
      </c>
      <c r="F99" s="16" t="s">
        <v>319</v>
      </c>
      <c r="G99" s="19" t="s">
        <v>29</v>
      </c>
      <c r="H99" s="16" t="str">
        <f t="shared" ref="H99:H100" si="28">$B$61</f>
        <v>C60</v>
      </c>
      <c r="I99" s="20" t="s">
        <v>320</v>
      </c>
      <c r="J99" s="15" t="s">
        <v>16</v>
      </c>
      <c r="K99" s="21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15">
        <f t="shared" si="26"/>
        <v>99</v>
      </c>
      <c r="B100" s="16" t="str">
        <f t="shared" si="27"/>
        <v>C99</v>
      </c>
      <c r="C100" s="17" t="s">
        <v>335</v>
      </c>
      <c r="D100" s="22" t="s">
        <v>336</v>
      </c>
      <c r="E100" s="16" t="s">
        <v>23</v>
      </c>
      <c r="F100" s="16" t="s">
        <v>254</v>
      </c>
      <c r="G100" s="19" t="s">
        <v>29</v>
      </c>
      <c r="H100" s="16" t="str">
        <f t="shared" si="28"/>
        <v>C60</v>
      </c>
      <c r="I100" s="20"/>
      <c r="J100" s="15" t="s">
        <v>16</v>
      </c>
      <c r="K100" s="24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15">
        <v>98.0</v>
      </c>
      <c r="B101" s="16" t="s">
        <v>337</v>
      </c>
      <c r="C101" s="17" t="s">
        <v>338</v>
      </c>
      <c r="D101" s="22" t="s">
        <v>339</v>
      </c>
      <c r="E101" s="16" t="s">
        <v>23</v>
      </c>
      <c r="F101" s="16" t="s">
        <v>230</v>
      </c>
      <c r="G101" s="19" t="s">
        <v>29</v>
      </c>
      <c r="H101" s="16" t="s">
        <v>286</v>
      </c>
      <c r="I101" s="20"/>
      <c r="J101" s="15"/>
      <c r="K101" s="24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15">
        <f t="shared" ref="A102:A103" si="29">ROW()-1</f>
        <v>101</v>
      </c>
      <c r="B102" s="16" t="str">
        <f t="shared" ref="B102:B103" si="30">CONCATENATE("C",IF(A102&lt;=9,0,),A102)</f>
        <v>C101</v>
      </c>
      <c r="C102" s="17" t="s">
        <v>340</v>
      </c>
      <c r="D102" s="22" t="s">
        <v>341</v>
      </c>
      <c r="E102" s="16" t="s">
        <v>23</v>
      </c>
      <c r="F102" s="16" t="s">
        <v>319</v>
      </c>
      <c r="G102" s="19" t="s">
        <v>29</v>
      </c>
      <c r="H102" s="16" t="str">
        <f t="shared" ref="H102:H103" si="31">$B$61</f>
        <v>C60</v>
      </c>
      <c r="I102" s="20" t="s">
        <v>320</v>
      </c>
      <c r="J102" s="15" t="s">
        <v>16</v>
      </c>
      <c r="K102" s="13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15">
        <f t="shared" si="29"/>
        <v>102</v>
      </c>
      <c r="B103" s="16" t="str">
        <f t="shared" si="30"/>
        <v>C102</v>
      </c>
      <c r="C103" s="17" t="s">
        <v>342</v>
      </c>
      <c r="D103" s="22" t="s">
        <v>343</v>
      </c>
      <c r="E103" s="16" t="s">
        <v>23</v>
      </c>
      <c r="F103" s="16" t="s">
        <v>254</v>
      </c>
      <c r="G103" s="19" t="s">
        <v>29</v>
      </c>
      <c r="H103" s="16" t="str">
        <f t="shared" si="31"/>
        <v>C60</v>
      </c>
      <c r="I103" s="20"/>
      <c r="J103" s="15" t="s">
        <v>16</v>
      </c>
      <c r="K103" s="21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15">
        <v>101.0</v>
      </c>
      <c r="B104" s="16" t="s">
        <v>344</v>
      </c>
      <c r="C104" s="17" t="s">
        <v>345</v>
      </c>
      <c r="D104" s="22" t="s">
        <v>346</v>
      </c>
      <c r="E104" s="16" t="s">
        <v>23</v>
      </c>
      <c r="F104" s="16" t="s">
        <v>230</v>
      </c>
      <c r="G104" s="19" t="s">
        <v>29</v>
      </c>
      <c r="H104" s="16" t="s">
        <v>286</v>
      </c>
      <c r="I104" s="20"/>
      <c r="J104" s="15"/>
      <c r="K104" s="21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15">
        <f t="shared" ref="A105:A106" si="32">ROW()-1</f>
        <v>104</v>
      </c>
      <c r="B105" s="16" t="str">
        <f t="shared" ref="B105:B106" si="33">CONCATENATE("C",IF(A105&lt;=9,0,),A105)</f>
        <v>C104</v>
      </c>
      <c r="C105" s="17" t="s">
        <v>347</v>
      </c>
      <c r="D105" s="22" t="s">
        <v>348</v>
      </c>
      <c r="E105" s="16" t="s">
        <v>23</v>
      </c>
      <c r="F105" s="16" t="s">
        <v>319</v>
      </c>
      <c r="G105" s="19" t="s">
        <v>29</v>
      </c>
      <c r="H105" s="16" t="str">
        <f t="shared" ref="H105:H106" si="34">$B$61</f>
        <v>C60</v>
      </c>
      <c r="I105" s="20" t="s">
        <v>320</v>
      </c>
      <c r="J105" s="15" t="s">
        <v>16</v>
      </c>
      <c r="K105" s="21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15">
        <f t="shared" si="32"/>
        <v>105</v>
      </c>
      <c r="B106" s="16" t="str">
        <f t="shared" si="33"/>
        <v>C105</v>
      </c>
      <c r="C106" s="17" t="s">
        <v>349</v>
      </c>
      <c r="D106" s="22" t="s">
        <v>350</v>
      </c>
      <c r="E106" s="16" t="s">
        <v>23</v>
      </c>
      <c r="F106" s="16" t="s">
        <v>254</v>
      </c>
      <c r="G106" s="19" t="s">
        <v>29</v>
      </c>
      <c r="H106" s="16" t="str">
        <f t="shared" si="34"/>
        <v>C60</v>
      </c>
      <c r="I106" s="20"/>
      <c r="J106" s="15" t="s">
        <v>16</v>
      </c>
      <c r="K106" s="21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15">
        <v>104.0</v>
      </c>
      <c r="B107" s="16" t="s">
        <v>351</v>
      </c>
      <c r="C107" s="17" t="s">
        <v>352</v>
      </c>
      <c r="D107" s="22" t="s">
        <v>353</v>
      </c>
      <c r="E107" s="16" t="s">
        <v>23</v>
      </c>
      <c r="F107" s="16" t="s">
        <v>46</v>
      </c>
      <c r="G107" s="19"/>
      <c r="H107" s="16"/>
      <c r="I107" s="20"/>
      <c r="J107" s="15"/>
      <c r="K107" s="21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15">
        <f t="shared" ref="A108:A137" si="35">ROW()-1</f>
        <v>107</v>
      </c>
      <c r="B108" s="16" t="str">
        <f t="shared" ref="B108:B137" si="36">CONCATENATE("C",IF(A108&lt;=9,0,),A108)</f>
        <v>C107</v>
      </c>
      <c r="C108" s="17" t="s">
        <v>354</v>
      </c>
      <c r="D108" s="22" t="s">
        <v>355</v>
      </c>
      <c r="E108" s="16" t="s">
        <v>23</v>
      </c>
      <c r="F108" s="16" t="s">
        <v>254</v>
      </c>
      <c r="G108" s="19" t="s">
        <v>29</v>
      </c>
      <c r="H108" s="16" t="str">
        <f t="shared" ref="H108:H124" si="37">$B$61</f>
        <v>C60</v>
      </c>
      <c r="I108" s="20" t="s">
        <v>356</v>
      </c>
      <c r="J108" s="15" t="s">
        <v>357</v>
      </c>
      <c r="K108" s="21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15">
        <f t="shared" si="35"/>
        <v>108</v>
      </c>
      <c r="B109" s="16" t="str">
        <f t="shared" si="36"/>
        <v>C108</v>
      </c>
      <c r="C109" s="17" t="s">
        <v>358</v>
      </c>
      <c r="D109" s="22" t="s">
        <v>359</v>
      </c>
      <c r="E109" s="16" t="s">
        <v>23</v>
      </c>
      <c r="F109" s="16" t="s">
        <v>254</v>
      </c>
      <c r="G109" s="19" t="s">
        <v>29</v>
      </c>
      <c r="H109" s="16" t="str">
        <f t="shared" si="37"/>
        <v>C60</v>
      </c>
      <c r="I109" s="20" t="s">
        <v>360</v>
      </c>
      <c r="J109" s="15" t="s">
        <v>16</v>
      </c>
      <c r="K109" s="21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15">
        <f t="shared" si="35"/>
        <v>109</v>
      </c>
      <c r="B110" s="16" t="str">
        <f t="shared" si="36"/>
        <v>C109</v>
      </c>
      <c r="C110" s="17" t="s">
        <v>361</v>
      </c>
      <c r="D110" s="22" t="s">
        <v>362</v>
      </c>
      <c r="E110" s="16" t="s">
        <v>23</v>
      </c>
      <c r="F110" s="16" t="s">
        <v>254</v>
      </c>
      <c r="G110" s="19" t="s">
        <v>29</v>
      </c>
      <c r="H110" s="16" t="str">
        <f t="shared" si="37"/>
        <v>C60</v>
      </c>
      <c r="I110" s="20"/>
      <c r="J110" s="15" t="s">
        <v>16</v>
      </c>
      <c r="K110" s="21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15">
        <f t="shared" si="35"/>
        <v>110</v>
      </c>
      <c r="B111" s="16" t="str">
        <f t="shared" si="36"/>
        <v>C110</v>
      </c>
      <c r="C111" s="17" t="s">
        <v>363</v>
      </c>
      <c r="D111" s="22" t="s">
        <v>364</v>
      </c>
      <c r="E111" s="16" t="s">
        <v>23</v>
      </c>
      <c r="F111" s="16" t="s">
        <v>319</v>
      </c>
      <c r="G111" s="19" t="s">
        <v>29</v>
      </c>
      <c r="H111" s="16" t="str">
        <f t="shared" si="37"/>
        <v>C60</v>
      </c>
      <c r="I111" s="20" t="s">
        <v>320</v>
      </c>
      <c r="J111" s="15" t="s">
        <v>16</v>
      </c>
      <c r="K111" s="21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15">
        <f t="shared" si="35"/>
        <v>111</v>
      </c>
      <c r="B112" s="16" t="str">
        <f t="shared" si="36"/>
        <v>C111</v>
      </c>
      <c r="C112" s="17" t="s">
        <v>365</v>
      </c>
      <c r="D112" s="22" t="s">
        <v>366</v>
      </c>
      <c r="E112" s="16" t="s">
        <v>23</v>
      </c>
      <c r="F112" s="16" t="s">
        <v>80</v>
      </c>
      <c r="G112" s="19" t="s">
        <v>29</v>
      </c>
      <c r="H112" s="16" t="str">
        <f t="shared" si="37"/>
        <v>C60</v>
      </c>
      <c r="I112" s="20" t="s">
        <v>367</v>
      </c>
      <c r="J112" s="15" t="s">
        <v>16</v>
      </c>
      <c r="K112" s="13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15">
        <f t="shared" si="35"/>
        <v>112</v>
      </c>
      <c r="B113" s="16" t="str">
        <f t="shared" si="36"/>
        <v>C112</v>
      </c>
      <c r="C113" s="17" t="s">
        <v>368</v>
      </c>
      <c r="D113" s="53" t="s">
        <v>369</v>
      </c>
      <c r="E113" s="16" t="s">
        <v>23</v>
      </c>
      <c r="F113" s="54" t="s">
        <v>158</v>
      </c>
      <c r="G113" s="55" t="s">
        <v>29</v>
      </c>
      <c r="H113" s="16" t="str">
        <f t="shared" si="37"/>
        <v>C60</v>
      </c>
      <c r="I113" s="56" t="s">
        <v>370</v>
      </c>
      <c r="J113" s="15" t="s">
        <v>71</v>
      </c>
      <c r="K113" s="24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15">
        <f t="shared" si="35"/>
        <v>113</v>
      </c>
      <c r="B114" s="16" t="str">
        <f t="shared" si="36"/>
        <v>C113</v>
      </c>
      <c r="C114" s="17" t="s">
        <v>371</v>
      </c>
      <c r="D114" s="53" t="s">
        <v>372</v>
      </c>
      <c r="E114" s="54" t="s">
        <v>23</v>
      </c>
      <c r="F114" s="16" t="s">
        <v>254</v>
      </c>
      <c r="G114" s="55" t="s">
        <v>29</v>
      </c>
      <c r="H114" s="16" t="str">
        <f t="shared" si="37"/>
        <v>C60</v>
      </c>
      <c r="I114" s="56" t="s">
        <v>373</v>
      </c>
      <c r="J114" s="15" t="s">
        <v>374</v>
      </c>
      <c r="K114" s="13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15">
        <f t="shared" si="35"/>
        <v>114</v>
      </c>
      <c r="B115" s="16" t="str">
        <f t="shared" si="36"/>
        <v>C114</v>
      </c>
      <c r="C115" s="17" t="s">
        <v>375</v>
      </c>
      <c r="D115" s="53" t="s">
        <v>376</v>
      </c>
      <c r="E115" s="54" t="s">
        <v>23</v>
      </c>
      <c r="F115" s="16" t="s">
        <v>254</v>
      </c>
      <c r="G115" s="55" t="s">
        <v>29</v>
      </c>
      <c r="H115" s="16" t="str">
        <f t="shared" si="37"/>
        <v>C60</v>
      </c>
      <c r="I115" s="56"/>
      <c r="J115" s="15" t="s">
        <v>374</v>
      </c>
      <c r="K115" s="21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15">
        <f t="shared" si="35"/>
        <v>115</v>
      </c>
      <c r="B116" s="16" t="str">
        <f t="shared" si="36"/>
        <v>C115</v>
      </c>
      <c r="C116" s="17" t="s">
        <v>377</v>
      </c>
      <c r="D116" s="53" t="s">
        <v>378</v>
      </c>
      <c r="E116" s="54" t="s">
        <v>23</v>
      </c>
      <c r="F116" s="16" t="s">
        <v>254</v>
      </c>
      <c r="G116" s="55" t="s">
        <v>29</v>
      </c>
      <c r="H116" s="16" t="str">
        <f t="shared" si="37"/>
        <v>C60</v>
      </c>
      <c r="I116" s="56"/>
      <c r="J116" s="15" t="s">
        <v>374</v>
      </c>
      <c r="K116" s="21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15">
        <f t="shared" si="35"/>
        <v>116</v>
      </c>
      <c r="B117" s="16" t="str">
        <f t="shared" si="36"/>
        <v>C116</v>
      </c>
      <c r="C117" s="57" t="s">
        <v>379</v>
      </c>
      <c r="D117" s="53" t="s">
        <v>380</v>
      </c>
      <c r="E117" s="54" t="s">
        <v>23</v>
      </c>
      <c r="F117" s="54" t="s">
        <v>254</v>
      </c>
      <c r="G117" s="55" t="s">
        <v>29</v>
      </c>
      <c r="H117" s="16" t="str">
        <f t="shared" si="37"/>
        <v>C60</v>
      </c>
      <c r="I117" s="20" t="s">
        <v>381</v>
      </c>
      <c r="J117" s="58" t="s">
        <v>357</v>
      </c>
      <c r="K117" s="13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15">
        <f t="shared" si="35"/>
        <v>117</v>
      </c>
      <c r="B118" s="16" t="str">
        <f t="shared" si="36"/>
        <v>C117</v>
      </c>
      <c r="C118" s="57" t="s">
        <v>382</v>
      </c>
      <c r="D118" s="53" t="s">
        <v>383</v>
      </c>
      <c r="E118" s="54" t="s">
        <v>23</v>
      </c>
      <c r="F118" s="54" t="s">
        <v>384</v>
      </c>
      <c r="G118" s="55" t="s">
        <v>29</v>
      </c>
      <c r="H118" s="16" t="str">
        <f t="shared" si="37"/>
        <v>C60</v>
      </c>
      <c r="I118" s="20" t="s">
        <v>385</v>
      </c>
      <c r="J118" s="58" t="s">
        <v>386</v>
      </c>
      <c r="K118" s="13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15">
        <f t="shared" si="35"/>
        <v>118</v>
      </c>
      <c r="B119" s="16" t="str">
        <f t="shared" si="36"/>
        <v>C118</v>
      </c>
      <c r="C119" s="57" t="s">
        <v>387</v>
      </c>
      <c r="D119" s="53" t="s">
        <v>388</v>
      </c>
      <c r="E119" s="54" t="s">
        <v>23</v>
      </c>
      <c r="F119" s="54" t="s">
        <v>389</v>
      </c>
      <c r="G119" s="55" t="s">
        <v>29</v>
      </c>
      <c r="H119" s="16" t="str">
        <f t="shared" si="37"/>
        <v>C60</v>
      </c>
      <c r="I119" s="20" t="s">
        <v>385</v>
      </c>
      <c r="J119" s="58" t="s">
        <v>386</v>
      </c>
      <c r="K119" s="13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15">
        <f t="shared" si="35"/>
        <v>119</v>
      </c>
      <c r="B120" s="16" t="str">
        <f t="shared" si="36"/>
        <v>C119</v>
      </c>
      <c r="C120" s="57" t="s">
        <v>390</v>
      </c>
      <c r="D120" s="53" t="s">
        <v>391</v>
      </c>
      <c r="E120" s="54" t="s">
        <v>23</v>
      </c>
      <c r="F120" s="54" t="s">
        <v>389</v>
      </c>
      <c r="G120" s="55" t="s">
        <v>29</v>
      </c>
      <c r="H120" s="16" t="str">
        <f t="shared" si="37"/>
        <v>C60</v>
      </c>
      <c r="I120" s="20" t="s">
        <v>385</v>
      </c>
      <c r="J120" s="58" t="s">
        <v>386</v>
      </c>
      <c r="K120" s="13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15">
        <f t="shared" si="35"/>
        <v>120</v>
      </c>
      <c r="B121" s="16" t="str">
        <f t="shared" si="36"/>
        <v>C120</v>
      </c>
      <c r="C121" s="57" t="s">
        <v>392</v>
      </c>
      <c r="D121" s="53" t="s">
        <v>393</v>
      </c>
      <c r="E121" s="54" t="s">
        <v>23</v>
      </c>
      <c r="F121" s="54" t="s">
        <v>394</v>
      </c>
      <c r="G121" s="55" t="s">
        <v>29</v>
      </c>
      <c r="H121" s="16" t="str">
        <f t="shared" si="37"/>
        <v>C60</v>
      </c>
      <c r="I121" s="20" t="s">
        <v>385</v>
      </c>
      <c r="J121" s="58" t="s">
        <v>386</v>
      </c>
      <c r="K121" s="13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15">
        <f t="shared" si="35"/>
        <v>121</v>
      </c>
      <c r="B122" s="16" t="str">
        <f t="shared" si="36"/>
        <v>C121</v>
      </c>
      <c r="C122" s="57" t="s">
        <v>395</v>
      </c>
      <c r="D122" s="53" t="s">
        <v>396</v>
      </c>
      <c r="E122" s="54" t="s">
        <v>23</v>
      </c>
      <c r="F122" s="54" t="s">
        <v>64</v>
      </c>
      <c r="G122" s="55" t="s">
        <v>29</v>
      </c>
      <c r="H122" s="16" t="str">
        <f t="shared" si="37"/>
        <v>C60</v>
      </c>
      <c r="I122" s="20" t="s">
        <v>397</v>
      </c>
      <c r="J122" s="58" t="s">
        <v>386</v>
      </c>
      <c r="K122" s="13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15">
        <f t="shared" si="35"/>
        <v>122</v>
      </c>
      <c r="B123" s="16" t="str">
        <f t="shared" si="36"/>
        <v>C122</v>
      </c>
      <c r="C123" s="57" t="s">
        <v>398</v>
      </c>
      <c r="D123" s="53" t="s">
        <v>399</v>
      </c>
      <c r="E123" s="54" t="s">
        <v>23</v>
      </c>
      <c r="F123" s="54" t="s">
        <v>64</v>
      </c>
      <c r="G123" s="55" t="s">
        <v>29</v>
      </c>
      <c r="H123" s="16" t="str">
        <f t="shared" si="37"/>
        <v>C60</v>
      </c>
      <c r="I123" s="20" t="s">
        <v>397</v>
      </c>
      <c r="J123" s="58" t="s">
        <v>386</v>
      </c>
      <c r="K123" s="13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15">
        <f t="shared" si="35"/>
        <v>123</v>
      </c>
      <c r="B124" s="16" t="str">
        <f t="shared" si="36"/>
        <v>C123</v>
      </c>
      <c r="C124" s="57" t="s">
        <v>400</v>
      </c>
      <c r="D124" s="53" t="s">
        <v>401</v>
      </c>
      <c r="E124" s="54" t="s">
        <v>23</v>
      </c>
      <c r="F124" s="54" t="s">
        <v>402</v>
      </c>
      <c r="G124" s="55" t="s">
        <v>29</v>
      </c>
      <c r="H124" s="16" t="str">
        <f t="shared" si="37"/>
        <v>C60</v>
      </c>
      <c r="I124" s="20" t="s">
        <v>385</v>
      </c>
      <c r="J124" s="58" t="s">
        <v>386</v>
      </c>
      <c r="K124" s="13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7">
        <f t="shared" si="35"/>
        <v>124</v>
      </c>
      <c r="B125" s="8" t="str">
        <f t="shared" si="36"/>
        <v>C124</v>
      </c>
      <c r="C125" s="25" t="s">
        <v>403</v>
      </c>
      <c r="D125" s="10"/>
      <c r="E125" s="8" t="s">
        <v>13</v>
      </c>
      <c r="F125" s="8" t="s">
        <v>14</v>
      </c>
      <c r="G125" s="11" t="s">
        <v>29</v>
      </c>
      <c r="H125" s="8" t="str">
        <f>$B$9</f>
        <v>C08</v>
      </c>
      <c r="I125" s="12"/>
      <c r="J125" s="7" t="s">
        <v>16</v>
      </c>
      <c r="K125" s="21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ht="12.75" customHeight="1">
      <c r="A126" s="7">
        <f t="shared" si="35"/>
        <v>125</v>
      </c>
      <c r="B126" s="8" t="str">
        <f t="shared" si="36"/>
        <v>C125</v>
      </c>
      <c r="C126" s="25" t="s">
        <v>404</v>
      </c>
      <c r="D126" s="10"/>
      <c r="E126" s="8" t="s">
        <v>13</v>
      </c>
      <c r="F126" s="8" t="s">
        <v>14</v>
      </c>
      <c r="G126" s="11" t="s">
        <v>405</v>
      </c>
      <c r="H126" s="8" t="str">
        <f>$B$125</f>
        <v>C124</v>
      </c>
      <c r="I126" s="12" t="s">
        <v>217</v>
      </c>
      <c r="J126" s="7" t="s">
        <v>16</v>
      </c>
      <c r="K126" s="21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ht="12.75" customHeight="1">
      <c r="A127" s="15">
        <f t="shared" si="35"/>
        <v>126</v>
      </c>
      <c r="B127" s="16" t="str">
        <f t="shared" si="36"/>
        <v>C126</v>
      </c>
      <c r="C127" s="17" t="s">
        <v>406</v>
      </c>
      <c r="D127" s="22" t="s">
        <v>407</v>
      </c>
      <c r="E127" s="16" t="s">
        <v>23</v>
      </c>
      <c r="F127" s="16" t="s">
        <v>408</v>
      </c>
      <c r="G127" s="19" t="s">
        <v>29</v>
      </c>
      <c r="H127" s="16" t="str">
        <f t="shared" ref="H127:H134" si="38">$B$126</f>
        <v>C125</v>
      </c>
      <c r="I127" s="20"/>
      <c r="J127" s="15" t="s">
        <v>16</v>
      </c>
      <c r="K127" s="21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15">
        <f t="shared" si="35"/>
        <v>127</v>
      </c>
      <c r="B128" s="16" t="str">
        <f t="shared" si="36"/>
        <v>C127</v>
      </c>
      <c r="C128" s="17" t="s">
        <v>409</v>
      </c>
      <c r="D128" s="22" t="s">
        <v>410</v>
      </c>
      <c r="E128" s="16" t="s">
        <v>23</v>
      </c>
      <c r="F128" s="16" t="s">
        <v>254</v>
      </c>
      <c r="G128" s="19" t="s">
        <v>29</v>
      </c>
      <c r="H128" s="16" t="str">
        <f t="shared" si="38"/>
        <v>C125</v>
      </c>
      <c r="I128" s="20"/>
      <c r="J128" s="15" t="s">
        <v>16</v>
      </c>
      <c r="K128" s="21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15">
        <f t="shared" si="35"/>
        <v>128</v>
      </c>
      <c r="B129" s="16" t="str">
        <f t="shared" si="36"/>
        <v>C128</v>
      </c>
      <c r="C129" s="17" t="s">
        <v>411</v>
      </c>
      <c r="D129" s="22" t="s">
        <v>412</v>
      </c>
      <c r="E129" s="16" t="s">
        <v>23</v>
      </c>
      <c r="F129" s="16" t="s">
        <v>413</v>
      </c>
      <c r="G129" s="19" t="s">
        <v>29</v>
      </c>
      <c r="H129" s="16" t="str">
        <f t="shared" si="38"/>
        <v>C125</v>
      </c>
      <c r="I129" s="20" t="s">
        <v>414</v>
      </c>
      <c r="J129" s="15" t="s">
        <v>16</v>
      </c>
      <c r="K129" s="13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15">
        <f t="shared" si="35"/>
        <v>129</v>
      </c>
      <c r="B130" s="16" t="str">
        <f t="shared" si="36"/>
        <v>C129</v>
      </c>
      <c r="C130" s="17" t="s">
        <v>415</v>
      </c>
      <c r="D130" s="22" t="s">
        <v>416</v>
      </c>
      <c r="E130" s="16" t="s">
        <v>23</v>
      </c>
      <c r="F130" s="16" t="s">
        <v>417</v>
      </c>
      <c r="G130" s="19" t="s">
        <v>29</v>
      </c>
      <c r="H130" s="16" t="str">
        <f t="shared" si="38"/>
        <v>C125</v>
      </c>
      <c r="I130" s="20" t="s">
        <v>418</v>
      </c>
      <c r="J130" s="15" t="s">
        <v>16</v>
      </c>
      <c r="K130" s="21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96.75" customHeight="1">
      <c r="A131" s="15">
        <f t="shared" si="35"/>
        <v>130</v>
      </c>
      <c r="B131" s="16" t="str">
        <f t="shared" si="36"/>
        <v>C130</v>
      </c>
      <c r="C131" s="17" t="s">
        <v>419</v>
      </c>
      <c r="D131" s="22" t="s">
        <v>420</v>
      </c>
      <c r="E131" s="16" t="s">
        <v>23</v>
      </c>
      <c r="F131" s="16" t="s">
        <v>130</v>
      </c>
      <c r="G131" s="19" t="s">
        <v>29</v>
      </c>
      <c r="H131" s="16" t="str">
        <f t="shared" si="38"/>
        <v>C125</v>
      </c>
      <c r="I131" s="21" t="s">
        <v>421</v>
      </c>
      <c r="J131" s="15" t="s">
        <v>16</v>
      </c>
      <c r="K131" s="24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15">
        <f t="shared" si="35"/>
        <v>131</v>
      </c>
      <c r="B132" s="16" t="str">
        <f t="shared" si="36"/>
        <v>C131</v>
      </c>
      <c r="C132" s="17" t="s">
        <v>422</v>
      </c>
      <c r="D132" s="22" t="s">
        <v>423</v>
      </c>
      <c r="E132" s="16" t="s">
        <v>23</v>
      </c>
      <c r="F132" s="16" t="s">
        <v>251</v>
      </c>
      <c r="G132" s="19" t="s">
        <v>29</v>
      </c>
      <c r="H132" s="16" t="str">
        <f t="shared" si="38"/>
        <v>C125</v>
      </c>
      <c r="I132" s="20" t="s">
        <v>418</v>
      </c>
      <c r="J132" s="15" t="s">
        <v>16</v>
      </c>
      <c r="K132" s="13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15">
        <f t="shared" si="35"/>
        <v>132</v>
      </c>
      <c r="B133" s="16" t="str">
        <f t="shared" si="36"/>
        <v>C132</v>
      </c>
      <c r="C133" s="17" t="s">
        <v>424</v>
      </c>
      <c r="D133" s="22" t="s">
        <v>425</v>
      </c>
      <c r="E133" s="16" t="s">
        <v>23</v>
      </c>
      <c r="F133" s="16" t="s">
        <v>254</v>
      </c>
      <c r="G133" s="19" t="s">
        <v>29</v>
      </c>
      <c r="H133" s="16" t="str">
        <f t="shared" si="38"/>
        <v>C125</v>
      </c>
      <c r="I133" s="20" t="s">
        <v>426</v>
      </c>
      <c r="J133" s="15" t="s">
        <v>427</v>
      </c>
      <c r="K133" s="21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15">
        <f t="shared" si="35"/>
        <v>133</v>
      </c>
      <c r="B134" s="16" t="str">
        <f t="shared" si="36"/>
        <v>C133</v>
      </c>
      <c r="C134" s="17" t="s">
        <v>428</v>
      </c>
      <c r="D134" s="22" t="s">
        <v>429</v>
      </c>
      <c r="E134" s="16" t="s">
        <v>23</v>
      </c>
      <c r="F134" s="16" t="s">
        <v>254</v>
      </c>
      <c r="G134" s="19" t="s">
        <v>29</v>
      </c>
      <c r="H134" s="16" t="str">
        <f t="shared" si="38"/>
        <v>C125</v>
      </c>
      <c r="I134" s="20" t="s">
        <v>430</v>
      </c>
      <c r="J134" s="15" t="s">
        <v>427</v>
      </c>
      <c r="K134" s="21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7">
        <f t="shared" si="35"/>
        <v>134</v>
      </c>
      <c r="B135" s="8" t="str">
        <f t="shared" si="36"/>
        <v>C134</v>
      </c>
      <c r="C135" s="25" t="s">
        <v>431</v>
      </c>
      <c r="D135" s="7"/>
      <c r="E135" s="8" t="s">
        <v>13</v>
      </c>
      <c r="F135" s="8" t="s">
        <v>14</v>
      </c>
      <c r="G135" s="11" t="s">
        <v>15</v>
      </c>
      <c r="H135" s="8" t="str">
        <f>$B$9</f>
        <v>C08</v>
      </c>
      <c r="I135" s="12"/>
      <c r="J135" s="7" t="s">
        <v>16</v>
      </c>
      <c r="K135" s="21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ht="12.75" customHeight="1">
      <c r="A136" s="7">
        <f t="shared" si="35"/>
        <v>135</v>
      </c>
      <c r="B136" s="8" t="str">
        <f t="shared" si="36"/>
        <v>C135</v>
      </c>
      <c r="C136" s="25" t="s">
        <v>432</v>
      </c>
      <c r="D136" s="7"/>
      <c r="E136" s="8" t="s">
        <v>13</v>
      </c>
      <c r="F136" s="8" t="s">
        <v>14</v>
      </c>
      <c r="G136" s="11" t="s">
        <v>15</v>
      </c>
      <c r="H136" s="8" t="str">
        <f>$B$135</f>
        <v>C134</v>
      </c>
      <c r="I136" s="12"/>
      <c r="J136" s="7" t="s">
        <v>16</v>
      </c>
      <c r="K136" s="21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ht="12.75" customHeight="1">
      <c r="A137" s="15">
        <f t="shared" si="35"/>
        <v>136</v>
      </c>
      <c r="B137" s="16" t="str">
        <f t="shared" si="36"/>
        <v>C136</v>
      </c>
      <c r="C137" s="17" t="s">
        <v>433</v>
      </c>
      <c r="D137" s="22" t="s">
        <v>434</v>
      </c>
      <c r="E137" s="16" t="s">
        <v>23</v>
      </c>
      <c r="F137" s="16" t="s">
        <v>254</v>
      </c>
      <c r="G137" s="19" t="s">
        <v>15</v>
      </c>
      <c r="H137" s="16" t="str">
        <f>$B$136</f>
        <v>C135</v>
      </c>
      <c r="I137" s="20"/>
      <c r="J137" s="15" t="s">
        <v>16</v>
      </c>
      <c r="K137" s="21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36.0" customHeight="1">
      <c r="A138" s="59">
        <v>137.0</v>
      </c>
      <c r="B138" s="60" t="s">
        <v>435</v>
      </c>
      <c r="C138" s="61" t="s">
        <v>436</v>
      </c>
      <c r="D138" s="62" t="s">
        <v>437</v>
      </c>
      <c r="E138" s="63" t="s">
        <v>23</v>
      </c>
      <c r="F138" s="60" t="s">
        <v>438</v>
      </c>
      <c r="G138" s="64" t="s">
        <v>29</v>
      </c>
      <c r="H138" s="60" t="s">
        <v>439</v>
      </c>
      <c r="I138" s="65" t="s">
        <v>183</v>
      </c>
      <c r="J138" s="59"/>
      <c r="K138" s="21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15">
        <f t="shared" ref="A139:A179" si="39">ROW()-1</f>
        <v>138</v>
      </c>
      <c r="B139" s="16" t="str">
        <f t="shared" ref="B139:B179" si="40">CONCATENATE("C",IF(A139&lt;=9,0,),A139)</f>
        <v>C138</v>
      </c>
      <c r="C139" s="17" t="s">
        <v>440</v>
      </c>
      <c r="D139" s="22" t="s">
        <v>441</v>
      </c>
      <c r="E139" s="16" t="s">
        <v>23</v>
      </c>
      <c r="F139" s="16" t="s">
        <v>254</v>
      </c>
      <c r="G139" s="19" t="s">
        <v>29</v>
      </c>
      <c r="H139" s="16" t="str">
        <f t="shared" ref="H139:H179" si="41">$B$136</f>
        <v>C135</v>
      </c>
      <c r="I139" s="20" t="s">
        <v>442</v>
      </c>
      <c r="J139" s="15" t="s">
        <v>16</v>
      </c>
      <c r="K139" s="21" t="s">
        <v>237</v>
      </c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15">
        <f t="shared" si="39"/>
        <v>139</v>
      </c>
      <c r="B140" s="16" t="str">
        <f t="shared" si="40"/>
        <v>C139</v>
      </c>
      <c r="C140" s="17" t="s">
        <v>443</v>
      </c>
      <c r="D140" s="22" t="s">
        <v>350</v>
      </c>
      <c r="E140" s="16" t="s">
        <v>23</v>
      </c>
      <c r="F140" s="16" t="s">
        <v>254</v>
      </c>
      <c r="G140" s="19" t="s">
        <v>29</v>
      </c>
      <c r="H140" s="16" t="str">
        <f t="shared" si="41"/>
        <v>C135</v>
      </c>
      <c r="I140" s="20"/>
      <c r="J140" s="15" t="s">
        <v>16</v>
      </c>
      <c r="K140" s="13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15">
        <f t="shared" si="39"/>
        <v>140</v>
      </c>
      <c r="B141" s="16" t="str">
        <f t="shared" si="40"/>
        <v>C140</v>
      </c>
      <c r="C141" s="17" t="s">
        <v>444</v>
      </c>
      <c r="D141" s="22" t="s">
        <v>445</v>
      </c>
      <c r="E141" s="16" t="s">
        <v>23</v>
      </c>
      <c r="F141" s="16" t="s">
        <v>254</v>
      </c>
      <c r="G141" s="19" t="s">
        <v>29</v>
      </c>
      <c r="H141" s="16" t="str">
        <f t="shared" si="41"/>
        <v>C135</v>
      </c>
      <c r="I141" s="20"/>
      <c r="J141" s="15" t="s">
        <v>16</v>
      </c>
      <c r="K141" s="21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15">
        <f t="shared" si="39"/>
        <v>141</v>
      </c>
      <c r="B142" s="16" t="str">
        <f t="shared" si="40"/>
        <v>C141</v>
      </c>
      <c r="C142" s="17" t="s">
        <v>446</v>
      </c>
      <c r="D142" s="22" t="s">
        <v>336</v>
      </c>
      <c r="E142" s="16" t="s">
        <v>23</v>
      </c>
      <c r="F142" s="16" t="s">
        <v>254</v>
      </c>
      <c r="G142" s="19" t="s">
        <v>29</v>
      </c>
      <c r="H142" s="16" t="str">
        <f t="shared" si="41"/>
        <v>C135</v>
      </c>
      <c r="I142" s="20"/>
      <c r="J142" s="15" t="s">
        <v>16</v>
      </c>
      <c r="K142" s="21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15">
        <f t="shared" si="39"/>
        <v>142</v>
      </c>
      <c r="B143" s="16" t="str">
        <f t="shared" si="40"/>
        <v>C142</v>
      </c>
      <c r="C143" s="17" t="s">
        <v>447</v>
      </c>
      <c r="D143" s="22" t="s">
        <v>448</v>
      </c>
      <c r="E143" s="16" t="s">
        <v>23</v>
      </c>
      <c r="F143" s="16" t="s">
        <v>254</v>
      </c>
      <c r="G143" s="19" t="s">
        <v>29</v>
      </c>
      <c r="H143" s="16" t="str">
        <f t="shared" si="41"/>
        <v>C135</v>
      </c>
      <c r="I143" s="20"/>
      <c r="J143" s="15" t="s">
        <v>16</v>
      </c>
      <c r="K143" s="21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15">
        <f t="shared" si="39"/>
        <v>143</v>
      </c>
      <c r="B144" s="16" t="str">
        <f t="shared" si="40"/>
        <v>C143</v>
      </c>
      <c r="C144" s="17" t="s">
        <v>449</v>
      </c>
      <c r="D144" s="22" t="s">
        <v>322</v>
      </c>
      <c r="E144" s="16" t="s">
        <v>23</v>
      </c>
      <c r="F144" s="16" t="s">
        <v>254</v>
      </c>
      <c r="G144" s="19" t="s">
        <v>29</v>
      </c>
      <c r="H144" s="16" t="str">
        <f t="shared" si="41"/>
        <v>C135</v>
      </c>
      <c r="I144" s="20"/>
      <c r="J144" s="15" t="s">
        <v>16</v>
      </c>
      <c r="K144" s="24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15">
        <f t="shared" si="39"/>
        <v>144</v>
      </c>
      <c r="B145" s="16" t="str">
        <f t="shared" si="40"/>
        <v>C144</v>
      </c>
      <c r="C145" s="17" t="s">
        <v>450</v>
      </c>
      <c r="D145" s="22" t="s">
        <v>451</v>
      </c>
      <c r="E145" s="16" t="s">
        <v>23</v>
      </c>
      <c r="F145" s="16" t="s">
        <v>254</v>
      </c>
      <c r="G145" s="19" t="s">
        <v>29</v>
      </c>
      <c r="H145" s="16" t="str">
        <f t="shared" si="41"/>
        <v>C135</v>
      </c>
      <c r="I145" s="20"/>
      <c r="J145" s="15" t="s">
        <v>16</v>
      </c>
      <c r="K145" s="21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15">
        <f t="shared" si="39"/>
        <v>145</v>
      </c>
      <c r="B146" s="16" t="str">
        <f t="shared" si="40"/>
        <v>C145</v>
      </c>
      <c r="C146" s="17" t="s">
        <v>452</v>
      </c>
      <c r="D146" s="22" t="s">
        <v>329</v>
      </c>
      <c r="E146" s="16" t="s">
        <v>23</v>
      </c>
      <c r="F146" s="16" t="s">
        <v>254</v>
      </c>
      <c r="G146" s="19" t="s">
        <v>29</v>
      </c>
      <c r="H146" s="16" t="str">
        <f t="shared" si="41"/>
        <v>C135</v>
      </c>
      <c r="I146" s="20"/>
      <c r="J146" s="15" t="s">
        <v>16</v>
      </c>
      <c r="K146" s="13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15">
        <f t="shared" si="39"/>
        <v>146</v>
      </c>
      <c r="B147" s="16" t="str">
        <f t="shared" si="40"/>
        <v>C146</v>
      </c>
      <c r="C147" s="17" t="s">
        <v>453</v>
      </c>
      <c r="D147" s="22" t="s">
        <v>454</v>
      </c>
      <c r="E147" s="16" t="s">
        <v>23</v>
      </c>
      <c r="F147" s="16" t="s">
        <v>254</v>
      </c>
      <c r="G147" s="19" t="s">
        <v>29</v>
      </c>
      <c r="H147" s="16" t="str">
        <f t="shared" si="41"/>
        <v>C135</v>
      </c>
      <c r="I147" s="20"/>
      <c r="J147" s="15" t="s">
        <v>16</v>
      </c>
      <c r="K147" s="21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15">
        <f t="shared" si="39"/>
        <v>147</v>
      </c>
      <c r="B148" s="16" t="str">
        <f t="shared" si="40"/>
        <v>C147</v>
      </c>
      <c r="C148" s="17" t="s">
        <v>455</v>
      </c>
      <c r="D148" s="22" t="s">
        <v>456</v>
      </c>
      <c r="E148" s="16" t="s">
        <v>23</v>
      </c>
      <c r="F148" s="16" t="s">
        <v>254</v>
      </c>
      <c r="G148" s="19" t="s">
        <v>29</v>
      </c>
      <c r="H148" s="16" t="str">
        <f t="shared" si="41"/>
        <v>C135</v>
      </c>
      <c r="I148" s="20"/>
      <c r="J148" s="15" t="s">
        <v>16</v>
      </c>
      <c r="K148" s="21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15">
        <f t="shared" si="39"/>
        <v>148</v>
      </c>
      <c r="B149" s="16" t="str">
        <f t="shared" si="40"/>
        <v>C148</v>
      </c>
      <c r="C149" s="17" t="s">
        <v>457</v>
      </c>
      <c r="D149" s="22" t="s">
        <v>458</v>
      </c>
      <c r="E149" s="16" t="s">
        <v>23</v>
      </c>
      <c r="F149" s="16" t="s">
        <v>254</v>
      </c>
      <c r="G149" s="19" t="s">
        <v>29</v>
      </c>
      <c r="H149" s="16" t="str">
        <f t="shared" si="41"/>
        <v>C135</v>
      </c>
      <c r="I149" s="20"/>
      <c r="J149" s="15" t="s">
        <v>16</v>
      </c>
      <c r="K149" s="21" t="s">
        <v>255</v>
      </c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15">
        <f t="shared" si="39"/>
        <v>149</v>
      </c>
      <c r="B150" s="16" t="str">
        <f t="shared" si="40"/>
        <v>C149</v>
      </c>
      <c r="C150" s="17" t="s">
        <v>459</v>
      </c>
      <c r="D150" s="22" t="s">
        <v>460</v>
      </c>
      <c r="E150" s="16" t="s">
        <v>23</v>
      </c>
      <c r="F150" s="16" t="s">
        <v>130</v>
      </c>
      <c r="G150" s="19" t="s">
        <v>29</v>
      </c>
      <c r="H150" s="16" t="str">
        <f t="shared" si="41"/>
        <v>C135</v>
      </c>
      <c r="I150" s="21" t="s">
        <v>461</v>
      </c>
      <c r="J150" s="15" t="s">
        <v>16</v>
      </c>
      <c r="K150" s="21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15">
        <f t="shared" si="39"/>
        <v>150</v>
      </c>
      <c r="B151" s="16" t="str">
        <f t="shared" si="40"/>
        <v>C150</v>
      </c>
      <c r="C151" s="17" t="s">
        <v>462</v>
      </c>
      <c r="D151" s="22" t="s">
        <v>463</v>
      </c>
      <c r="E151" s="16" t="s">
        <v>23</v>
      </c>
      <c r="F151" s="16" t="s">
        <v>80</v>
      </c>
      <c r="G151" s="19" t="s">
        <v>29</v>
      </c>
      <c r="H151" s="16" t="str">
        <f t="shared" si="41"/>
        <v>C135</v>
      </c>
      <c r="I151" s="21" t="s">
        <v>240</v>
      </c>
      <c r="J151" s="15" t="s">
        <v>16</v>
      </c>
      <c r="K151" s="21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15">
        <f t="shared" si="39"/>
        <v>151</v>
      </c>
      <c r="B152" s="16" t="str">
        <f t="shared" si="40"/>
        <v>C151</v>
      </c>
      <c r="C152" s="17" t="s">
        <v>464</v>
      </c>
      <c r="D152" s="22" t="s">
        <v>465</v>
      </c>
      <c r="E152" s="16" t="s">
        <v>23</v>
      </c>
      <c r="F152" s="16" t="s">
        <v>230</v>
      </c>
      <c r="G152" s="19" t="s">
        <v>29</v>
      </c>
      <c r="H152" s="16" t="str">
        <f t="shared" si="41"/>
        <v>C135</v>
      </c>
      <c r="I152" s="20"/>
      <c r="J152" s="15" t="s">
        <v>16</v>
      </c>
      <c r="K152" s="21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15">
        <f t="shared" si="39"/>
        <v>152</v>
      </c>
      <c r="B153" s="16" t="str">
        <f t="shared" si="40"/>
        <v>C152</v>
      </c>
      <c r="C153" s="17" t="s">
        <v>466</v>
      </c>
      <c r="D153" s="22" t="s">
        <v>467</v>
      </c>
      <c r="E153" s="16" t="s">
        <v>23</v>
      </c>
      <c r="F153" s="16" t="s">
        <v>130</v>
      </c>
      <c r="G153" s="19" t="s">
        <v>29</v>
      </c>
      <c r="H153" s="16" t="str">
        <f t="shared" si="41"/>
        <v>C135</v>
      </c>
      <c r="I153" s="21" t="s">
        <v>468</v>
      </c>
      <c r="J153" s="15" t="s">
        <v>16</v>
      </c>
      <c r="K153" s="21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15">
        <f t="shared" si="39"/>
        <v>153</v>
      </c>
      <c r="B154" s="16" t="str">
        <f t="shared" si="40"/>
        <v>C153</v>
      </c>
      <c r="C154" s="17" t="s">
        <v>469</v>
      </c>
      <c r="D154" s="22" t="s">
        <v>470</v>
      </c>
      <c r="E154" s="16" t="s">
        <v>23</v>
      </c>
      <c r="F154" s="16" t="s">
        <v>254</v>
      </c>
      <c r="G154" s="19" t="s">
        <v>29</v>
      </c>
      <c r="H154" s="16" t="str">
        <f t="shared" si="41"/>
        <v>C135</v>
      </c>
      <c r="I154" s="20" t="s">
        <v>470</v>
      </c>
      <c r="J154" s="15" t="s">
        <v>16</v>
      </c>
      <c r="K154" s="21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15">
        <f t="shared" si="39"/>
        <v>154</v>
      </c>
      <c r="B155" s="16" t="str">
        <f t="shared" si="40"/>
        <v>C154</v>
      </c>
      <c r="C155" s="17" t="s">
        <v>471</v>
      </c>
      <c r="D155" s="22" t="s">
        <v>472</v>
      </c>
      <c r="E155" s="16" t="s">
        <v>23</v>
      </c>
      <c r="F155" s="16" t="s">
        <v>254</v>
      </c>
      <c r="G155" s="19" t="s">
        <v>29</v>
      </c>
      <c r="H155" s="16" t="str">
        <f t="shared" si="41"/>
        <v>C135</v>
      </c>
      <c r="I155" s="20" t="s">
        <v>473</v>
      </c>
      <c r="J155" s="15" t="s">
        <v>16</v>
      </c>
      <c r="K155" s="13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15">
        <f t="shared" si="39"/>
        <v>155</v>
      </c>
      <c r="B156" s="16" t="str">
        <f t="shared" si="40"/>
        <v>C155</v>
      </c>
      <c r="C156" s="17" t="s">
        <v>474</v>
      </c>
      <c r="D156" s="22" t="s">
        <v>475</v>
      </c>
      <c r="E156" s="16" t="s">
        <v>23</v>
      </c>
      <c r="F156" s="16" t="s">
        <v>254</v>
      </c>
      <c r="G156" s="19" t="s">
        <v>29</v>
      </c>
      <c r="H156" s="16" t="str">
        <f t="shared" si="41"/>
        <v>C135</v>
      </c>
      <c r="I156" s="20" t="s">
        <v>476</v>
      </c>
      <c r="J156" s="15" t="s">
        <v>477</v>
      </c>
      <c r="K156" s="13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15">
        <f t="shared" si="39"/>
        <v>156</v>
      </c>
      <c r="B157" s="16" t="str">
        <f t="shared" si="40"/>
        <v>C156</v>
      </c>
      <c r="C157" s="17" t="s">
        <v>478</v>
      </c>
      <c r="D157" s="22" t="s">
        <v>479</v>
      </c>
      <c r="E157" s="16" t="s">
        <v>23</v>
      </c>
      <c r="F157" s="16" t="s">
        <v>254</v>
      </c>
      <c r="G157" s="19" t="s">
        <v>15</v>
      </c>
      <c r="H157" s="16" t="str">
        <f t="shared" si="41"/>
        <v>C135</v>
      </c>
      <c r="I157" s="20" t="s">
        <v>480</v>
      </c>
      <c r="J157" s="15" t="s">
        <v>16</v>
      </c>
      <c r="K157" s="21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15">
        <f t="shared" si="39"/>
        <v>157</v>
      </c>
      <c r="B158" s="16" t="str">
        <f t="shared" si="40"/>
        <v>C157</v>
      </c>
      <c r="C158" s="17" t="s">
        <v>481</v>
      </c>
      <c r="D158" s="22" t="s">
        <v>482</v>
      </c>
      <c r="E158" s="16" t="s">
        <v>23</v>
      </c>
      <c r="F158" s="16" t="s">
        <v>254</v>
      </c>
      <c r="G158" s="19" t="s">
        <v>29</v>
      </c>
      <c r="H158" s="16" t="str">
        <f t="shared" si="41"/>
        <v>C135</v>
      </c>
      <c r="I158" s="20" t="s">
        <v>482</v>
      </c>
      <c r="J158" s="15" t="s">
        <v>16</v>
      </c>
      <c r="K158" s="13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15">
        <f t="shared" si="39"/>
        <v>158</v>
      </c>
      <c r="B159" s="16" t="str">
        <f t="shared" si="40"/>
        <v>C158</v>
      </c>
      <c r="C159" s="17" t="s">
        <v>483</v>
      </c>
      <c r="D159" s="18" t="s">
        <v>484</v>
      </c>
      <c r="E159" s="16" t="s">
        <v>23</v>
      </c>
      <c r="F159" s="16" t="s">
        <v>485</v>
      </c>
      <c r="G159" s="19" t="s">
        <v>15</v>
      </c>
      <c r="H159" s="16" t="str">
        <f t="shared" si="41"/>
        <v>C135</v>
      </c>
      <c r="I159" s="20" t="s">
        <v>320</v>
      </c>
      <c r="J159" s="15" t="s">
        <v>16</v>
      </c>
      <c r="K159" s="24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15">
        <f t="shared" si="39"/>
        <v>159</v>
      </c>
      <c r="B160" s="16" t="str">
        <f t="shared" si="40"/>
        <v>C159</v>
      </c>
      <c r="C160" s="17" t="s">
        <v>486</v>
      </c>
      <c r="D160" s="18" t="s">
        <v>348</v>
      </c>
      <c r="E160" s="16" t="s">
        <v>23</v>
      </c>
      <c r="F160" s="16" t="s">
        <v>319</v>
      </c>
      <c r="G160" s="19" t="s">
        <v>29</v>
      </c>
      <c r="H160" s="16" t="str">
        <f t="shared" si="41"/>
        <v>C135</v>
      </c>
      <c r="I160" s="20" t="s">
        <v>320</v>
      </c>
      <c r="J160" s="15" t="s">
        <v>16</v>
      </c>
      <c r="K160" s="13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40.5" customHeight="1">
      <c r="A161" s="15">
        <f t="shared" si="39"/>
        <v>160</v>
      </c>
      <c r="B161" s="16" t="str">
        <f t="shared" si="40"/>
        <v>C160</v>
      </c>
      <c r="C161" s="17" t="s">
        <v>487</v>
      </c>
      <c r="D161" s="18" t="s">
        <v>488</v>
      </c>
      <c r="E161" s="16" t="s">
        <v>23</v>
      </c>
      <c r="F161" s="16" t="s">
        <v>130</v>
      </c>
      <c r="G161" s="19" t="s">
        <v>29</v>
      </c>
      <c r="H161" s="16" t="str">
        <f t="shared" si="41"/>
        <v>C135</v>
      </c>
      <c r="I161" s="21" t="s">
        <v>489</v>
      </c>
      <c r="J161" s="15" t="s">
        <v>490</v>
      </c>
      <c r="K161" s="13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15">
        <f t="shared" si="39"/>
        <v>161</v>
      </c>
      <c r="B162" s="16" t="str">
        <f t="shared" si="40"/>
        <v>C161</v>
      </c>
      <c r="C162" s="17" t="s">
        <v>491</v>
      </c>
      <c r="D162" s="18" t="s">
        <v>334</v>
      </c>
      <c r="E162" s="16" t="s">
        <v>23</v>
      </c>
      <c r="F162" s="16" t="s">
        <v>319</v>
      </c>
      <c r="G162" s="19" t="s">
        <v>29</v>
      </c>
      <c r="H162" s="16" t="str">
        <f t="shared" si="41"/>
        <v>C135</v>
      </c>
      <c r="I162" s="20" t="s">
        <v>320</v>
      </c>
      <c r="J162" s="15" t="s">
        <v>16</v>
      </c>
      <c r="K162" s="21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15">
        <f t="shared" si="39"/>
        <v>162</v>
      </c>
      <c r="B163" s="16" t="str">
        <f t="shared" si="40"/>
        <v>C162</v>
      </c>
      <c r="C163" s="17" t="s">
        <v>492</v>
      </c>
      <c r="D163" s="18" t="s">
        <v>493</v>
      </c>
      <c r="E163" s="16" t="s">
        <v>23</v>
      </c>
      <c r="F163" s="16" t="s">
        <v>130</v>
      </c>
      <c r="G163" s="19" t="s">
        <v>29</v>
      </c>
      <c r="H163" s="16" t="str">
        <f t="shared" si="41"/>
        <v>C135</v>
      </c>
      <c r="I163" s="21" t="s">
        <v>489</v>
      </c>
      <c r="J163" s="15" t="s">
        <v>490</v>
      </c>
      <c r="K163" s="21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15">
        <f t="shared" si="39"/>
        <v>163</v>
      </c>
      <c r="B164" s="16" t="str">
        <f t="shared" si="40"/>
        <v>C163</v>
      </c>
      <c r="C164" s="17" t="s">
        <v>494</v>
      </c>
      <c r="D164" s="18" t="s">
        <v>327</v>
      </c>
      <c r="E164" s="16" t="s">
        <v>23</v>
      </c>
      <c r="F164" s="16" t="s">
        <v>319</v>
      </c>
      <c r="G164" s="19" t="s">
        <v>29</v>
      </c>
      <c r="H164" s="16" t="str">
        <f t="shared" si="41"/>
        <v>C135</v>
      </c>
      <c r="I164" s="20" t="s">
        <v>320</v>
      </c>
      <c r="J164" s="15" t="s">
        <v>16</v>
      </c>
      <c r="K164" s="21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15">
        <f t="shared" si="39"/>
        <v>164</v>
      </c>
      <c r="B165" s="16" t="str">
        <f t="shared" si="40"/>
        <v>C164</v>
      </c>
      <c r="C165" s="17" t="s">
        <v>495</v>
      </c>
      <c r="D165" s="18" t="s">
        <v>496</v>
      </c>
      <c r="E165" s="16" t="s">
        <v>23</v>
      </c>
      <c r="F165" s="16" t="s">
        <v>130</v>
      </c>
      <c r="G165" s="19" t="s">
        <v>29</v>
      </c>
      <c r="H165" s="16" t="str">
        <f t="shared" si="41"/>
        <v>C135</v>
      </c>
      <c r="I165" s="21" t="s">
        <v>489</v>
      </c>
      <c r="J165" s="15" t="s">
        <v>490</v>
      </c>
      <c r="K165" s="21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15">
        <f t="shared" si="39"/>
        <v>165</v>
      </c>
      <c r="B166" s="16" t="str">
        <f t="shared" si="40"/>
        <v>C165</v>
      </c>
      <c r="C166" s="17" t="s">
        <v>497</v>
      </c>
      <c r="D166" s="18" t="s">
        <v>341</v>
      </c>
      <c r="E166" s="16" t="s">
        <v>23</v>
      </c>
      <c r="F166" s="16" t="s">
        <v>319</v>
      </c>
      <c r="G166" s="19" t="s">
        <v>29</v>
      </c>
      <c r="H166" s="16" t="str">
        <f t="shared" si="41"/>
        <v>C135</v>
      </c>
      <c r="I166" s="20" t="s">
        <v>320</v>
      </c>
      <c r="J166" s="15" t="s">
        <v>16</v>
      </c>
      <c r="K166" s="21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15">
        <f t="shared" si="39"/>
        <v>166</v>
      </c>
      <c r="B167" s="16" t="str">
        <f t="shared" si="40"/>
        <v>C166</v>
      </c>
      <c r="C167" s="17" t="s">
        <v>498</v>
      </c>
      <c r="D167" s="18" t="s">
        <v>499</v>
      </c>
      <c r="E167" s="16" t="s">
        <v>23</v>
      </c>
      <c r="F167" s="16" t="s">
        <v>130</v>
      </c>
      <c r="G167" s="19" t="s">
        <v>29</v>
      </c>
      <c r="H167" s="16" t="str">
        <f t="shared" si="41"/>
        <v>C135</v>
      </c>
      <c r="I167" s="21" t="s">
        <v>489</v>
      </c>
      <c r="J167" s="15" t="s">
        <v>490</v>
      </c>
      <c r="K167" s="21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15">
        <f t="shared" si="39"/>
        <v>167</v>
      </c>
      <c r="B168" s="16" t="str">
        <f t="shared" si="40"/>
        <v>C167</v>
      </c>
      <c r="C168" s="17" t="s">
        <v>500</v>
      </c>
      <c r="D168" s="18" t="s">
        <v>318</v>
      </c>
      <c r="E168" s="16" t="s">
        <v>23</v>
      </c>
      <c r="F168" s="16" t="s">
        <v>319</v>
      </c>
      <c r="G168" s="19" t="s">
        <v>29</v>
      </c>
      <c r="H168" s="16" t="str">
        <f t="shared" si="41"/>
        <v>C135</v>
      </c>
      <c r="I168" s="20" t="s">
        <v>320</v>
      </c>
      <c r="J168" s="15" t="s">
        <v>16</v>
      </c>
      <c r="K168" s="21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15">
        <f t="shared" si="39"/>
        <v>168</v>
      </c>
      <c r="B169" s="16" t="str">
        <f t="shared" si="40"/>
        <v>C168</v>
      </c>
      <c r="C169" s="17" t="s">
        <v>501</v>
      </c>
      <c r="D169" s="18" t="s">
        <v>502</v>
      </c>
      <c r="E169" s="16" t="s">
        <v>23</v>
      </c>
      <c r="F169" s="16" t="s">
        <v>130</v>
      </c>
      <c r="G169" s="19" t="s">
        <v>29</v>
      </c>
      <c r="H169" s="16" t="str">
        <f t="shared" si="41"/>
        <v>C135</v>
      </c>
      <c r="I169" s="21" t="s">
        <v>489</v>
      </c>
      <c r="J169" s="15" t="s">
        <v>490</v>
      </c>
      <c r="K169" s="21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15">
        <f t="shared" si="39"/>
        <v>169</v>
      </c>
      <c r="B170" s="16" t="str">
        <f t="shared" si="40"/>
        <v>C169</v>
      </c>
      <c r="C170" s="17" t="s">
        <v>503</v>
      </c>
      <c r="D170" s="18" t="s">
        <v>504</v>
      </c>
      <c r="E170" s="16" t="s">
        <v>23</v>
      </c>
      <c r="F170" s="16" t="s">
        <v>319</v>
      </c>
      <c r="G170" s="19" t="s">
        <v>29</v>
      </c>
      <c r="H170" s="16" t="str">
        <f t="shared" si="41"/>
        <v>C135</v>
      </c>
      <c r="I170" s="23" t="s">
        <v>505</v>
      </c>
      <c r="J170" s="15" t="s">
        <v>490</v>
      </c>
      <c r="K170" s="21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15">
        <f t="shared" si="39"/>
        <v>170</v>
      </c>
      <c r="B171" s="16" t="str">
        <f t="shared" si="40"/>
        <v>C170</v>
      </c>
      <c r="C171" s="17" t="s">
        <v>506</v>
      </c>
      <c r="D171" s="18" t="s">
        <v>507</v>
      </c>
      <c r="E171" s="16" t="s">
        <v>23</v>
      </c>
      <c r="F171" s="16" t="s">
        <v>130</v>
      </c>
      <c r="G171" s="19" t="s">
        <v>29</v>
      </c>
      <c r="H171" s="16" t="str">
        <f t="shared" si="41"/>
        <v>C135</v>
      </c>
      <c r="I171" s="21" t="s">
        <v>489</v>
      </c>
      <c r="J171" s="15" t="s">
        <v>490</v>
      </c>
      <c r="K171" s="21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15">
        <f t="shared" si="39"/>
        <v>171</v>
      </c>
      <c r="B172" s="16" t="str">
        <f t="shared" si="40"/>
        <v>C171</v>
      </c>
      <c r="C172" s="17" t="s">
        <v>508</v>
      </c>
      <c r="D172" s="18" t="s">
        <v>509</v>
      </c>
      <c r="E172" s="16" t="s">
        <v>23</v>
      </c>
      <c r="F172" s="16" t="s">
        <v>254</v>
      </c>
      <c r="G172" s="19" t="s">
        <v>29</v>
      </c>
      <c r="H172" s="16" t="str">
        <f t="shared" si="41"/>
        <v>C135</v>
      </c>
      <c r="I172" s="20" t="s">
        <v>510</v>
      </c>
      <c r="J172" s="15" t="s">
        <v>490</v>
      </c>
      <c r="K172" s="21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38.25" customHeight="1">
      <c r="A173" s="15">
        <f t="shared" si="39"/>
        <v>172</v>
      </c>
      <c r="B173" s="16" t="str">
        <f t="shared" si="40"/>
        <v>C172</v>
      </c>
      <c r="C173" s="17" t="s">
        <v>511</v>
      </c>
      <c r="D173" s="18" t="s">
        <v>512</v>
      </c>
      <c r="E173" s="16" t="s">
        <v>23</v>
      </c>
      <c r="F173" s="16" t="s">
        <v>130</v>
      </c>
      <c r="G173" s="19" t="s">
        <v>29</v>
      </c>
      <c r="H173" s="16" t="str">
        <f t="shared" si="41"/>
        <v>C135</v>
      </c>
      <c r="I173" s="21" t="s">
        <v>513</v>
      </c>
      <c r="J173" s="15" t="s">
        <v>490</v>
      </c>
      <c r="K173" s="21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15">
        <f t="shared" si="39"/>
        <v>173</v>
      </c>
      <c r="B174" s="16" t="str">
        <f t="shared" si="40"/>
        <v>C173</v>
      </c>
      <c r="C174" s="57" t="s">
        <v>514</v>
      </c>
      <c r="D174" s="53" t="s">
        <v>515</v>
      </c>
      <c r="E174" s="54" t="s">
        <v>23</v>
      </c>
      <c r="F174" s="54" t="s">
        <v>254</v>
      </c>
      <c r="G174" s="55" t="s">
        <v>29</v>
      </c>
      <c r="H174" s="16" t="str">
        <f t="shared" si="41"/>
        <v>C135</v>
      </c>
      <c r="I174" s="20"/>
      <c r="J174" s="58" t="s">
        <v>357</v>
      </c>
      <c r="K174" s="13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15">
        <f t="shared" si="39"/>
        <v>174</v>
      </c>
      <c r="B175" s="16" t="str">
        <f t="shared" si="40"/>
        <v>C174</v>
      </c>
      <c r="C175" s="57" t="s">
        <v>516</v>
      </c>
      <c r="D175" s="53" t="s">
        <v>517</v>
      </c>
      <c r="E175" s="16" t="s">
        <v>23</v>
      </c>
      <c r="F175" s="16" t="s">
        <v>319</v>
      </c>
      <c r="G175" s="19" t="s">
        <v>29</v>
      </c>
      <c r="H175" s="16" t="str">
        <f t="shared" si="41"/>
        <v>C135</v>
      </c>
      <c r="I175" s="20"/>
      <c r="J175" s="58" t="s">
        <v>357</v>
      </c>
      <c r="K175" s="13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46.5" customHeight="1">
      <c r="A176" s="15">
        <f t="shared" si="39"/>
        <v>175</v>
      </c>
      <c r="B176" s="16" t="str">
        <f t="shared" si="40"/>
        <v>C175</v>
      </c>
      <c r="C176" s="17" t="s">
        <v>518</v>
      </c>
      <c r="D176" s="18" t="s">
        <v>519</v>
      </c>
      <c r="E176" s="16" t="s">
        <v>23</v>
      </c>
      <c r="F176" s="16" t="s">
        <v>319</v>
      </c>
      <c r="G176" s="19" t="s">
        <v>29</v>
      </c>
      <c r="H176" s="16" t="str">
        <f t="shared" si="41"/>
        <v>C135</v>
      </c>
      <c r="I176" s="20" t="s">
        <v>520</v>
      </c>
      <c r="J176" s="15" t="s">
        <v>490</v>
      </c>
      <c r="K176" s="21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68.25" customHeight="1">
      <c r="A177" s="15">
        <f t="shared" si="39"/>
        <v>176</v>
      </c>
      <c r="B177" s="16" t="str">
        <f t="shared" si="40"/>
        <v>C176</v>
      </c>
      <c r="C177" s="17" t="s">
        <v>521</v>
      </c>
      <c r="D177" s="22" t="s">
        <v>522</v>
      </c>
      <c r="E177" s="16" t="s">
        <v>23</v>
      </c>
      <c r="F177" s="16" t="s">
        <v>254</v>
      </c>
      <c r="G177" s="19" t="s">
        <v>15</v>
      </c>
      <c r="H177" s="16" t="str">
        <f t="shared" si="41"/>
        <v>C135</v>
      </c>
      <c r="I177" s="20" t="s">
        <v>523</v>
      </c>
      <c r="J177" s="15" t="s">
        <v>16</v>
      </c>
      <c r="K177" s="21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15">
        <f t="shared" si="39"/>
        <v>177</v>
      </c>
      <c r="B178" s="16" t="str">
        <f t="shared" si="40"/>
        <v>C177</v>
      </c>
      <c r="C178" s="17" t="s">
        <v>524</v>
      </c>
      <c r="D178" s="22" t="s">
        <v>525</v>
      </c>
      <c r="E178" s="16" t="s">
        <v>23</v>
      </c>
      <c r="F178" s="16" t="s">
        <v>254</v>
      </c>
      <c r="G178" s="19" t="s">
        <v>29</v>
      </c>
      <c r="H178" s="16" t="str">
        <f t="shared" si="41"/>
        <v>C135</v>
      </c>
      <c r="I178" s="20" t="s">
        <v>525</v>
      </c>
      <c r="J178" s="15" t="s">
        <v>16</v>
      </c>
      <c r="K178" s="21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15">
        <f t="shared" si="39"/>
        <v>178</v>
      </c>
      <c r="B179" s="16" t="str">
        <f t="shared" si="40"/>
        <v>C178</v>
      </c>
      <c r="C179" s="17" t="s">
        <v>526</v>
      </c>
      <c r="D179" s="22" t="s">
        <v>527</v>
      </c>
      <c r="E179" s="16" t="s">
        <v>23</v>
      </c>
      <c r="F179" s="16" t="s">
        <v>254</v>
      </c>
      <c r="G179" s="19" t="s">
        <v>15</v>
      </c>
      <c r="H179" s="16" t="str">
        <f t="shared" si="41"/>
        <v>C135</v>
      </c>
      <c r="I179" s="20" t="s">
        <v>527</v>
      </c>
      <c r="J179" s="15" t="s">
        <v>16</v>
      </c>
      <c r="K179" s="13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15">
        <v>177.0</v>
      </c>
      <c r="B180" s="16" t="s">
        <v>528</v>
      </c>
      <c r="C180" s="17" t="s">
        <v>529</v>
      </c>
      <c r="D180" s="22" t="s">
        <v>530</v>
      </c>
      <c r="E180" s="16" t="s">
        <v>23</v>
      </c>
      <c r="F180" s="16" t="s">
        <v>230</v>
      </c>
      <c r="G180" s="19" t="s">
        <v>29</v>
      </c>
      <c r="H180" s="16" t="s">
        <v>439</v>
      </c>
      <c r="I180" s="20"/>
      <c r="J180" s="15"/>
      <c r="K180" s="13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15">
        <f t="shared" ref="A181:A191" si="42">ROW()-1</f>
        <v>180</v>
      </c>
      <c r="B181" s="16" t="str">
        <f t="shared" ref="B181:B190" si="43">CONCATENATE("C",IF(A181&lt;=9,0,),A181)</f>
        <v>C180</v>
      </c>
      <c r="C181" s="17" t="s">
        <v>531</v>
      </c>
      <c r="D181" s="22" t="s">
        <v>532</v>
      </c>
      <c r="E181" s="16" t="s">
        <v>23</v>
      </c>
      <c r="F181" s="16" t="s">
        <v>319</v>
      </c>
      <c r="G181" s="19" t="s">
        <v>29</v>
      </c>
      <c r="H181" s="16" t="str">
        <f t="shared" ref="H181:H190" si="44">$B$136</f>
        <v>C135</v>
      </c>
      <c r="I181" s="12" t="s">
        <v>533</v>
      </c>
      <c r="J181" s="15" t="s">
        <v>16</v>
      </c>
      <c r="K181" s="21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36.75" customHeight="1">
      <c r="A182" s="15">
        <f t="shared" si="42"/>
        <v>181</v>
      </c>
      <c r="B182" s="16" t="str">
        <f t="shared" si="43"/>
        <v>C181</v>
      </c>
      <c r="C182" s="17" t="s">
        <v>534</v>
      </c>
      <c r="D182" s="18" t="s">
        <v>535</v>
      </c>
      <c r="E182" s="16" t="s">
        <v>23</v>
      </c>
      <c r="F182" s="16" t="s">
        <v>536</v>
      </c>
      <c r="G182" s="19" t="s">
        <v>29</v>
      </c>
      <c r="H182" s="16" t="str">
        <f t="shared" si="44"/>
        <v>C135</v>
      </c>
      <c r="I182" s="21" t="s">
        <v>537</v>
      </c>
      <c r="J182" s="15" t="s">
        <v>16</v>
      </c>
      <c r="K182" s="24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15">
        <f t="shared" si="42"/>
        <v>182</v>
      </c>
      <c r="B183" s="16" t="str">
        <f t="shared" si="43"/>
        <v>C182</v>
      </c>
      <c r="C183" s="17" t="s">
        <v>538</v>
      </c>
      <c r="D183" s="18" t="s">
        <v>539</v>
      </c>
      <c r="E183" s="16" t="s">
        <v>23</v>
      </c>
      <c r="F183" s="16" t="s">
        <v>536</v>
      </c>
      <c r="G183" s="19" t="s">
        <v>29</v>
      </c>
      <c r="H183" s="16" t="str">
        <f t="shared" si="44"/>
        <v>C135</v>
      </c>
      <c r="I183" s="21" t="s">
        <v>540</v>
      </c>
      <c r="J183" s="15" t="s">
        <v>16</v>
      </c>
      <c r="K183" s="13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15">
        <f t="shared" si="42"/>
        <v>183</v>
      </c>
      <c r="B184" s="16" t="str">
        <f t="shared" si="43"/>
        <v>C183</v>
      </c>
      <c r="C184" s="17" t="s">
        <v>541</v>
      </c>
      <c r="D184" s="18" t="s">
        <v>542</v>
      </c>
      <c r="E184" s="16" t="s">
        <v>23</v>
      </c>
      <c r="F184" s="16" t="s">
        <v>254</v>
      </c>
      <c r="G184" s="19" t="s">
        <v>29</v>
      </c>
      <c r="H184" s="16" t="str">
        <f t="shared" si="44"/>
        <v>C135</v>
      </c>
      <c r="I184" s="20" t="s">
        <v>418</v>
      </c>
      <c r="J184" s="15" t="s">
        <v>16</v>
      </c>
      <c r="K184" s="21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15">
        <f t="shared" si="42"/>
        <v>184</v>
      </c>
      <c r="B185" s="16" t="str">
        <f t="shared" si="43"/>
        <v>C184</v>
      </c>
      <c r="C185" s="17" t="s">
        <v>543</v>
      </c>
      <c r="D185" s="18" t="s">
        <v>544</v>
      </c>
      <c r="E185" s="16" t="s">
        <v>23</v>
      </c>
      <c r="F185" s="16" t="s">
        <v>254</v>
      </c>
      <c r="G185" s="19" t="s">
        <v>29</v>
      </c>
      <c r="H185" s="16" t="str">
        <f t="shared" si="44"/>
        <v>C135</v>
      </c>
      <c r="I185" s="20" t="s">
        <v>418</v>
      </c>
      <c r="J185" s="15" t="s">
        <v>16</v>
      </c>
      <c r="K185" s="21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15">
        <f t="shared" si="42"/>
        <v>185</v>
      </c>
      <c r="B186" s="16" t="str">
        <f t="shared" si="43"/>
        <v>C185</v>
      </c>
      <c r="C186" s="57" t="s">
        <v>545</v>
      </c>
      <c r="D186" s="53" t="s">
        <v>546</v>
      </c>
      <c r="E186" s="54" t="s">
        <v>23</v>
      </c>
      <c r="F186" s="54" t="s">
        <v>46</v>
      </c>
      <c r="G186" s="55" t="s">
        <v>29</v>
      </c>
      <c r="H186" s="16" t="str">
        <f t="shared" si="44"/>
        <v>C135</v>
      </c>
      <c r="I186" s="20" t="s">
        <v>547</v>
      </c>
      <c r="J186" s="58" t="s">
        <v>548</v>
      </c>
      <c r="K186" s="21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15">
        <f t="shared" si="42"/>
        <v>186</v>
      </c>
      <c r="B187" s="16" t="str">
        <f t="shared" si="43"/>
        <v>C186</v>
      </c>
      <c r="C187" s="57" t="s">
        <v>549</v>
      </c>
      <c r="D187" s="53" t="s">
        <v>550</v>
      </c>
      <c r="E187" s="54" t="s">
        <v>23</v>
      </c>
      <c r="F187" s="54" t="s">
        <v>254</v>
      </c>
      <c r="G187" s="55" t="s">
        <v>29</v>
      </c>
      <c r="H187" s="16" t="str">
        <f t="shared" si="44"/>
        <v>C135</v>
      </c>
      <c r="I187" s="20" t="s">
        <v>551</v>
      </c>
      <c r="J187" s="58" t="s">
        <v>552</v>
      </c>
      <c r="K187" s="21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15">
        <f t="shared" si="42"/>
        <v>187</v>
      </c>
      <c r="B188" s="16" t="str">
        <f t="shared" si="43"/>
        <v>C187</v>
      </c>
      <c r="C188" s="57" t="s">
        <v>553</v>
      </c>
      <c r="D188" s="53" t="s">
        <v>554</v>
      </c>
      <c r="E188" s="54" t="s">
        <v>23</v>
      </c>
      <c r="F188" s="54" t="s">
        <v>260</v>
      </c>
      <c r="G188" s="55" t="s">
        <v>29</v>
      </c>
      <c r="H188" s="16" t="str">
        <f t="shared" si="44"/>
        <v>C135</v>
      </c>
      <c r="I188" s="20" t="s">
        <v>551</v>
      </c>
      <c r="J188" s="58" t="s">
        <v>552</v>
      </c>
      <c r="K188" s="21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15">
        <f t="shared" si="42"/>
        <v>188</v>
      </c>
      <c r="B189" s="16" t="str">
        <f t="shared" si="43"/>
        <v>C188</v>
      </c>
      <c r="C189" s="57" t="s">
        <v>555</v>
      </c>
      <c r="D189" s="53" t="s">
        <v>556</v>
      </c>
      <c r="E189" s="54" t="s">
        <v>23</v>
      </c>
      <c r="F189" s="16" t="s">
        <v>557</v>
      </c>
      <c r="G189" s="55" t="s">
        <v>29</v>
      </c>
      <c r="H189" s="16" t="str">
        <f t="shared" si="44"/>
        <v>C135</v>
      </c>
      <c r="I189" s="20" t="s">
        <v>551</v>
      </c>
      <c r="J189" s="58" t="s">
        <v>552</v>
      </c>
      <c r="K189" s="21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15">
        <f t="shared" si="42"/>
        <v>189</v>
      </c>
      <c r="B190" s="16" t="str">
        <f t="shared" si="43"/>
        <v>C189</v>
      </c>
      <c r="C190" s="57" t="s">
        <v>558</v>
      </c>
      <c r="D190" s="53" t="s">
        <v>559</v>
      </c>
      <c r="E190" s="54" t="s">
        <v>23</v>
      </c>
      <c r="F190" s="16" t="s">
        <v>158</v>
      </c>
      <c r="G190" s="55" t="s">
        <v>29</v>
      </c>
      <c r="H190" s="16" t="str">
        <f t="shared" si="44"/>
        <v>C135</v>
      </c>
      <c r="I190" s="20" t="s">
        <v>560</v>
      </c>
      <c r="J190" s="58" t="s">
        <v>552</v>
      </c>
      <c r="K190" s="13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15">
        <f t="shared" si="42"/>
        <v>190</v>
      </c>
      <c r="B191" s="16" t="s">
        <v>561</v>
      </c>
      <c r="C191" s="66" t="s">
        <v>562</v>
      </c>
      <c r="D191" s="53" t="s">
        <v>563</v>
      </c>
      <c r="E191" s="54" t="s">
        <v>23</v>
      </c>
      <c r="F191" s="16" t="s">
        <v>230</v>
      </c>
      <c r="G191" s="55" t="s">
        <v>29</v>
      </c>
      <c r="H191" s="16" t="s">
        <v>439</v>
      </c>
      <c r="I191" s="20"/>
      <c r="J191" s="58"/>
      <c r="K191" s="13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15">
        <v>191.0</v>
      </c>
      <c r="B192" s="16" t="s">
        <v>564</v>
      </c>
      <c r="C192" s="66" t="s">
        <v>565</v>
      </c>
      <c r="D192" s="53" t="s">
        <v>566</v>
      </c>
      <c r="E192" s="54" t="s">
        <v>23</v>
      </c>
      <c r="F192" s="16" t="s">
        <v>230</v>
      </c>
      <c r="G192" s="55" t="s">
        <v>29</v>
      </c>
      <c r="H192" s="16" t="s">
        <v>439</v>
      </c>
      <c r="I192" s="20"/>
      <c r="J192" s="58"/>
      <c r="K192" s="13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15">
        <v>192.0</v>
      </c>
      <c r="B193" s="16" t="s">
        <v>567</v>
      </c>
      <c r="C193" s="66" t="s">
        <v>568</v>
      </c>
      <c r="D193" s="53" t="s">
        <v>569</v>
      </c>
      <c r="E193" s="54" t="s">
        <v>23</v>
      </c>
      <c r="F193" s="16" t="s">
        <v>570</v>
      </c>
      <c r="G193" s="55" t="s">
        <v>29</v>
      </c>
      <c r="H193" s="16" t="s">
        <v>439</v>
      </c>
      <c r="I193" s="20"/>
      <c r="J193" s="58"/>
      <c r="K193" s="13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15">
        <v>193.0</v>
      </c>
      <c r="B194" s="16" t="str">
        <f>CONCATENATE("C",IF(A194&lt;=9,0,),A194)</f>
        <v>C193</v>
      </c>
      <c r="C194" s="57" t="s">
        <v>571</v>
      </c>
      <c r="D194" s="53" t="s">
        <v>572</v>
      </c>
      <c r="E194" s="54" t="s">
        <v>23</v>
      </c>
      <c r="F194" s="54" t="s">
        <v>254</v>
      </c>
      <c r="G194" s="55" t="s">
        <v>29</v>
      </c>
      <c r="H194" s="16" t="str">
        <f>$B$136</f>
        <v>C135</v>
      </c>
      <c r="I194" s="20"/>
      <c r="J194" s="58" t="s">
        <v>490</v>
      </c>
      <c r="K194" s="13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15">
        <v>194.0</v>
      </c>
      <c r="B195" s="16" t="s">
        <v>573</v>
      </c>
      <c r="C195" s="66" t="s">
        <v>574</v>
      </c>
      <c r="D195" s="53" t="s">
        <v>575</v>
      </c>
      <c r="E195" s="54" t="s">
        <v>23</v>
      </c>
      <c r="F195" s="54" t="s">
        <v>570</v>
      </c>
      <c r="G195" s="55" t="s">
        <v>29</v>
      </c>
      <c r="H195" s="16" t="s">
        <v>439</v>
      </c>
      <c r="I195" s="20"/>
      <c r="J195" s="58"/>
      <c r="K195" s="13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5.75" customHeight="1">
      <c r="A196" s="15">
        <v>195.0</v>
      </c>
      <c r="B196" s="16" t="str">
        <f>CONCATENATE("C",IF(A196&lt;=9,0,),A196)</f>
        <v>C195</v>
      </c>
      <c r="C196" s="57" t="s">
        <v>576</v>
      </c>
      <c r="D196" s="53" t="s">
        <v>577</v>
      </c>
      <c r="E196" s="54" t="s">
        <v>23</v>
      </c>
      <c r="F196" s="54" t="s">
        <v>578</v>
      </c>
      <c r="G196" s="55" t="s">
        <v>29</v>
      </c>
      <c r="H196" s="16" t="s">
        <v>579</v>
      </c>
      <c r="I196" s="20" t="s">
        <v>580</v>
      </c>
      <c r="J196" s="58" t="s">
        <v>581</v>
      </c>
      <c r="K196" s="13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08.75" customHeight="1">
      <c r="A197" s="59">
        <v>196.0</v>
      </c>
      <c r="B197" s="60" t="s">
        <v>582</v>
      </c>
      <c r="C197" s="67" t="s">
        <v>583</v>
      </c>
      <c r="D197" s="68" t="s">
        <v>584</v>
      </c>
      <c r="E197" s="69" t="s">
        <v>23</v>
      </c>
      <c r="F197" s="69" t="s">
        <v>89</v>
      </c>
      <c r="G197" s="70" t="s">
        <v>29</v>
      </c>
      <c r="H197" s="60" t="s">
        <v>439</v>
      </c>
      <c r="I197" s="71" t="s">
        <v>585</v>
      </c>
      <c r="J197" s="72"/>
      <c r="K197" s="73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</row>
    <row r="198" ht="135.75" customHeight="1">
      <c r="A198" s="59">
        <v>197.0</v>
      </c>
      <c r="B198" s="60" t="s">
        <v>586</v>
      </c>
      <c r="C198" s="67" t="s">
        <v>587</v>
      </c>
      <c r="D198" s="68" t="s">
        <v>588</v>
      </c>
      <c r="E198" s="69" t="s">
        <v>23</v>
      </c>
      <c r="F198" s="69" t="s">
        <v>89</v>
      </c>
      <c r="G198" s="70" t="s">
        <v>29</v>
      </c>
      <c r="H198" s="60" t="s">
        <v>439</v>
      </c>
      <c r="I198" s="71" t="s">
        <v>589</v>
      </c>
      <c r="J198" s="72"/>
      <c r="K198" s="73"/>
      <c r="L198" s="74"/>
      <c r="M198" s="74"/>
      <c r="N198" s="74"/>
      <c r="O198" s="74"/>
      <c r="P198" s="74"/>
      <c r="Q198" s="74"/>
      <c r="R198" s="74"/>
      <c r="S198" s="74"/>
      <c r="T198" s="74"/>
      <c r="U198" s="74"/>
      <c r="V198" s="74"/>
      <c r="W198" s="74"/>
      <c r="X198" s="74"/>
      <c r="Y198" s="74"/>
      <c r="Z198" s="74"/>
    </row>
    <row r="199" ht="56.25" customHeight="1">
      <c r="A199" s="15">
        <v>198.0</v>
      </c>
      <c r="B199" s="60" t="s">
        <v>590</v>
      </c>
      <c r="C199" s="67" t="s">
        <v>591</v>
      </c>
      <c r="D199" s="68" t="s">
        <v>592</v>
      </c>
      <c r="E199" s="69" t="s">
        <v>23</v>
      </c>
      <c r="F199" s="69" t="s">
        <v>593</v>
      </c>
      <c r="G199" s="70" t="s">
        <v>29</v>
      </c>
      <c r="H199" s="60" t="s">
        <v>439</v>
      </c>
      <c r="I199" s="75" t="s">
        <v>594</v>
      </c>
      <c r="J199" s="58"/>
      <c r="K199" s="13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5.75" customHeight="1">
      <c r="A200" s="15">
        <v>199.0</v>
      </c>
      <c r="B200" s="60" t="s">
        <v>595</v>
      </c>
      <c r="C200" s="67" t="s">
        <v>596</v>
      </c>
      <c r="D200" s="68" t="s">
        <v>597</v>
      </c>
      <c r="E200" s="69" t="s">
        <v>23</v>
      </c>
      <c r="F200" s="69" t="s">
        <v>230</v>
      </c>
      <c r="G200" s="70" t="s">
        <v>29</v>
      </c>
      <c r="H200" s="60" t="s">
        <v>439</v>
      </c>
      <c r="I200" s="65" t="s">
        <v>183</v>
      </c>
      <c r="J200" s="58"/>
      <c r="K200" s="13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219.0" customHeight="1">
      <c r="A201" s="15">
        <v>200.0</v>
      </c>
      <c r="B201" s="60" t="s">
        <v>598</v>
      </c>
      <c r="C201" s="67" t="s">
        <v>599</v>
      </c>
      <c r="D201" s="68" t="s">
        <v>600</v>
      </c>
      <c r="E201" s="69" t="s">
        <v>23</v>
      </c>
      <c r="F201" s="69" t="s">
        <v>80</v>
      </c>
      <c r="G201" s="70" t="s">
        <v>29</v>
      </c>
      <c r="H201" s="60" t="s">
        <v>439</v>
      </c>
      <c r="I201" s="71" t="s">
        <v>601</v>
      </c>
      <c r="J201" s="72"/>
      <c r="K201" s="73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369.0" customHeight="1">
      <c r="A202" s="15">
        <v>201.0</v>
      </c>
      <c r="B202" s="60" t="s">
        <v>602</v>
      </c>
      <c r="C202" s="67" t="s">
        <v>603</v>
      </c>
      <c r="D202" s="68" t="s">
        <v>604</v>
      </c>
      <c r="E202" s="69" t="s">
        <v>23</v>
      </c>
      <c r="F202" s="69" t="s">
        <v>80</v>
      </c>
      <c r="G202" s="70" t="s">
        <v>29</v>
      </c>
      <c r="H202" s="60" t="s">
        <v>439</v>
      </c>
      <c r="I202" s="71" t="s">
        <v>605</v>
      </c>
      <c r="J202" s="72"/>
      <c r="K202" s="73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04.25" customHeight="1">
      <c r="A203" s="15">
        <v>202.0</v>
      </c>
      <c r="B203" s="60" t="s">
        <v>606</v>
      </c>
      <c r="C203" s="67" t="s">
        <v>607</v>
      </c>
      <c r="D203" s="68" t="s">
        <v>608</v>
      </c>
      <c r="E203" s="69" t="s">
        <v>23</v>
      </c>
      <c r="F203" s="69" t="s">
        <v>89</v>
      </c>
      <c r="G203" s="70" t="s">
        <v>29</v>
      </c>
      <c r="H203" s="60" t="s">
        <v>439</v>
      </c>
      <c r="I203" s="71" t="s">
        <v>609</v>
      </c>
      <c r="J203" s="72"/>
      <c r="K203" s="73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32.25" customHeight="1">
      <c r="A204" s="15">
        <v>203.0</v>
      </c>
      <c r="B204" s="60" t="s">
        <v>610</v>
      </c>
      <c r="C204" s="67" t="s">
        <v>611</v>
      </c>
      <c r="D204" s="68" t="s">
        <v>612</v>
      </c>
      <c r="E204" s="69" t="s">
        <v>23</v>
      </c>
      <c r="F204" s="69" t="s">
        <v>613</v>
      </c>
      <c r="G204" s="70" t="s">
        <v>29</v>
      </c>
      <c r="H204" s="60" t="s">
        <v>439</v>
      </c>
      <c r="I204" s="65" t="s">
        <v>183</v>
      </c>
      <c r="J204" s="72"/>
      <c r="K204" s="73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5.75" customHeight="1">
      <c r="A205" s="15">
        <v>204.0</v>
      </c>
      <c r="B205" s="60" t="s">
        <v>614</v>
      </c>
      <c r="C205" s="67" t="s">
        <v>615</v>
      </c>
      <c r="D205" s="68" t="s">
        <v>616</v>
      </c>
      <c r="E205" s="69" t="s">
        <v>23</v>
      </c>
      <c r="F205" s="69" t="s">
        <v>613</v>
      </c>
      <c r="G205" s="70" t="s">
        <v>29</v>
      </c>
      <c r="H205" s="60" t="s">
        <v>439</v>
      </c>
      <c r="I205" s="65" t="s">
        <v>183</v>
      </c>
      <c r="J205" s="72"/>
      <c r="K205" s="73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14.0" customHeight="1">
      <c r="A206" s="15">
        <v>205.0</v>
      </c>
      <c r="B206" s="60" t="s">
        <v>617</v>
      </c>
      <c r="C206" s="67" t="s">
        <v>618</v>
      </c>
      <c r="D206" s="68" t="s">
        <v>619</v>
      </c>
      <c r="E206" s="69" t="s">
        <v>23</v>
      </c>
      <c r="F206" s="69" t="s">
        <v>89</v>
      </c>
      <c r="G206" s="70" t="s">
        <v>29</v>
      </c>
      <c r="H206" s="60" t="s">
        <v>439</v>
      </c>
      <c r="I206" s="71" t="s">
        <v>620</v>
      </c>
      <c r="J206" s="72"/>
      <c r="K206" s="73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5.75" customHeight="1">
      <c r="A207" s="15">
        <v>206.0</v>
      </c>
      <c r="B207" s="60" t="s">
        <v>621</v>
      </c>
      <c r="C207" s="67" t="s">
        <v>622</v>
      </c>
      <c r="D207" s="68" t="s">
        <v>623</v>
      </c>
      <c r="E207" s="69" t="s">
        <v>23</v>
      </c>
      <c r="F207" s="69" t="s">
        <v>230</v>
      </c>
      <c r="G207" s="70" t="s">
        <v>29</v>
      </c>
      <c r="H207" s="60" t="s">
        <v>439</v>
      </c>
      <c r="I207" s="65" t="s">
        <v>183</v>
      </c>
      <c r="J207" s="72"/>
      <c r="K207" s="73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51.75" customHeight="1">
      <c r="A208" s="15">
        <v>207.0</v>
      </c>
      <c r="B208" s="60" t="s">
        <v>624</v>
      </c>
      <c r="C208" s="67" t="s">
        <v>625</v>
      </c>
      <c r="D208" s="68" t="s">
        <v>626</v>
      </c>
      <c r="E208" s="69" t="s">
        <v>23</v>
      </c>
      <c r="F208" s="69" t="s">
        <v>230</v>
      </c>
      <c r="G208" s="70" t="s">
        <v>29</v>
      </c>
      <c r="H208" s="60" t="s">
        <v>439</v>
      </c>
      <c r="I208" s="65" t="s">
        <v>183</v>
      </c>
      <c r="J208" s="72"/>
      <c r="K208" s="73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41.25" customHeight="1">
      <c r="A209" s="15">
        <v>208.0</v>
      </c>
      <c r="B209" s="60" t="s">
        <v>627</v>
      </c>
      <c r="C209" s="67" t="s">
        <v>628</v>
      </c>
      <c r="D209" s="68" t="s">
        <v>629</v>
      </c>
      <c r="E209" s="69" t="s">
        <v>23</v>
      </c>
      <c r="F209" s="69" t="s">
        <v>438</v>
      </c>
      <c r="G209" s="70" t="s">
        <v>29</v>
      </c>
      <c r="H209" s="60" t="s">
        <v>439</v>
      </c>
      <c r="I209" s="65" t="s">
        <v>183</v>
      </c>
      <c r="J209" s="72"/>
      <c r="K209" s="73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48.75" customHeight="1">
      <c r="A210" s="15">
        <v>209.0</v>
      </c>
      <c r="B210" s="60" t="s">
        <v>630</v>
      </c>
      <c r="C210" s="67" t="s">
        <v>631</v>
      </c>
      <c r="D210" s="68" t="s">
        <v>632</v>
      </c>
      <c r="E210" s="69" t="s">
        <v>23</v>
      </c>
      <c r="F210" s="69" t="s">
        <v>230</v>
      </c>
      <c r="G210" s="70" t="s">
        <v>29</v>
      </c>
      <c r="H210" s="60" t="s">
        <v>439</v>
      </c>
      <c r="I210" s="65" t="s">
        <v>183</v>
      </c>
      <c r="J210" s="72"/>
      <c r="K210" s="73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43.5" customHeight="1">
      <c r="A211" s="15">
        <v>210.0</v>
      </c>
      <c r="B211" s="60" t="s">
        <v>633</v>
      </c>
      <c r="C211" s="67" t="s">
        <v>634</v>
      </c>
      <c r="D211" s="68" t="s">
        <v>635</v>
      </c>
      <c r="E211" s="69" t="s">
        <v>23</v>
      </c>
      <c r="F211" s="69" t="s">
        <v>230</v>
      </c>
      <c r="G211" s="70" t="s">
        <v>29</v>
      </c>
      <c r="H211" s="60" t="s">
        <v>439</v>
      </c>
      <c r="I211" s="65" t="s">
        <v>183</v>
      </c>
      <c r="J211" s="72"/>
      <c r="K211" s="73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5.75" customHeight="1">
      <c r="A212" s="15">
        <v>211.0</v>
      </c>
      <c r="B212" s="60" t="s">
        <v>636</v>
      </c>
      <c r="C212" s="67" t="s">
        <v>637</v>
      </c>
      <c r="D212" s="68" t="s">
        <v>638</v>
      </c>
      <c r="E212" s="69" t="s">
        <v>23</v>
      </c>
      <c r="F212" s="69" t="s">
        <v>438</v>
      </c>
      <c r="G212" s="70" t="s">
        <v>29</v>
      </c>
      <c r="H212" s="60" t="s">
        <v>439</v>
      </c>
      <c r="I212" s="65" t="s">
        <v>183</v>
      </c>
      <c r="J212" s="72"/>
      <c r="K212" s="73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45.0" customHeight="1">
      <c r="A213" s="15">
        <v>212.0</v>
      </c>
      <c r="B213" s="60" t="s">
        <v>639</v>
      </c>
      <c r="C213" s="67" t="s">
        <v>640</v>
      </c>
      <c r="D213" s="68" t="s">
        <v>641</v>
      </c>
      <c r="E213" s="69" t="s">
        <v>23</v>
      </c>
      <c r="F213" s="69" t="s">
        <v>438</v>
      </c>
      <c r="G213" s="70" t="s">
        <v>29</v>
      </c>
      <c r="H213" s="60" t="s">
        <v>439</v>
      </c>
      <c r="I213" s="65" t="s">
        <v>183</v>
      </c>
      <c r="J213" s="72"/>
      <c r="K213" s="73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46.5" customHeight="1">
      <c r="A214" s="15">
        <v>213.0</v>
      </c>
      <c r="B214" s="60" t="s">
        <v>642</v>
      </c>
      <c r="C214" s="67" t="s">
        <v>643</v>
      </c>
      <c r="D214" s="68" t="s">
        <v>644</v>
      </c>
      <c r="E214" s="69" t="s">
        <v>23</v>
      </c>
      <c r="F214" s="69" t="s">
        <v>438</v>
      </c>
      <c r="G214" s="70" t="s">
        <v>29</v>
      </c>
      <c r="H214" s="60" t="s">
        <v>439</v>
      </c>
      <c r="I214" s="65" t="s">
        <v>183</v>
      </c>
      <c r="J214" s="72"/>
      <c r="K214" s="73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46.5" customHeight="1">
      <c r="A215" s="15">
        <v>214.0</v>
      </c>
      <c r="B215" s="60" t="s">
        <v>645</v>
      </c>
      <c r="C215" s="67" t="s">
        <v>646</v>
      </c>
      <c r="D215" s="68" t="s">
        <v>647</v>
      </c>
      <c r="E215" s="69" t="s">
        <v>23</v>
      </c>
      <c r="F215" s="69" t="s">
        <v>438</v>
      </c>
      <c r="G215" s="70" t="s">
        <v>29</v>
      </c>
      <c r="H215" s="60" t="s">
        <v>439</v>
      </c>
      <c r="I215" s="65" t="s">
        <v>183</v>
      </c>
      <c r="J215" s="72"/>
      <c r="K215" s="73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47.25" customHeight="1">
      <c r="A216" s="7">
        <f t="shared" ref="A216:A229" si="45">ROW()-1</f>
        <v>215</v>
      </c>
      <c r="B216" s="8" t="str">
        <f t="shared" ref="B216:B229" si="46">CONCATENATE("C",IF(A216&lt;=9,0,),A216)</f>
        <v>C215</v>
      </c>
      <c r="C216" s="25" t="s">
        <v>648</v>
      </c>
      <c r="D216" s="10" t="s">
        <v>649</v>
      </c>
      <c r="E216" s="8" t="s">
        <v>13</v>
      </c>
      <c r="F216" s="8" t="s">
        <v>14</v>
      </c>
      <c r="G216" s="11" t="s">
        <v>29</v>
      </c>
      <c r="H216" s="8" t="str">
        <f>$B135</f>
        <v>C134</v>
      </c>
      <c r="I216" s="20" t="s">
        <v>649</v>
      </c>
      <c r="J216" s="7" t="s">
        <v>16</v>
      </c>
      <c r="K216" s="21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ht="12.75" customHeight="1">
      <c r="A217" s="15">
        <f t="shared" si="45"/>
        <v>216</v>
      </c>
      <c r="B217" s="16" t="str">
        <f t="shared" si="46"/>
        <v>C216</v>
      </c>
      <c r="C217" s="17" t="s">
        <v>650</v>
      </c>
      <c r="D217" s="22" t="s">
        <v>651</v>
      </c>
      <c r="E217" s="16" t="s">
        <v>23</v>
      </c>
      <c r="F217" s="16" t="s">
        <v>652</v>
      </c>
      <c r="G217" s="19" t="s">
        <v>15</v>
      </c>
      <c r="H217" s="16" t="str">
        <f t="shared" ref="H217:H225" si="47">$B$216</f>
        <v>C215</v>
      </c>
      <c r="I217" s="20" t="s">
        <v>653</v>
      </c>
      <c r="J217" s="15" t="s">
        <v>16</v>
      </c>
      <c r="K217" s="24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15">
        <f t="shared" si="45"/>
        <v>217</v>
      </c>
      <c r="B218" s="16" t="str">
        <f t="shared" si="46"/>
        <v>C217</v>
      </c>
      <c r="C218" s="17" t="s">
        <v>654</v>
      </c>
      <c r="D218" s="22" t="s">
        <v>655</v>
      </c>
      <c r="E218" s="16" t="s">
        <v>23</v>
      </c>
      <c r="F218" s="16" t="s">
        <v>158</v>
      </c>
      <c r="G218" s="19" t="s">
        <v>15</v>
      </c>
      <c r="H218" s="16" t="str">
        <f t="shared" si="47"/>
        <v>C215</v>
      </c>
      <c r="I218" s="20"/>
      <c r="J218" s="15" t="s">
        <v>16</v>
      </c>
      <c r="K218" s="13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15">
        <f t="shared" si="45"/>
        <v>218</v>
      </c>
      <c r="B219" s="16" t="str">
        <f t="shared" si="46"/>
        <v>C218</v>
      </c>
      <c r="C219" s="17" t="s">
        <v>656</v>
      </c>
      <c r="D219" s="22" t="s">
        <v>192</v>
      </c>
      <c r="E219" s="16" t="s">
        <v>23</v>
      </c>
      <c r="F219" s="16" t="s">
        <v>557</v>
      </c>
      <c r="G219" s="19" t="s">
        <v>15</v>
      </c>
      <c r="H219" s="16" t="str">
        <f t="shared" si="47"/>
        <v>C215</v>
      </c>
      <c r="I219" s="20"/>
      <c r="J219" s="15" t="s">
        <v>16</v>
      </c>
      <c r="K219" s="21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15">
        <f t="shared" si="45"/>
        <v>219</v>
      </c>
      <c r="B220" s="16" t="str">
        <f t="shared" si="46"/>
        <v>C219</v>
      </c>
      <c r="C220" s="17" t="s">
        <v>657</v>
      </c>
      <c r="D220" s="22" t="s">
        <v>194</v>
      </c>
      <c r="E220" s="16" t="s">
        <v>23</v>
      </c>
      <c r="F220" s="16" t="s">
        <v>658</v>
      </c>
      <c r="G220" s="19" t="s">
        <v>15</v>
      </c>
      <c r="H220" s="16" t="str">
        <f t="shared" si="47"/>
        <v>C215</v>
      </c>
      <c r="I220" s="20"/>
      <c r="J220" s="15" t="s">
        <v>16</v>
      </c>
      <c r="K220" s="21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15">
        <f t="shared" si="45"/>
        <v>220</v>
      </c>
      <c r="B221" s="16" t="str">
        <f t="shared" si="46"/>
        <v>C220</v>
      </c>
      <c r="C221" s="17" t="s">
        <v>659</v>
      </c>
      <c r="D221" s="22" t="s">
        <v>196</v>
      </c>
      <c r="E221" s="16" t="s">
        <v>23</v>
      </c>
      <c r="F221" s="16" t="s">
        <v>658</v>
      </c>
      <c r="G221" s="19" t="s">
        <v>15</v>
      </c>
      <c r="H221" s="16" t="str">
        <f t="shared" si="47"/>
        <v>C215</v>
      </c>
      <c r="I221" s="20"/>
      <c r="J221" s="15" t="s">
        <v>16</v>
      </c>
      <c r="K221" s="21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2.75" customHeight="1">
      <c r="A222" s="15">
        <f t="shared" si="45"/>
        <v>221</v>
      </c>
      <c r="B222" s="16" t="str">
        <f t="shared" si="46"/>
        <v>C221</v>
      </c>
      <c r="C222" s="17" t="s">
        <v>660</v>
      </c>
      <c r="D222" s="22" t="s">
        <v>661</v>
      </c>
      <c r="E222" s="16" t="s">
        <v>23</v>
      </c>
      <c r="F222" s="16" t="s">
        <v>158</v>
      </c>
      <c r="G222" s="19" t="s">
        <v>15</v>
      </c>
      <c r="H222" s="16" t="str">
        <f t="shared" si="47"/>
        <v>C215</v>
      </c>
      <c r="I222" s="20"/>
      <c r="J222" s="15" t="s">
        <v>16</v>
      </c>
      <c r="K222" s="21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2.75" customHeight="1">
      <c r="A223" s="15">
        <f t="shared" si="45"/>
        <v>222</v>
      </c>
      <c r="B223" s="16" t="str">
        <f t="shared" si="46"/>
        <v>C222</v>
      </c>
      <c r="C223" s="17" t="s">
        <v>662</v>
      </c>
      <c r="D223" s="22" t="s">
        <v>663</v>
      </c>
      <c r="E223" s="16" t="s">
        <v>23</v>
      </c>
      <c r="F223" s="16" t="s">
        <v>294</v>
      </c>
      <c r="G223" s="19" t="s">
        <v>15</v>
      </c>
      <c r="H223" s="16" t="str">
        <f t="shared" si="47"/>
        <v>C215</v>
      </c>
      <c r="I223" s="48" t="s">
        <v>200</v>
      </c>
      <c r="J223" s="15" t="s">
        <v>16</v>
      </c>
      <c r="K223" s="21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2.75" customHeight="1">
      <c r="A224" s="15">
        <f t="shared" si="45"/>
        <v>223</v>
      </c>
      <c r="B224" s="16" t="str">
        <f t="shared" si="46"/>
        <v>C223</v>
      </c>
      <c r="C224" s="17" t="s">
        <v>664</v>
      </c>
      <c r="D224" s="22" t="s">
        <v>205</v>
      </c>
      <c r="E224" s="16" t="s">
        <v>23</v>
      </c>
      <c r="F224" s="16" t="s">
        <v>408</v>
      </c>
      <c r="G224" s="19" t="s">
        <v>15</v>
      </c>
      <c r="H224" s="16" t="str">
        <f t="shared" si="47"/>
        <v>C215</v>
      </c>
      <c r="I224" s="20"/>
      <c r="J224" s="15" t="s">
        <v>16</v>
      </c>
      <c r="K224" s="21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2.75" customHeight="1">
      <c r="A225" s="15">
        <f t="shared" si="45"/>
        <v>224</v>
      </c>
      <c r="B225" s="16" t="str">
        <f t="shared" si="46"/>
        <v>C224</v>
      </c>
      <c r="C225" s="17" t="s">
        <v>665</v>
      </c>
      <c r="D225" s="22" t="s">
        <v>666</v>
      </c>
      <c r="E225" s="16" t="s">
        <v>23</v>
      </c>
      <c r="F225" s="16" t="s">
        <v>667</v>
      </c>
      <c r="G225" s="19" t="s">
        <v>15</v>
      </c>
      <c r="H225" s="16" t="str">
        <f t="shared" si="47"/>
        <v>C215</v>
      </c>
      <c r="I225" s="20"/>
      <c r="J225" s="15" t="s">
        <v>16</v>
      </c>
      <c r="K225" s="13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2.75" customHeight="1">
      <c r="A226" s="15">
        <f t="shared" si="45"/>
        <v>225</v>
      </c>
      <c r="B226" s="16" t="str">
        <f t="shared" si="46"/>
        <v>C225</v>
      </c>
      <c r="C226" s="17" t="s">
        <v>668</v>
      </c>
      <c r="D226" s="22" t="s">
        <v>279</v>
      </c>
      <c r="E226" s="16" t="s">
        <v>23</v>
      </c>
      <c r="F226" s="16" t="s">
        <v>251</v>
      </c>
      <c r="G226" s="19" t="s">
        <v>15</v>
      </c>
      <c r="H226" s="16" t="str">
        <f t="shared" ref="H226:H229" si="48">$B$135</f>
        <v>C134</v>
      </c>
      <c r="I226" s="20" t="s">
        <v>669</v>
      </c>
      <c r="J226" s="15" t="s">
        <v>16</v>
      </c>
      <c r="K226" s="21" t="s">
        <v>281</v>
      </c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2.75" customHeight="1">
      <c r="A227" s="15">
        <f t="shared" si="45"/>
        <v>226</v>
      </c>
      <c r="B227" s="16" t="str">
        <f t="shared" si="46"/>
        <v>C226</v>
      </c>
      <c r="C227" s="17" t="s">
        <v>670</v>
      </c>
      <c r="D227" s="22" t="s">
        <v>671</v>
      </c>
      <c r="E227" s="16" t="s">
        <v>23</v>
      </c>
      <c r="F227" s="16" t="s">
        <v>19</v>
      </c>
      <c r="G227" s="19" t="s">
        <v>29</v>
      </c>
      <c r="H227" s="16" t="str">
        <f t="shared" si="48"/>
        <v>C134</v>
      </c>
      <c r="I227" s="20" t="s">
        <v>671</v>
      </c>
      <c r="J227" s="15" t="s">
        <v>16</v>
      </c>
      <c r="K227" s="24" t="s">
        <v>243</v>
      </c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04.25" customHeight="1">
      <c r="A228" s="15">
        <f t="shared" si="45"/>
        <v>227</v>
      </c>
      <c r="B228" s="16" t="str">
        <f t="shared" si="46"/>
        <v>C227</v>
      </c>
      <c r="C228" s="17" t="s">
        <v>672</v>
      </c>
      <c r="D228" s="22" t="s">
        <v>673</v>
      </c>
      <c r="E228" s="16" t="s">
        <v>23</v>
      </c>
      <c r="F228" s="16" t="s">
        <v>652</v>
      </c>
      <c r="G228" s="19" t="s">
        <v>29</v>
      </c>
      <c r="H228" s="16" t="str">
        <f t="shared" si="48"/>
        <v>C134</v>
      </c>
      <c r="I228" s="21" t="s">
        <v>674</v>
      </c>
      <c r="J228" s="15" t="s">
        <v>16</v>
      </c>
      <c r="K228" s="13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3.5" customHeight="1">
      <c r="A229" s="15">
        <f t="shared" si="45"/>
        <v>228</v>
      </c>
      <c r="B229" s="16" t="str">
        <f t="shared" si="46"/>
        <v>C228</v>
      </c>
      <c r="C229" s="17" t="s">
        <v>675</v>
      </c>
      <c r="D229" s="22" t="s">
        <v>676</v>
      </c>
      <c r="E229" s="16" t="s">
        <v>23</v>
      </c>
      <c r="F229" s="16" t="s">
        <v>677</v>
      </c>
      <c r="G229" s="19" t="s">
        <v>29</v>
      </c>
      <c r="H229" s="16" t="str">
        <f t="shared" si="48"/>
        <v>C134</v>
      </c>
      <c r="I229" s="20" t="s">
        <v>678</v>
      </c>
      <c r="J229" s="15" t="s">
        <v>679</v>
      </c>
      <c r="K229" s="13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3.5" customHeight="1">
      <c r="A230" s="15">
        <v>226.0</v>
      </c>
      <c r="B230" s="16" t="s">
        <v>680</v>
      </c>
      <c r="C230" s="76" t="s">
        <v>681</v>
      </c>
      <c r="D230" s="62" t="s">
        <v>682</v>
      </c>
      <c r="E230" s="60" t="s">
        <v>23</v>
      </c>
      <c r="F230" s="60" t="s">
        <v>285</v>
      </c>
      <c r="G230" s="64" t="s">
        <v>29</v>
      </c>
      <c r="H230" s="60" t="s">
        <v>683</v>
      </c>
      <c r="I230" s="71" t="s">
        <v>684</v>
      </c>
      <c r="J230" s="15"/>
      <c r="K230" s="13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2.75" customHeight="1">
      <c r="A231" s="15">
        <f t="shared" ref="A231:A248" si="49">ROW()-1</f>
        <v>230</v>
      </c>
      <c r="B231" s="16" t="str">
        <f t="shared" ref="B231:B248" si="50">CONCATENATE("C",IF(A231&lt;=9,0,),A231)</f>
        <v>C230</v>
      </c>
      <c r="C231" s="17" t="s">
        <v>685</v>
      </c>
      <c r="D231" s="22" t="s">
        <v>245</v>
      </c>
      <c r="E231" s="16" t="s">
        <v>23</v>
      </c>
      <c r="F231" s="16" t="s">
        <v>246</v>
      </c>
      <c r="G231" s="19" t="s">
        <v>15</v>
      </c>
      <c r="H231" s="16" t="str">
        <f t="shared" ref="H231:H248" si="51">$B$135</f>
        <v>C134</v>
      </c>
      <c r="I231" s="12" t="s">
        <v>686</v>
      </c>
      <c r="J231" s="15" t="s">
        <v>16</v>
      </c>
      <c r="K231" s="21" t="s">
        <v>248</v>
      </c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2.75" customHeight="1">
      <c r="A232" s="15">
        <f t="shared" si="49"/>
        <v>231</v>
      </c>
      <c r="B232" s="16" t="str">
        <f t="shared" si="50"/>
        <v>C231</v>
      </c>
      <c r="C232" s="17" t="s">
        <v>687</v>
      </c>
      <c r="D232" s="22" t="s">
        <v>688</v>
      </c>
      <c r="E232" s="16" t="s">
        <v>23</v>
      </c>
      <c r="F232" s="16" t="s">
        <v>223</v>
      </c>
      <c r="G232" s="19" t="s">
        <v>29</v>
      </c>
      <c r="H232" s="16" t="str">
        <f t="shared" si="51"/>
        <v>C134</v>
      </c>
      <c r="I232" s="20" t="s">
        <v>689</v>
      </c>
      <c r="J232" s="15" t="s">
        <v>16</v>
      </c>
      <c r="K232" s="21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2.75" customHeight="1">
      <c r="A233" s="15">
        <f t="shared" si="49"/>
        <v>232</v>
      </c>
      <c r="B233" s="16" t="str">
        <f t="shared" si="50"/>
        <v>C232</v>
      </c>
      <c r="C233" s="17" t="s">
        <v>690</v>
      </c>
      <c r="D233" s="22" t="s">
        <v>691</v>
      </c>
      <c r="E233" s="16" t="s">
        <v>23</v>
      </c>
      <c r="F233" s="16" t="s">
        <v>692</v>
      </c>
      <c r="G233" s="19" t="s">
        <v>15</v>
      </c>
      <c r="H233" s="16" t="str">
        <f t="shared" si="51"/>
        <v>C134</v>
      </c>
      <c r="I233" s="12" t="s">
        <v>693</v>
      </c>
      <c r="J233" s="15" t="s">
        <v>16</v>
      </c>
      <c r="K233" s="21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2.75" customHeight="1">
      <c r="A234" s="15">
        <f t="shared" si="49"/>
        <v>233</v>
      </c>
      <c r="B234" s="16" t="str">
        <f t="shared" si="50"/>
        <v>C233</v>
      </c>
      <c r="C234" s="17" t="s">
        <v>197</v>
      </c>
      <c r="D234" s="22" t="s">
        <v>198</v>
      </c>
      <c r="E234" s="16" t="s">
        <v>23</v>
      </c>
      <c r="F234" s="16" t="s">
        <v>294</v>
      </c>
      <c r="G234" s="19" t="s">
        <v>15</v>
      </c>
      <c r="H234" s="16" t="str">
        <f t="shared" si="51"/>
        <v>C134</v>
      </c>
      <c r="I234" s="77" t="s">
        <v>694</v>
      </c>
      <c r="J234" s="15" t="s">
        <v>16</v>
      </c>
      <c r="K234" s="21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2.75" customHeight="1">
      <c r="A235" s="15">
        <f t="shared" si="49"/>
        <v>234</v>
      </c>
      <c r="B235" s="16" t="str">
        <f t="shared" si="50"/>
        <v>C234</v>
      </c>
      <c r="C235" s="17" t="s">
        <v>695</v>
      </c>
      <c r="D235" s="22" t="s">
        <v>696</v>
      </c>
      <c r="E235" s="16" t="s">
        <v>23</v>
      </c>
      <c r="F235" s="16" t="s">
        <v>254</v>
      </c>
      <c r="G235" s="19" t="s">
        <v>29</v>
      </c>
      <c r="H235" s="16" t="str">
        <f t="shared" si="51"/>
        <v>C134</v>
      </c>
      <c r="I235" s="20" t="s">
        <v>696</v>
      </c>
      <c r="J235" s="15" t="s">
        <v>16</v>
      </c>
      <c r="K235" s="21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2.75" customHeight="1">
      <c r="A236" s="15">
        <f t="shared" si="49"/>
        <v>235</v>
      </c>
      <c r="B236" s="16" t="str">
        <f t="shared" si="50"/>
        <v>C235</v>
      </c>
      <c r="C236" s="17" t="s">
        <v>697</v>
      </c>
      <c r="D236" s="22" t="s">
        <v>698</v>
      </c>
      <c r="E236" s="16" t="s">
        <v>23</v>
      </c>
      <c r="F236" s="16" t="s">
        <v>19</v>
      </c>
      <c r="G236" s="19" t="s">
        <v>29</v>
      </c>
      <c r="H236" s="16" t="str">
        <f t="shared" si="51"/>
        <v>C134</v>
      </c>
      <c r="I236" s="21" t="s">
        <v>699</v>
      </c>
      <c r="J236" s="15" t="s">
        <v>16</v>
      </c>
      <c r="K236" s="21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2.75" customHeight="1">
      <c r="A237" s="15">
        <f t="shared" si="49"/>
        <v>236</v>
      </c>
      <c r="B237" s="16" t="str">
        <f t="shared" si="50"/>
        <v>C236</v>
      </c>
      <c r="C237" s="17" t="s">
        <v>700</v>
      </c>
      <c r="D237" s="22" t="s">
        <v>701</v>
      </c>
      <c r="E237" s="16" t="s">
        <v>23</v>
      </c>
      <c r="F237" s="16" t="s">
        <v>251</v>
      </c>
      <c r="G237" s="19" t="s">
        <v>29</v>
      </c>
      <c r="H237" s="16" t="str">
        <f t="shared" si="51"/>
        <v>C134</v>
      </c>
      <c r="I237" s="20" t="s">
        <v>701</v>
      </c>
      <c r="J237" s="15" t="s">
        <v>16</v>
      </c>
      <c r="K237" s="21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2.75" customHeight="1">
      <c r="A238" s="15">
        <f t="shared" si="49"/>
        <v>237</v>
      </c>
      <c r="B238" s="16" t="str">
        <f t="shared" si="50"/>
        <v>C237</v>
      </c>
      <c r="C238" s="17" t="s">
        <v>702</v>
      </c>
      <c r="D238" s="22" t="s">
        <v>703</v>
      </c>
      <c r="E238" s="16" t="s">
        <v>23</v>
      </c>
      <c r="F238" s="16" t="s">
        <v>80</v>
      </c>
      <c r="G238" s="19" t="s">
        <v>29</v>
      </c>
      <c r="H238" s="16" t="str">
        <f t="shared" si="51"/>
        <v>C134</v>
      </c>
      <c r="I238" s="23" t="s">
        <v>704</v>
      </c>
      <c r="J238" s="15" t="s">
        <v>16</v>
      </c>
      <c r="K238" s="13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2.75" customHeight="1">
      <c r="A239" s="15">
        <f t="shared" si="49"/>
        <v>238</v>
      </c>
      <c r="B239" s="16" t="str">
        <f t="shared" si="50"/>
        <v>C238</v>
      </c>
      <c r="C239" s="17" t="s">
        <v>705</v>
      </c>
      <c r="D239" s="22" t="s">
        <v>706</v>
      </c>
      <c r="E239" s="16" t="s">
        <v>23</v>
      </c>
      <c r="F239" s="16" t="s">
        <v>707</v>
      </c>
      <c r="G239" s="19" t="s">
        <v>29</v>
      </c>
      <c r="H239" s="16" t="str">
        <f t="shared" si="51"/>
        <v>C134</v>
      </c>
      <c r="I239" s="77" t="s">
        <v>295</v>
      </c>
      <c r="J239" s="15" t="s">
        <v>16</v>
      </c>
      <c r="K239" s="21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2.75" customHeight="1">
      <c r="A240" s="15">
        <f t="shared" si="49"/>
        <v>239</v>
      </c>
      <c r="B240" s="16" t="str">
        <f t="shared" si="50"/>
        <v>C239</v>
      </c>
      <c r="C240" s="17" t="s">
        <v>708</v>
      </c>
      <c r="D240" s="22" t="s">
        <v>709</v>
      </c>
      <c r="E240" s="16" t="s">
        <v>23</v>
      </c>
      <c r="F240" s="16" t="s">
        <v>64</v>
      </c>
      <c r="G240" s="19" t="s">
        <v>29</v>
      </c>
      <c r="H240" s="16" t="str">
        <f t="shared" si="51"/>
        <v>C134</v>
      </c>
      <c r="I240" s="20" t="s">
        <v>710</v>
      </c>
      <c r="J240" s="15" t="s">
        <v>16</v>
      </c>
      <c r="K240" s="21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2.75" customHeight="1">
      <c r="A241" s="15">
        <f t="shared" si="49"/>
        <v>240</v>
      </c>
      <c r="B241" s="16" t="str">
        <f t="shared" si="50"/>
        <v>C240</v>
      </c>
      <c r="C241" s="17" t="s">
        <v>711</v>
      </c>
      <c r="D241" s="22" t="s">
        <v>712</v>
      </c>
      <c r="E241" s="16" t="s">
        <v>23</v>
      </c>
      <c r="F241" s="16" t="s">
        <v>158</v>
      </c>
      <c r="G241" s="19" t="s">
        <v>29</v>
      </c>
      <c r="H241" s="16" t="str">
        <f t="shared" si="51"/>
        <v>C134</v>
      </c>
      <c r="I241" s="20" t="s">
        <v>712</v>
      </c>
      <c r="J241" s="15" t="s">
        <v>16</v>
      </c>
      <c r="K241" s="21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2.75" customHeight="1">
      <c r="A242" s="15">
        <f t="shared" si="49"/>
        <v>241</v>
      </c>
      <c r="B242" s="16" t="str">
        <f t="shared" si="50"/>
        <v>C241</v>
      </c>
      <c r="C242" s="17" t="s">
        <v>713</v>
      </c>
      <c r="D242" s="18" t="s">
        <v>714</v>
      </c>
      <c r="E242" s="16" t="s">
        <v>23</v>
      </c>
      <c r="F242" s="16" t="s">
        <v>677</v>
      </c>
      <c r="G242" s="19" t="s">
        <v>29</v>
      </c>
      <c r="H242" s="16" t="str">
        <f t="shared" si="51"/>
        <v>C134</v>
      </c>
      <c r="I242" s="21" t="s">
        <v>715</v>
      </c>
      <c r="J242" s="15" t="s">
        <v>16</v>
      </c>
      <c r="K242" s="24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2.75" customHeight="1">
      <c r="A243" s="15">
        <f t="shared" si="49"/>
        <v>242</v>
      </c>
      <c r="B243" s="16" t="str">
        <f t="shared" si="50"/>
        <v>C242</v>
      </c>
      <c r="C243" s="17" t="s">
        <v>716</v>
      </c>
      <c r="D243" s="18" t="s">
        <v>717</v>
      </c>
      <c r="E243" s="16" t="s">
        <v>23</v>
      </c>
      <c r="F243" s="16" t="s">
        <v>677</v>
      </c>
      <c r="G243" s="19" t="s">
        <v>29</v>
      </c>
      <c r="H243" s="16" t="str">
        <f t="shared" si="51"/>
        <v>C134</v>
      </c>
      <c r="I243" s="21" t="s">
        <v>718</v>
      </c>
      <c r="J243" s="15" t="s">
        <v>16</v>
      </c>
      <c r="K243" s="13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2.75" customHeight="1">
      <c r="A244" s="15">
        <f t="shared" si="49"/>
        <v>243</v>
      </c>
      <c r="B244" s="16" t="str">
        <f t="shared" si="50"/>
        <v>C243</v>
      </c>
      <c r="C244" s="17" t="s">
        <v>719</v>
      </c>
      <c r="D244" s="78" t="s">
        <v>720</v>
      </c>
      <c r="E244" s="16" t="s">
        <v>23</v>
      </c>
      <c r="F244" s="16" t="s">
        <v>658</v>
      </c>
      <c r="G244" s="19" t="s">
        <v>29</v>
      </c>
      <c r="H244" s="16" t="str">
        <f t="shared" si="51"/>
        <v>C134</v>
      </c>
      <c r="I244" s="20" t="s">
        <v>721</v>
      </c>
      <c r="J244" s="15" t="s">
        <v>722</v>
      </c>
      <c r="K244" s="21" t="s">
        <v>723</v>
      </c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56.25" customHeight="1">
      <c r="A245" s="15">
        <f t="shared" si="49"/>
        <v>244</v>
      </c>
      <c r="B245" s="16" t="str">
        <f t="shared" si="50"/>
        <v>C244</v>
      </c>
      <c r="C245" s="17" t="s">
        <v>724</v>
      </c>
      <c r="D245" s="78" t="s">
        <v>725</v>
      </c>
      <c r="E245" s="16" t="s">
        <v>23</v>
      </c>
      <c r="F245" s="16" t="s">
        <v>220</v>
      </c>
      <c r="G245" s="19" t="s">
        <v>29</v>
      </c>
      <c r="H245" s="16" t="str">
        <f t="shared" si="51"/>
        <v>C134</v>
      </c>
      <c r="I245" s="21" t="s">
        <v>726</v>
      </c>
      <c r="J245" s="15" t="s">
        <v>548</v>
      </c>
      <c r="K245" s="21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2.75" customHeight="1">
      <c r="A246" s="15">
        <f t="shared" si="49"/>
        <v>245</v>
      </c>
      <c r="B246" s="16" t="str">
        <f t="shared" si="50"/>
        <v>C245</v>
      </c>
      <c r="C246" s="17" t="s">
        <v>727</v>
      </c>
      <c r="D246" s="78" t="s">
        <v>728</v>
      </c>
      <c r="E246" s="16" t="s">
        <v>23</v>
      </c>
      <c r="F246" s="16" t="s">
        <v>220</v>
      </c>
      <c r="G246" s="19" t="s">
        <v>29</v>
      </c>
      <c r="H246" s="16" t="str">
        <f t="shared" si="51"/>
        <v>C134</v>
      </c>
      <c r="I246" s="21" t="s">
        <v>729</v>
      </c>
      <c r="J246" s="15" t="s">
        <v>427</v>
      </c>
      <c r="K246" s="21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2.75" customHeight="1">
      <c r="A247" s="15">
        <f t="shared" si="49"/>
        <v>246</v>
      </c>
      <c r="B247" s="16" t="str">
        <f t="shared" si="50"/>
        <v>C246</v>
      </c>
      <c r="C247" s="17" t="s">
        <v>730</v>
      </c>
      <c r="D247" s="78" t="s">
        <v>731</v>
      </c>
      <c r="E247" s="16" t="s">
        <v>23</v>
      </c>
      <c r="F247" s="16" t="s">
        <v>46</v>
      </c>
      <c r="G247" s="19" t="s">
        <v>29</v>
      </c>
      <c r="H247" s="16" t="str">
        <f t="shared" si="51"/>
        <v>C134</v>
      </c>
      <c r="I247" s="21" t="s">
        <v>732</v>
      </c>
      <c r="J247" s="15" t="s">
        <v>733</v>
      </c>
      <c r="K247" s="21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2.75" customHeight="1">
      <c r="A248" s="15">
        <f t="shared" si="49"/>
        <v>247</v>
      </c>
      <c r="B248" s="16" t="str">
        <f t="shared" si="50"/>
        <v>C247</v>
      </c>
      <c r="C248" s="17" t="s">
        <v>734</v>
      </c>
      <c r="D248" s="78" t="s">
        <v>735</v>
      </c>
      <c r="E248" s="16" t="s">
        <v>23</v>
      </c>
      <c r="F248" s="16" t="s">
        <v>736</v>
      </c>
      <c r="G248" s="19" t="s">
        <v>29</v>
      </c>
      <c r="H248" s="16" t="str">
        <f t="shared" si="51"/>
        <v>C134</v>
      </c>
      <c r="I248" s="20"/>
      <c r="J248" s="15" t="s">
        <v>16</v>
      </c>
      <c r="K248" s="21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87.0" customHeight="1">
      <c r="A249" s="59">
        <v>248.0</v>
      </c>
      <c r="B249" s="60" t="s">
        <v>737</v>
      </c>
      <c r="C249" s="61" t="s">
        <v>738</v>
      </c>
      <c r="D249" s="63" t="s">
        <v>739</v>
      </c>
      <c r="E249" s="60" t="s">
        <v>23</v>
      </c>
      <c r="F249" s="60" t="s">
        <v>158</v>
      </c>
      <c r="G249" s="64" t="s">
        <v>29</v>
      </c>
      <c r="H249" s="60" t="s">
        <v>683</v>
      </c>
      <c r="I249" s="71" t="s">
        <v>740</v>
      </c>
      <c r="J249" s="59"/>
      <c r="K249" s="71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85.5" customHeight="1">
      <c r="A250" s="59">
        <v>249.0</v>
      </c>
      <c r="B250" s="60" t="s">
        <v>741</v>
      </c>
      <c r="C250" s="61" t="s">
        <v>742</v>
      </c>
      <c r="D250" s="79" t="s">
        <v>743</v>
      </c>
      <c r="E250" s="60" t="s">
        <v>23</v>
      </c>
      <c r="F250" s="60" t="s">
        <v>652</v>
      </c>
      <c r="G250" s="64" t="s">
        <v>29</v>
      </c>
      <c r="H250" s="60" t="s">
        <v>683</v>
      </c>
      <c r="I250" s="71" t="s">
        <v>744</v>
      </c>
      <c r="J250" s="59"/>
      <c r="K250" s="71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86.75" customHeight="1">
      <c r="A251" s="59">
        <v>250.0</v>
      </c>
      <c r="B251" s="60" t="s">
        <v>745</v>
      </c>
      <c r="C251" s="61" t="s">
        <v>746</v>
      </c>
      <c r="D251" s="63" t="s">
        <v>747</v>
      </c>
      <c r="E251" s="60" t="s">
        <v>23</v>
      </c>
      <c r="F251" s="60" t="s">
        <v>80</v>
      </c>
      <c r="G251" s="64" t="s">
        <v>29</v>
      </c>
      <c r="H251" s="60" t="s">
        <v>683</v>
      </c>
      <c r="I251" s="71" t="s">
        <v>748</v>
      </c>
      <c r="J251" s="59"/>
      <c r="K251" s="71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2.75" customHeight="1">
      <c r="A252" s="7">
        <f t="shared" ref="A252:A277" si="52">ROW()-1</f>
        <v>251</v>
      </c>
      <c r="B252" s="8" t="str">
        <f t="shared" ref="B252:B277" si="53">CONCATENATE("C",IF(A252&lt;=9,0,),A252)</f>
        <v>C251</v>
      </c>
      <c r="C252" s="25" t="s">
        <v>749</v>
      </c>
      <c r="D252" s="7"/>
      <c r="E252" s="8" t="s">
        <v>13</v>
      </c>
      <c r="F252" s="8" t="s">
        <v>14</v>
      </c>
      <c r="G252" s="11" t="s">
        <v>29</v>
      </c>
      <c r="H252" s="8" t="str">
        <f>$B$9</f>
        <v>C08</v>
      </c>
      <c r="I252" s="12"/>
      <c r="J252" s="7" t="s">
        <v>16</v>
      </c>
      <c r="K252" s="21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ht="12.75" customHeight="1">
      <c r="A253" s="15">
        <f t="shared" si="52"/>
        <v>252</v>
      </c>
      <c r="B253" s="16" t="str">
        <f t="shared" si="53"/>
        <v>C252</v>
      </c>
      <c r="C253" s="17" t="s">
        <v>750</v>
      </c>
      <c r="D253" s="22" t="s">
        <v>751</v>
      </c>
      <c r="E253" s="16" t="s">
        <v>23</v>
      </c>
      <c r="F253" s="16" t="s">
        <v>752</v>
      </c>
      <c r="G253" s="19" t="s">
        <v>29</v>
      </c>
      <c r="H253" s="16" t="str">
        <f t="shared" ref="H253:H277" si="54">$B$252</f>
        <v>C251</v>
      </c>
      <c r="I253" s="20" t="s">
        <v>751</v>
      </c>
      <c r="J253" s="15" t="s">
        <v>16</v>
      </c>
      <c r="K253" s="21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2.75" customHeight="1">
      <c r="A254" s="15">
        <f t="shared" si="52"/>
        <v>253</v>
      </c>
      <c r="B254" s="16" t="str">
        <f t="shared" si="53"/>
        <v>C253</v>
      </c>
      <c r="C254" s="17" t="s">
        <v>753</v>
      </c>
      <c r="D254" s="22" t="s">
        <v>754</v>
      </c>
      <c r="E254" s="16" t="s">
        <v>23</v>
      </c>
      <c r="F254" s="16" t="s">
        <v>755</v>
      </c>
      <c r="G254" s="19" t="s">
        <v>29</v>
      </c>
      <c r="H254" s="16" t="str">
        <f t="shared" si="54"/>
        <v>C251</v>
      </c>
      <c r="I254" s="20" t="s">
        <v>754</v>
      </c>
      <c r="J254" s="15" t="s">
        <v>16</v>
      </c>
      <c r="K254" s="21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2.75" customHeight="1">
      <c r="A255" s="15">
        <f t="shared" si="52"/>
        <v>254</v>
      </c>
      <c r="B255" s="16" t="str">
        <f t="shared" si="53"/>
        <v>C254</v>
      </c>
      <c r="C255" s="17" t="s">
        <v>756</v>
      </c>
      <c r="D255" s="22" t="s">
        <v>757</v>
      </c>
      <c r="E255" s="16" t="s">
        <v>23</v>
      </c>
      <c r="F255" s="16" t="s">
        <v>251</v>
      </c>
      <c r="G255" s="19" t="s">
        <v>29</v>
      </c>
      <c r="H255" s="16" t="str">
        <f t="shared" si="54"/>
        <v>C251</v>
      </c>
      <c r="I255" s="20" t="s">
        <v>757</v>
      </c>
      <c r="J255" s="15" t="s">
        <v>16</v>
      </c>
      <c r="K255" s="13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2.75" customHeight="1">
      <c r="A256" s="15">
        <f t="shared" si="52"/>
        <v>255</v>
      </c>
      <c r="B256" s="16" t="str">
        <f t="shared" si="53"/>
        <v>C255</v>
      </c>
      <c r="C256" s="17" t="s">
        <v>758</v>
      </c>
      <c r="D256" s="22" t="s">
        <v>759</v>
      </c>
      <c r="E256" s="16" t="s">
        <v>23</v>
      </c>
      <c r="F256" s="16" t="s">
        <v>760</v>
      </c>
      <c r="G256" s="19" t="s">
        <v>29</v>
      </c>
      <c r="H256" s="16" t="str">
        <f t="shared" si="54"/>
        <v>C251</v>
      </c>
      <c r="I256" s="20" t="s">
        <v>759</v>
      </c>
      <c r="J256" s="15" t="s">
        <v>16</v>
      </c>
      <c r="K256" s="21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2.75" customHeight="1">
      <c r="A257" s="15">
        <f t="shared" si="52"/>
        <v>256</v>
      </c>
      <c r="B257" s="16" t="str">
        <f t="shared" si="53"/>
        <v>C256</v>
      </c>
      <c r="C257" s="17" t="s">
        <v>761</v>
      </c>
      <c r="D257" s="22" t="s">
        <v>762</v>
      </c>
      <c r="E257" s="16" t="s">
        <v>23</v>
      </c>
      <c r="F257" s="16" t="s">
        <v>19</v>
      </c>
      <c r="G257" s="19" t="s">
        <v>29</v>
      </c>
      <c r="H257" s="16" t="str">
        <f t="shared" si="54"/>
        <v>C251</v>
      </c>
      <c r="I257" s="20" t="s">
        <v>763</v>
      </c>
      <c r="J257" s="15" t="s">
        <v>16</v>
      </c>
      <c r="K257" s="24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2.75" customHeight="1">
      <c r="A258" s="15">
        <f t="shared" si="52"/>
        <v>257</v>
      </c>
      <c r="B258" s="16" t="str">
        <f t="shared" si="53"/>
        <v>C257</v>
      </c>
      <c r="C258" s="17" t="s">
        <v>764</v>
      </c>
      <c r="D258" s="22" t="s">
        <v>765</v>
      </c>
      <c r="E258" s="16" t="s">
        <v>23</v>
      </c>
      <c r="F258" s="16" t="s">
        <v>766</v>
      </c>
      <c r="G258" s="19" t="s">
        <v>29</v>
      </c>
      <c r="H258" s="16" t="str">
        <f t="shared" si="54"/>
        <v>C251</v>
      </c>
      <c r="I258" s="20" t="s">
        <v>765</v>
      </c>
      <c r="J258" s="15" t="s">
        <v>16</v>
      </c>
      <c r="K258" s="13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2.75" customHeight="1">
      <c r="A259" s="15">
        <f t="shared" si="52"/>
        <v>258</v>
      </c>
      <c r="B259" s="16" t="str">
        <f t="shared" si="53"/>
        <v>C258</v>
      </c>
      <c r="C259" s="17" t="s">
        <v>767</v>
      </c>
      <c r="D259" s="22" t="s">
        <v>768</v>
      </c>
      <c r="E259" s="16" t="s">
        <v>23</v>
      </c>
      <c r="F259" s="16" t="s">
        <v>19</v>
      </c>
      <c r="G259" s="19" t="s">
        <v>29</v>
      </c>
      <c r="H259" s="16" t="str">
        <f t="shared" si="54"/>
        <v>C251</v>
      </c>
      <c r="I259" s="20" t="s">
        <v>768</v>
      </c>
      <c r="J259" s="15" t="s">
        <v>16</v>
      </c>
      <c r="K259" s="21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2.75" customHeight="1">
      <c r="A260" s="15">
        <f t="shared" si="52"/>
        <v>259</v>
      </c>
      <c r="B260" s="16" t="str">
        <f t="shared" si="53"/>
        <v>C259</v>
      </c>
      <c r="C260" s="17" t="s">
        <v>769</v>
      </c>
      <c r="D260" s="22" t="s">
        <v>770</v>
      </c>
      <c r="E260" s="16" t="s">
        <v>23</v>
      </c>
      <c r="F260" s="16" t="s">
        <v>771</v>
      </c>
      <c r="G260" s="19" t="s">
        <v>29</v>
      </c>
      <c r="H260" s="16" t="str">
        <f t="shared" si="54"/>
        <v>C251</v>
      </c>
      <c r="I260" s="20" t="s">
        <v>770</v>
      </c>
      <c r="J260" s="15" t="s">
        <v>16</v>
      </c>
      <c r="K260" s="21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2.75" customHeight="1">
      <c r="A261" s="15">
        <f t="shared" si="52"/>
        <v>260</v>
      </c>
      <c r="B261" s="16" t="str">
        <f t="shared" si="53"/>
        <v>C260</v>
      </c>
      <c r="C261" s="17" t="s">
        <v>772</v>
      </c>
      <c r="D261" s="22" t="s">
        <v>773</v>
      </c>
      <c r="E261" s="16" t="s">
        <v>23</v>
      </c>
      <c r="F261" s="16" t="s">
        <v>771</v>
      </c>
      <c r="G261" s="19" t="s">
        <v>29</v>
      </c>
      <c r="H261" s="16" t="str">
        <f t="shared" si="54"/>
        <v>C251</v>
      </c>
      <c r="I261" s="20" t="s">
        <v>773</v>
      </c>
      <c r="J261" s="15" t="s">
        <v>16</v>
      </c>
      <c r="K261" s="21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2.75" customHeight="1">
      <c r="A262" s="15">
        <f t="shared" si="52"/>
        <v>261</v>
      </c>
      <c r="B262" s="16" t="str">
        <f t="shared" si="53"/>
        <v>C261</v>
      </c>
      <c r="C262" s="17" t="s">
        <v>774</v>
      </c>
      <c r="D262" s="22" t="s">
        <v>198</v>
      </c>
      <c r="E262" s="16" t="s">
        <v>23</v>
      </c>
      <c r="F262" s="16" t="s">
        <v>294</v>
      </c>
      <c r="G262" s="19" t="s">
        <v>29</v>
      </c>
      <c r="H262" s="16" t="str">
        <f t="shared" si="54"/>
        <v>C251</v>
      </c>
      <c r="I262" s="20" t="s">
        <v>198</v>
      </c>
      <c r="J262" s="15" t="s">
        <v>16</v>
      </c>
      <c r="K262" s="21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2.75" customHeight="1">
      <c r="A263" s="15">
        <f t="shared" si="52"/>
        <v>262</v>
      </c>
      <c r="B263" s="16" t="str">
        <f t="shared" si="53"/>
        <v>C262</v>
      </c>
      <c r="C263" s="17" t="s">
        <v>775</v>
      </c>
      <c r="D263" s="22" t="s">
        <v>776</v>
      </c>
      <c r="E263" s="16" t="s">
        <v>23</v>
      </c>
      <c r="F263" s="16" t="s">
        <v>223</v>
      </c>
      <c r="G263" s="19" t="s">
        <v>29</v>
      </c>
      <c r="H263" s="16" t="str">
        <f t="shared" si="54"/>
        <v>C251</v>
      </c>
      <c r="I263" s="20" t="s">
        <v>776</v>
      </c>
      <c r="J263" s="15" t="s">
        <v>16</v>
      </c>
      <c r="K263" s="21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2.75" customHeight="1">
      <c r="A264" s="15">
        <f t="shared" si="52"/>
        <v>263</v>
      </c>
      <c r="B264" s="16" t="str">
        <f t="shared" si="53"/>
        <v>C263</v>
      </c>
      <c r="C264" s="17" t="s">
        <v>777</v>
      </c>
      <c r="D264" s="22" t="s">
        <v>778</v>
      </c>
      <c r="E264" s="16" t="s">
        <v>23</v>
      </c>
      <c r="F264" s="16" t="s">
        <v>80</v>
      </c>
      <c r="G264" s="19" t="s">
        <v>29</v>
      </c>
      <c r="H264" s="16" t="str">
        <f t="shared" si="54"/>
        <v>C251</v>
      </c>
      <c r="I264" s="20" t="s">
        <v>778</v>
      </c>
      <c r="J264" s="15" t="s">
        <v>16</v>
      </c>
      <c r="K264" s="21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2.75" customHeight="1">
      <c r="A265" s="15">
        <f t="shared" si="52"/>
        <v>264</v>
      </c>
      <c r="B265" s="16" t="str">
        <f t="shared" si="53"/>
        <v>C264</v>
      </c>
      <c r="C265" s="17" t="s">
        <v>779</v>
      </c>
      <c r="D265" s="22" t="s">
        <v>780</v>
      </c>
      <c r="E265" s="16" t="s">
        <v>23</v>
      </c>
      <c r="F265" s="16" t="s">
        <v>80</v>
      </c>
      <c r="G265" s="19" t="s">
        <v>29</v>
      </c>
      <c r="H265" s="16" t="str">
        <f t="shared" si="54"/>
        <v>C251</v>
      </c>
      <c r="I265" s="20" t="s">
        <v>781</v>
      </c>
      <c r="J265" s="15" t="s">
        <v>16</v>
      </c>
      <c r="K265" s="13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2.75" customHeight="1">
      <c r="A266" s="15">
        <f t="shared" si="52"/>
        <v>265</v>
      </c>
      <c r="B266" s="16" t="str">
        <f t="shared" si="53"/>
        <v>C265</v>
      </c>
      <c r="C266" s="17" t="s">
        <v>782</v>
      </c>
      <c r="D266" s="22" t="s">
        <v>783</v>
      </c>
      <c r="E266" s="16" t="s">
        <v>23</v>
      </c>
      <c r="F266" s="16" t="s">
        <v>784</v>
      </c>
      <c r="G266" s="19" t="s">
        <v>29</v>
      </c>
      <c r="H266" s="16" t="str">
        <f t="shared" si="54"/>
        <v>C251</v>
      </c>
      <c r="I266" s="20" t="s">
        <v>785</v>
      </c>
      <c r="J266" s="15" t="s">
        <v>786</v>
      </c>
      <c r="K266" s="21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2.75" customHeight="1">
      <c r="A267" s="15">
        <f t="shared" si="52"/>
        <v>266</v>
      </c>
      <c r="B267" s="16" t="str">
        <f t="shared" si="53"/>
        <v>C266</v>
      </c>
      <c r="C267" s="17" t="s">
        <v>787</v>
      </c>
      <c r="D267" s="22" t="s">
        <v>788</v>
      </c>
      <c r="E267" s="16" t="s">
        <v>23</v>
      </c>
      <c r="F267" s="16" t="s">
        <v>755</v>
      </c>
      <c r="G267" s="19" t="s">
        <v>29</v>
      </c>
      <c r="H267" s="16" t="str">
        <f t="shared" si="54"/>
        <v>C251</v>
      </c>
      <c r="I267" s="20" t="s">
        <v>788</v>
      </c>
      <c r="J267" s="15" t="s">
        <v>16</v>
      </c>
      <c r="K267" s="24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2.75" customHeight="1">
      <c r="A268" s="15">
        <f t="shared" si="52"/>
        <v>267</v>
      </c>
      <c r="B268" s="16" t="str">
        <f t="shared" si="53"/>
        <v>C267</v>
      </c>
      <c r="C268" s="17" t="s">
        <v>789</v>
      </c>
      <c r="D268" s="22" t="s">
        <v>790</v>
      </c>
      <c r="E268" s="16" t="s">
        <v>23</v>
      </c>
      <c r="F268" s="16" t="s">
        <v>80</v>
      </c>
      <c r="G268" s="19" t="s">
        <v>29</v>
      </c>
      <c r="H268" s="16" t="str">
        <f t="shared" si="54"/>
        <v>C251</v>
      </c>
      <c r="I268" s="21" t="s">
        <v>791</v>
      </c>
      <c r="J268" s="15" t="s">
        <v>792</v>
      </c>
      <c r="K268" s="13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2.75" customHeight="1">
      <c r="A269" s="15">
        <f t="shared" si="52"/>
        <v>268</v>
      </c>
      <c r="B269" s="16" t="str">
        <f t="shared" si="53"/>
        <v>C268</v>
      </c>
      <c r="C269" s="17" t="s">
        <v>793</v>
      </c>
      <c r="D269" s="22" t="s">
        <v>794</v>
      </c>
      <c r="E269" s="16" t="s">
        <v>23</v>
      </c>
      <c r="F269" s="16" t="s">
        <v>795</v>
      </c>
      <c r="G269" s="19" t="s">
        <v>29</v>
      </c>
      <c r="H269" s="16" t="str">
        <f t="shared" si="54"/>
        <v>C251</v>
      </c>
      <c r="I269" s="20" t="s">
        <v>794</v>
      </c>
      <c r="J269" s="15" t="s">
        <v>16</v>
      </c>
      <c r="K269" s="21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2.75" customHeight="1">
      <c r="A270" s="15">
        <f t="shared" si="52"/>
        <v>269</v>
      </c>
      <c r="B270" s="16" t="str">
        <f t="shared" si="53"/>
        <v>C269</v>
      </c>
      <c r="C270" s="17" t="s">
        <v>796</v>
      </c>
      <c r="D270" s="22" t="s">
        <v>797</v>
      </c>
      <c r="E270" s="16" t="s">
        <v>23</v>
      </c>
      <c r="F270" s="16" t="s">
        <v>223</v>
      </c>
      <c r="G270" s="19" t="s">
        <v>29</v>
      </c>
      <c r="H270" s="16" t="str">
        <f t="shared" si="54"/>
        <v>C251</v>
      </c>
      <c r="I270" s="20" t="s">
        <v>797</v>
      </c>
      <c r="J270" s="15" t="s">
        <v>16</v>
      </c>
      <c r="K270" s="21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2.75" customHeight="1">
      <c r="A271" s="15">
        <f t="shared" si="52"/>
        <v>270</v>
      </c>
      <c r="B271" s="16" t="str">
        <f t="shared" si="53"/>
        <v>C270</v>
      </c>
      <c r="C271" s="17" t="s">
        <v>798</v>
      </c>
      <c r="D271" s="22" t="s">
        <v>799</v>
      </c>
      <c r="E271" s="16" t="s">
        <v>23</v>
      </c>
      <c r="F271" s="16" t="s">
        <v>251</v>
      </c>
      <c r="G271" s="19" t="s">
        <v>29</v>
      </c>
      <c r="H271" s="16" t="str">
        <f t="shared" si="54"/>
        <v>C251</v>
      </c>
      <c r="I271" s="20" t="s">
        <v>799</v>
      </c>
      <c r="J271" s="15" t="s">
        <v>16</v>
      </c>
      <c r="K271" s="21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2.75" customHeight="1">
      <c r="A272" s="15">
        <f t="shared" si="52"/>
        <v>271</v>
      </c>
      <c r="B272" s="16" t="str">
        <f t="shared" si="53"/>
        <v>C271</v>
      </c>
      <c r="C272" s="17" t="s">
        <v>800</v>
      </c>
      <c r="D272" s="22" t="s">
        <v>801</v>
      </c>
      <c r="E272" s="16" t="s">
        <v>23</v>
      </c>
      <c r="F272" s="16" t="s">
        <v>251</v>
      </c>
      <c r="G272" s="19" t="s">
        <v>29</v>
      </c>
      <c r="H272" s="16" t="str">
        <f t="shared" si="54"/>
        <v>C251</v>
      </c>
      <c r="I272" s="20" t="s">
        <v>418</v>
      </c>
      <c r="J272" s="15" t="s">
        <v>16</v>
      </c>
      <c r="K272" s="21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01.25" customHeight="1">
      <c r="A273" s="15">
        <f t="shared" si="52"/>
        <v>272</v>
      </c>
      <c r="B273" s="16" t="str">
        <f t="shared" si="53"/>
        <v>C272</v>
      </c>
      <c r="C273" s="17" t="s">
        <v>802</v>
      </c>
      <c r="D273" s="22" t="s">
        <v>803</v>
      </c>
      <c r="E273" s="16" t="s">
        <v>23</v>
      </c>
      <c r="F273" s="16" t="s">
        <v>37</v>
      </c>
      <c r="G273" s="19" t="s">
        <v>29</v>
      </c>
      <c r="H273" s="16" t="str">
        <f t="shared" si="54"/>
        <v>C251</v>
      </c>
      <c r="I273" s="21" t="s">
        <v>804</v>
      </c>
      <c r="J273" s="15" t="s">
        <v>805</v>
      </c>
      <c r="K273" s="21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2.75" customHeight="1">
      <c r="A274" s="15">
        <f t="shared" si="52"/>
        <v>273</v>
      </c>
      <c r="B274" s="16" t="str">
        <f t="shared" si="53"/>
        <v>C273</v>
      </c>
      <c r="C274" s="17" t="s">
        <v>806</v>
      </c>
      <c r="D274" s="22" t="s">
        <v>807</v>
      </c>
      <c r="E274" s="16" t="s">
        <v>23</v>
      </c>
      <c r="F274" s="16" t="s">
        <v>84</v>
      </c>
      <c r="G274" s="19" t="s">
        <v>29</v>
      </c>
      <c r="H274" s="16" t="str">
        <f t="shared" si="54"/>
        <v>C251</v>
      </c>
      <c r="I274" s="20" t="s">
        <v>808</v>
      </c>
      <c r="J274" s="15" t="s">
        <v>552</v>
      </c>
      <c r="K274" s="21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2.75" customHeight="1">
      <c r="A275" s="15">
        <f t="shared" si="52"/>
        <v>274</v>
      </c>
      <c r="B275" s="16" t="str">
        <f t="shared" si="53"/>
        <v>C274</v>
      </c>
      <c r="C275" s="17" t="s">
        <v>809</v>
      </c>
      <c r="D275" s="22" t="s">
        <v>810</v>
      </c>
      <c r="E275" s="16" t="s">
        <v>23</v>
      </c>
      <c r="F275" s="16" t="s">
        <v>98</v>
      </c>
      <c r="G275" s="19" t="s">
        <v>29</v>
      </c>
      <c r="H275" s="16" t="str">
        <f t="shared" si="54"/>
        <v>C251</v>
      </c>
      <c r="I275" s="21" t="s">
        <v>811</v>
      </c>
      <c r="J275" s="15" t="s">
        <v>427</v>
      </c>
      <c r="K275" s="13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84.75" customHeight="1">
      <c r="A276" s="15">
        <f t="shared" si="52"/>
        <v>275</v>
      </c>
      <c r="B276" s="16" t="str">
        <f t="shared" si="53"/>
        <v>C275</v>
      </c>
      <c r="C276" s="17" t="s">
        <v>812</v>
      </c>
      <c r="D276" s="22" t="s">
        <v>813</v>
      </c>
      <c r="E276" s="16" t="s">
        <v>23</v>
      </c>
      <c r="F276" s="16" t="s">
        <v>54</v>
      </c>
      <c r="G276" s="19" t="s">
        <v>29</v>
      </c>
      <c r="H276" s="16" t="str">
        <f t="shared" si="54"/>
        <v>C251</v>
      </c>
      <c r="I276" s="21" t="s">
        <v>814</v>
      </c>
      <c r="J276" s="15" t="s">
        <v>815</v>
      </c>
      <c r="K276" s="13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69.75" customHeight="1">
      <c r="A277" s="15">
        <f t="shared" si="52"/>
        <v>276</v>
      </c>
      <c r="B277" s="16" t="str">
        <f t="shared" si="53"/>
        <v>C276</v>
      </c>
      <c r="C277" s="17" t="s">
        <v>816</v>
      </c>
      <c r="D277" s="22" t="s">
        <v>817</v>
      </c>
      <c r="E277" s="16" t="s">
        <v>23</v>
      </c>
      <c r="F277" s="16" t="s">
        <v>54</v>
      </c>
      <c r="G277" s="19" t="s">
        <v>29</v>
      </c>
      <c r="H277" s="16" t="str">
        <f t="shared" si="54"/>
        <v>C251</v>
      </c>
      <c r="I277" s="21" t="s">
        <v>818</v>
      </c>
      <c r="J277" s="15" t="s">
        <v>733</v>
      </c>
      <c r="K277" s="13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59.25" customHeight="1">
      <c r="A278" s="15">
        <v>277.0</v>
      </c>
      <c r="B278" s="16" t="s">
        <v>819</v>
      </c>
      <c r="C278" s="17" t="s">
        <v>820</v>
      </c>
      <c r="D278" s="22" t="s">
        <v>821</v>
      </c>
      <c r="E278" s="16" t="s">
        <v>23</v>
      </c>
      <c r="F278" s="16" t="s">
        <v>37</v>
      </c>
      <c r="G278" s="19" t="s">
        <v>29</v>
      </c>
      <c r="H278" s="16" t="s">
        <v>624</v>
      </c>
      <c r="I278" s="21" t="s">
        <v>822</v>
      </c>
      <c r="J278" s="15" t="s">
        <v>823</v>
      </c>
      <c r="K278" s="13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48.0" customHeight="1">
      <c r="A279" s="59">
        <v>278.0</v>
      </c>
      <c r="B279" s="60" t="s">
        <v>824</v>
      </c>
      <c r="C279" s="61" t="s">
        <v>825</v>
      </c>
      <c r="D279" s="62" t="s">
        <v>826</v>
      </c>
      <c r="E279" s="60" t="s">
        <v>23</v>
      </c>
      <c r="F279" s="60" t="s">
        <v>308</v>
      </c>
      <c r="G279" s="64" t="s">
        <v>29</v>
      </c>
      <c r="H279" s="60" t="s">
        <v>737</v>
      </c>
      <c r="I279" s="73" t="s">
        <v>183</v>
      </c>
      <c r="J279" s="59"/>
      <c r="K279" s="73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83.25" customHeight="1">
      <c r="A280" s="59">
        <v>279.0</v>
      </c>
      <c r="B280" s="60" t="s">
        <v>827</v>
      </c>
      <c r="C280" s="61" t="s">
        <v>828</v>
      </c>
      <c r="D280" s="62" t="s">
        <v>829</v>
      </c>
      <c r="E280" s="60" t="s">
        <v>23</v>
      </c>
      <c r="F280" s="60" t="s">
        <v>89</v>
      </c>
      <c r="G280" s="64" t="s">
        <v>29</v>
      </c>
      <c r="H280" s="60" t="s">
        <v>737</v>
      </c>
      <c r="I280" s="71" t="s">
        <v>830</v>
      </c>
      <c r="J280" s="59"/>
      <c r="K280" s="73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21.75" customHeight="1">
      <c r="A281" s="7">
        <f t="shared" ref="A281:A284" si="55">ROW()-1</f>
        <v>280</v>
      </c>
      <c r="B281" s="8" t="str">
        <f t="shared" ref="B281:B284" si="56">CONCATENATE("C",IF(A281&lt;=9,0,),A281)</f>
        <v>C280</v>
      </c>
      <c r="C281" s="25" t="s">
        <v>831</v>
      </c>
      <c r="D281" s="10" t="s">
        <v>832</v>
      </c>
      <c r="E281" s="8" t="s">
        <v>13</v>
      </c>
      <c r="F281" s="8" t="s">
        <v>14</v>
      </c>
      <c r="G281" s="11" t="s">
        <v>29</v>
      </c>
      <c r="H281" s="8" t="str">
        <f>$B$9</f>
        <v>C08</v>
      </c>
      <c r="I281" s="20" t="s">
        <v>832</v>
      </c>
      <c r="J281" s="7" t="s">
        <v>16</v>
      </c>
      <c r="K281" s="21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ht="12.75" customHeight="1">
      <c r="A282" s="15">
        <f t="shared" si="55"/>
        <v>281</v>
      </c>
      <c r="B282" s="16" t="str">
        <f t="shared" si="56"/>
        <v>C281</v>
      </c>
      <c r="C282" s="17" t="s">
        <v>833</v>
      </c>
      <c r="D282" s="22" t="s">
        <v>834</v>
      </c>
      <c r="E282" s="16" t="s">
        <v>23</v>
      </c>
      <c r="F282" s="16" t="s">
        <v>760</v>
      </c>
      <c r="G282" s="19" t="s">
        <v>15</v>
      </c>
      <c r="H282" s="16" t="str">
        <f t="shared" ref="H282:H284" si="57">$B$281</f>
        <v>C280</v>
      </c>
      <c r="I282" s="20" t="s">
        <v>834</v>
      </c>
      <c r="J282" s="15" t="s">
        <v>16</v>
      </c>
      <c r="K282" s="24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2.75" customHeight="1">
      <c r="A283" s="16">
        <f t="shared" si="55"/>
        <v>282</v>
      </c>
      <c r="B283" s="16" t="str">
        <f t="shared" si="56"/>
        <v>C282</v>
      </c>
      <c r="C283" s="17" t="s">
        <v>835</v>
      </c>
      <c r="D283" s="17" t="s">
        <v>836</v>
      </c>
      <c r="E283" s="16" t="s">
        <v>23</v>
      </c>
      <c r="F283" s="16" t="s">
        <v>752</v>
      </c>
      <c r="G283" s="19" t="s">
        <v>15</v>
      </c>
      <c r="H283" s="16" t="str">
        <f t="shared" si="57"/>
        <v>C280</v>
      </c>
      <c r="I283" s="20" t="s">
        <v>836</v>
      </c>
      <c r="J283" s="16" t="s">
        <v>16</v>
      </c>
      <c r="K283" s="13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2.75" customHeight="1">
      <c r="A284" s="16">
        <f t="shared" si="55"/>
        <v>283</v>
      </c>
      <c r="B284" s="16" t="str">
        <f t="shared" si="56"/>
        <v>C283</v>
      </c>
      <c r="C284" s="17" t="s">
        <v>837</v>
      </c>
      <c r="D284" s="17" t="s">
        <v>838</v>
      </c>
      <c r="E284" s="16" t="s">
        <v>23</v>
      </c>
      <c r="F284" s="16" t="s">
        <v>755</v>
      </c>
      <c r="G284" s="19" t="s">
        <v>15</v>
      </c>
      <c r="H284" s="16" t="str">
        <f t="shared" si="57"/>
        <v>C280</v>
      </c>
      <c r="I284" s="20" t="s">
        <v>838</v>
      </c>
      <c r="J284" s="16" t="s">
        <v>16</v>
      </c>
      <c r="K284" s="21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33.0" customHeight="1">
      <c r="A285" s="60">
        <v>284.0</v>
      </c>
      <c r="B285" s="60" t="s">
        <v>839</v>
      </c>
      <c r="C285" s="61" t="s">
        <v>840</v>
      </c>
      <c r="D285" s="61" t="s">
        <v>841</v>
      </c>
      <c r="E285" s="60" t="s">
        <v>23</v>
      </c>
      <c r="F285" s="60" t="s">
        <v>652</v>
      </c>
      <c r="G285" s="64" t="s">
        <v>15</v>
      </c>
      <c r="H285" s="60" t="s">
        <v>819</v>
      </c>
      <c r="I285" s="71"/>
      <c r="J285" s="60"/>
      <c r="K285" s="71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78.0" customHeight="1">
      <c r="A286" s="60">
        <v>285.0</v>
      </c>
      <c r="B286" s="60" t="s">
        <v>842</v>
      </c>
      <c r="C286" s="61" t="s">
        <v>843</v>
      </c>
      <c r="D286" s="61" t="s">
        <v>829</v>
      </c>
      <c r="E286" s="60" t="s">
        <v>23</v>
      </c>
      <c r="F286" s="60" t="s">
        <v>89</v>
      </c>
      <c r="G286" s="64" t="s">
        <v>29</v>
      </c>
      <c r="H286" s="60" t="s">
        <v>819</v>
      </c>
      <c r="I286" s="71" t="s">
        <v>844</v>
      </c>
      <c r="J286" s="60"/>
      <c r="K286" s="71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2.75" customHeight="1">
      <c r="A287" s="15">
        <f t="shared" ref="A287:A297" si="58">ROW()-1</f>
        <v>286</v>
      </c>
      <c r="B287" s="16" t="str">
        <f t="shared" ref="B287:B297" si="59">CONCATENATE("C",IF(A287&lt;=9,0,),A287)</f>
        <v>C286</v>
      </c>
      <c r="C287" s="17" t="s">
        <v>845</v>
      </c>
      <c r="D287" s="22" t="s">
        <v>846</v>
      </c>
      <c r="E287" s="16" t="s">
        <v>23</v>
      </c>
      <c r="F287" s="16" t="s">
        <v>251</v>
      </c>
      <c r="G287" s="19" t="s">
        <v>29</v>
      </c>
      <c r="H287" s="16" t="str">
        <f t="shared" ref="H287:H297" si="60">$B$281</f>
        <v>C280</v>
      </c>
      <c r="I287" s="20" t="s">
        <v>846</v>
      </c>
      <c r="J287" s="15" t="s">
        <v>16</v>
      </c>
      <c r="K287" s="21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2.75" customHeight="1">
      <c r="A288" s="15">
        <f t="shared" si="58"/>
        <v>287</v>
      </c>
      <c r="B288" s="16" t="str">
        <f t="shared" si="59"/>
        <v>C287</v>
      </c>
      <c r="C288" s="17" t="s">
        <v>847</v>
      </c>
      <c r="D288" s="22" t="s">
        <v>848</v>
      </c>
      <c r="E288" s="16" t="s">
        <v>23</v>
      </c>
      <c r="F288" s="16" t="s">
        <v>849</v>
      </c>
      <c r="G288" s="19" t="s">
        <v>29</v>
      </c>
      <c r="H288" s="16" t="str">
        <f t="shared" si="60"/>
        <v>C280</v>
      </c>
      <c r="I288" s="20" t="s">
        <v>850</v>
      </c>
      <c r="J288" s="15" t="s">
        <v>552</v>
      </c>
      <c r="K288" s="21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2.75" customHeight="1">
      <c r="A289" s="15">
        <f t="shared" si="58"/>
        <v>288</v>
      </c>
      <c r="B289" s="16" t="str">
        <f t="shared" si="59"/>
        <v>C288</v>
      </c>
      <c r="C289" s="17" t="s">
        <v>851</v>
      </c>
      <c r="D289" s="22" t="s">
        <v>655</v>
      </c>
      <c r="E289" s="16" t="s">
        <v>23</v>
      </c>
      <c r="F289" s="16" t="s">
        <v>852</v>
      </c>
      <c r="G289" s="19" t="s">
        <v>29</v>
      </c>
      <c r="H289" s="16" t="str">
        <f t="shared" si="60"/>
        <v>C280</v>
      </c>
      <c r="I289" s="20" t="s">
        <v>853</v>
      </c>
      <c r="J289" s="15" t="s">
        <v>854</v>
      </c>
      <c r="K289" s="21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2.75" customHeight="1">
      <c r="A290" s="15">
        <f t="shared" si="58"/>
        <v>289</v>
      </c>
      <c r="B290" s="16" t="str">
        <f t="shared" si="59"/>
        <v>C289</v>
      </c>
      <c r="C290" s="17" t="s">
        <v>855</v>
      </c>
      <c r="D290" s="22" t="s">
        <v>856</v>
      </c>
      <c r="E290" s="16" t="s">
        <v>23</v>
      </c>
      <c r="F290" s="16" t="s">
        <v>557</v>
      </c>
      <c r="G290" s="19" t="s">
        <v>29</v>
      </c>
      <c r="H290" s="16" t="str">
        <f t="shared" si="60"/>
        <v>C280</v>
      </c>
      <c r="I290" s="20" t="s">
        <v>853</v>
      </c>
      <c r="J290" s="15" t="s">
        <v>854</v>
      </c>
      <c r="K290" s="21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2.75" customHeight="1">
      <c r="A291" s="15">
        <f t="shared" si="58"/>
        <v>290</v>
      </c>
      <c r="B291" s="16" t="str">
        <f t="shared" si="59"/>
        <v>C290</v>
      </c>
      <c r="C291" s="17" t="s">
        <v>857</v>
      </c>
      <c r="D291" s="22" t="s">
        <v>858</v>
      </c>
      <c r="E291" s="16" t="s">
        <v>23</v>
      </c>
      <c r="F291" s="16" t="s">
        <v>658</v>
      </c>
      <c r="G291" s="19" t="s">
        <v>29</v>
      </c>
      <c r="H291" s="16" t="str">
        <f t="shared" si="60"/>
        <v>C280</v>
      </c>
      <c r="I291" s="20" t="s">
        <v>853</v>
      </c>
      <c r="J291" s="15" t="s">
        <v>854</v>
      </c>
      <c r="K291" s="21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2.75" customHeight="1">
      <c r="A292" s="15">
        <f t="shared" si="58"/>
        <v>291</v>
      </c>
      <c r="B292" s="16" t="str">
        <f t="shared" si="59"/>
        <v>C291</v>
      </c>
      <c r="C292" s="17" t="s">
        <v>859</v>
      </c>
      <c r="D292" s="22" t="s">
        <v>196</v>
      </c>
      <c r="E292" s="16" t="s">
        <v>23</v>
      </c>
      <c r="F292" s="16" t="s">
        <v>658</v>
      </c>
      <c r="G292" s="19" t="s">
        <v>29</v>
      </c>
      <c r="H292" s="16" t="str">
        <f t="shared" si="60"/>
        <v>C280</v>
      </c>
      <c r="I292" s="20" t="s">
        <v>853</v>
      </c>
      <c r="J292" s="15" t="s">
        <v>854</v>
      </c>
      <c r="K292" s="13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2.75" customHeight="1">
      <c r="A293" s="15">
        <f t="shared" si="58"/>
        <v>292</v>
      </c>
      <c r="B293" s="16" t="str">
        <f t="shared" si="59"/>
        <v>C292</v>
      </c>
      <c r="C293" s="17" t="s">
        <v>860</v>
      </c>
      <c r="D293" s="22" t="s">
        <v>861</v>
      </c>
      <c r="E293" s="16" t="s">
        <v>23</v>
      </c>
      <c r="F293" s="16" t="s">
        <v>557</v>
      </c>
      <c r="G293" s="19" t="s">
        <v>29</v>
      </c>
      <c r="H293" s="16" t="str">
        <f t="shared" si="60"/>
        <v>C280</v>
      </c>
      <c r="I293" s="20" t="s">
        <v>853</v>
      </c>
      <c r="J293" s="15" t="s">
        <v>854</v>
      </c>
      <c r="K293" s="21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2.75" customHeight="1">
      <c r="A294" s="15">
        <f t="shared" si="58"/>
        <v>293</v>
      </c>
      <c r="B294" s="16" t="str">
        <f t="shared" si="59"/>
        <v>C293</v>
      </c>
      <c r="C294" s="17" t="s">
        <v>862</v>
      </c>
      <c r="D294" s="22" t="s">
        <v>863</v>
      </c>
      <c r="E294" s="16" t="s">
        <v>23</v>
      </c>
      <c r="F294" s="16" t="s">
        <v>707</v>
      </c>
      <c r="G294" s="19" t="s">
        <v>29</v>
      </c>
      <c r="H294" s="16" t="str">
        <f t="shared" si="60"/>
        <v>C280</v>
      </c>
      <c r="I294" s="77" t="s">
        <v>864</v>
      </c>
      <c r="J294" s="15" t="s">
        <v>854</v>
      </c>
      <c r="K294" s="24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2.75" customHeight="1">
      <c r="A295" s="15">
        <f t="shared" si="58"/>
        <v>294</v>
      </c>
      <c r="B295" s="16" t="str">
        <f t="shared" si="59"/>
        <v>C294</v>
      </c>
      <c r="C295" s="17" t="s">
        <v>865</v>
      </c>
      <c r="D295" s="22" t="s">
        <v>776</v>
      </c>
      <c r="E295" s="16" t="s">
        <v>23</v>
      </c>
      <c r="F295" s="16" t="s">
        <v>158</v>
      </c>
      <c r="G295" s="19" t="s">
        <v>29</v>
      </c>
      <c r="H295" s="16" t="str">
        <f t="shared" si="60"/>
        <v>C280</v>
      </c>
      <c r="I295" s="20" t="s">
        <v>853</v>
      </c>
      <c r="J295" s="15" t="s">
        <v>854</v>
      </c>
      <c r="K295" s="13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2.75" customHeight="1">
      <c r="A296" s="15">
        <f t="shared" si="58"/>
        <v>295</v>
      </c>
      <c r="B296" s="16" t="str">
        <f t="shared" si="59"/>
        <v>C295</v>
      </c>
      <c r="C296" s="17" t="s">
        <v>866</v>
      </c>
      <c r="D296" s="22" t="s">
        <v>867</v>
      </c>
      <c r="E296" s="16" t="s">
        <v>23</v>
      </c>
      <c r="F296" s="16" t="s">
        <v>755</v>
      </c>
      <c r="G296" s="19" t="s">
        <v>29</v>
      </c>
      <c r="H296" s="16" t="str">
        <f t="shared" si="60"/>
        <v>C280</v>
      </c>
      <c r="I296" s="20" t="s">
        <v>853</v>
      </c>
      <c r="J296" s="15" t="s">
        <v>854</v>
      </c>
      <c r="K296" s="21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37.5" customHeight="1">
      <c r="A297" s="15">
        <f t="shared" si="58"/>
        <v>296</v>
      </c>
      <c r="B297" s="16" t="str">
        <f t="shared" si="59"/>
        <v>C296</v>
      </c>
      <c r="C297" s="17" t="s">
        <v>868</v>
      </c>
      <c r="D297" s="22" t="s">
        <v>175</v>
      </c>
      <c r="E297" s="16" t="s">
        <v>23</v>
      </c>
      <c r="F297" s="16" t="s">
        <v>652</v>
      </c>
      <c r="G297" s="19" t="s">
        <v>29</v>
      </c>
      <c r="H297" s="16" t="str">
        <f t="shared" si="60"/>
        <v>C280</v>
      </c>
      <c r="I297" s="20" t="s">
        <v>853</v>
      </c>
      <c r="J297" s="15" t="s">
        <v>854</v>
      </c>
      <c r="K297" s="21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16.25" customHeight="1">
      <c r="A298" s="59">
        <v>297.0</v>
      </c>
      <c r="B298" s="60" t="s">
        <v>869</v>
      </c>
      <c r="C298" s="61" t="s">
        <v>870</v>
      </c>
      <c r="D298" s="62" t="s">
        <v>871</v>
      </c>
      <c r="E298" s="60" t="s">
        <v>23</v>
      </c>
      <c r="F298" s="60" t="s">
        <v>872</v>
      </c>
      <c r="G298" s="64" t="s">
        <v>29</v>
      </c>
      <c r="H298" s="60" t="s">
        <v>819</v>
      </c>
      <c r="I298" s="71" t="s">
        <v>873</v>
      </c>
      <c r="J298" s="59"/>
      <c r="K298" s="71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82.5" customHeight="1">
      <c r="A299" s="59">
        <v>298.0</v>
      </c>
      <c r="B299" s="60" t="s">
        <v>874</v>
      </c>
      <c r="C299" s="61" t="s">
        <v>875</v>
      </c>
      <c r="D299" s="62" t="s">
        <v>876</v>
      </c>
      <c r="E299" s="60" t="s">
        <v>23</v>
      </c>
      <c r="F299" s="60" t="s">
        <v>667</v>
      </c>
      <c r="G299" s="64" t="s">
        <v>29</v>
      </c>
      <c r="H299" s="60" t="s">
        <v>819</v>
      </c>
      <c r="I299" s="71" t="s">
        <v>877</v>
      </c>
      <c r="J299" s="59"/>
      <c r="K299" s="71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36.75" customHeight="1">
      <c r="A300" s="15">
        <v>299.0</v>
      </c>
      <c r="B300" s="16" t="s">
        <v>878</v>
      </c>
      <c r="C300" s="61" t="s">
        <v>879</v>
      </c>
      <c r="D300" s="62" t="s">
        <v>826</v>
      </c>
      <c r="E300" s="60" t="s">
        <v>23</v>
      </c>
      <c r="F300" s="60" t="s">
        <v>308</v>
      </c>
      <c r="G300" s="64" t="s">
        <v>29</v>
      </c>
      <c r="H300" s="60" t="s">
        <v>819</v>
      </c>
      <c r="I300" s="65" t="s">
        <v>183</v>
      </c>
      <c r="J300" s="15"/>
      <c r="K300" s="21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2.75" customHeight="1">
      <c r="A301" s="7">
        <f t="shared" ref="A301:A315" si="61">ROW()-1</f>
        <v>300</v>
      </c>
      <c r="B301" s="8" t="str">
        <f t="shared" ref="B301:B315" si="62">CONCATENATE("C",IF(A301&lt;=9,0,),A301)</f>
        <v>C300</v>
      </c>
      <c r="C301" s="25" t="s">
        <v>880</v>
      </c>
      <c r="D301" s="7"/>
      <c r="E301" s="8" t="s">
        <v>13</v>
      </c>
      <c r="F301" s="8" t="s">
        <v>14</v>
      </c>
      <c r="G301" s="11" t="s">
        <v>29</v>
      </c>
      <c r="H301" s="8" t="str">
        <f>$B$9</f>
        <v>C08</v>
      </c>
      <c r="I301" s="12"/>
      <c r="J301" s="7" t="s">
        <v>16</v>
      </c>
      <c r="K301" s="21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ht="12.75" customHeight="1">
      <c r="A302" s="15">
        <f t="shared" si="61"/>
        <v>301</v>
      </c>
      <c r="B302" s="16" t="str">
        <f t="shared" si="62"/>
        <v>C301</v>
      </c>
      <c r="C302" s="17" t="s">
        <v>881</v>
      </c>
      <c r="D302" s="22" t="s">
        <v>882</v>
      </c>
      <c r="E302" s="16" t="s">
        <v>23</v>
      </c>
      <c r="F302" s="16" t="s">
        <v>251</v>
      </c>
      <c r="G302" s="19" t="s">
        <v>29</v>
      </c>
      <c r="H302" s="16" t="str">
        <f t="shared" ref="H302:H315" si="63">$B$301</f>
        <v>C300</v>
      </c>
      <c r="I302" s="20" t="s">
        <v>883</v>
      </c>
      <c r="J302" s="15" t="s">
        <v>16</v>
      </c>
      <c r="K302" s="21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2.75" customHeight="1">
      <c r="A303" s="15">
        <f t="shared" si="61"/>
        <v>302</v>
      </c>
      <c r="B303" s="16" t="str">
        <f t="shared" si="62"/>
        <v>C302</v>
      </c>
      <c r="C303" s="17" t="s">
        <v>884</v>
      </c>
      <c r="D303" s="22" t="s">
        <v>885</v>
      </c>
      <c r="E303" s="16" t="s">
        <v>23</v>
      </c>
      <c r="F303" s="16" t="s">
        <v>251</v>
      </c>
      <c r="G303" s="19" t="s">
        <v>29</v>
      </c>
      <c r="H303" s="16" t="str">
        <f t="shared" si="63"/>
        <v>C300</v>
      </c>
      <c r="I303" s="20" t="s">
        <v>886</v>
      </c>
      <c r="J303" s="15" t="s">
        <v>16</v>
      </c>
      <c r="K303" s="21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2.75" customHeight="1">
      <c r="A304" s="15">
        <f t="shared" si="61"/>
        <v>303</v>
      </c>
      <c r="B304" s="16" t="str">
        <f t="shared" si="62"/>
        <v>C303</v>
      </c>
      <c r="C304" s="17" t="s">
        <v>887</v>
      </c>
      <c r="D304" s="22" t="s">
        <v>888</v>
      </c>
      <c r="E304" s="16" t="s">
        <v>23</v>
      </c>
      <c r="F304" s="16" t="s">
        <v>889</v>
      </c>
      <c r="G304" s="19" t="s">
        <v>29</v>
      </c>
      <c r="H304" s="16" t="str">
        <f t="shared" si="63"/>
        <v>C300</v>
      </c>
      <c r="I304" s="20" t="s">
        <v>418</v>
      </c>
      <c r="J304" s="15" t="s">
        <v>16</v>
      </c>
      <c r="K304" s="21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2.75" customHeight="1">
      <c r="A305" s="15">
        <f t="shared" si="61"/>
        <v>304</v>
      </c>
      <c r="B305" s="16" t="str">
        <f t="shared" si="62"/>
        <v>C304</v>
      </c>
      <c r="C305" s="17" t="s">
        <v>890</v>
      </c>
      <c r="D305" s="22" t="s">
        <v>891</v>
      </c>
      <c r="E305" s="16" t="s">
        <v>23</v>
      </c>
      <c r="F305" s="16" t="s">
        <v>889</v>
      </c>
      <c r="G305" s="19" t="s">
        <v>29</v>
      </c>
      <c r="H305" s="16" t="str">
        <f t="shared" si="63"/>
        <v>C300</v>
      </c>
      <c r="I305" s="20" t="s">
        <v>418</v>
      </c>
      <c r="J305" s="15" t="s">
        <v>16</v>
      </c>
      <c r="K305" s="13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2.75" customHeight="1">
      <c r="A306" s="15">
        <f t="shared" si="61"/>
        <v>305</v>
      </c>
      <c r="B306" s="16" t="str">
        <f t="shared" si="62"/>
        <v>C305</v>
      </c>
      <c r="C306" s="17" t="s">
        <v>892</v>
      </c>
      <c r="D306" s="22" t="s">
        <v>893</v>
      </c>
      <c r="E306" s="16" t="s">
        <v>23</v>
      </c>
      <c r="F306" s="16" t="s">
        <v>19</v>
      </c>
      <c r="G306" s="19" t="s">
        <v>29</v>
      </c>
      <c r="H306" s="16" t="str">
        <f t="shared" si="63"/>
        <v>C300</v>
      </c>
      <c r="I306" s="20" t="s">
        <v>418</v>
      </c>
      <c r="J306" s="15" t="s">
        <v>16</v>
      </c>
      <c r="K306" s="21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2.75" customHeight="1">
      <c r="A307" s="15">
        <f t="shared" si="61"/>
        <v>306</v>
      </c>
      <c r="B307" s="16" t="str">
        <f t="shared" si="62"/>
        <v>C306</v>
      </c>
      <c r="C307" s="17" t="s">
        <v>894</v>
      </c>
      <c r="D307" s="22" t="s">
        <v>895</v>
      </c>
      <c r="E307" s="16" t="s">
        <v>23</v>
      </c>
      <c r="F307" s="16" t="s">
        <v>889</v>
      </c>
      <c r="G307" s="19" t="s">
        <v>29</v>
      </c>
      <c r="H307" s="16" t="str">
        <f t="shared" si="63"/>
        <v>C300</v>
      </c>
      <c r="I307" s="20" t="s">
        <v>418</v>
      </c>
      <c r="J307" s="15" t="s">
        <v>16</v>
      </c>
      <c r="K307" s="24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2.75" customHeight="1">
      <c r="A308" s="15">
        <f t="shared" si="61"/>
        <v>307</v>
      </c>
      <c r="B308" s="16" t="str">
        <f t="shared" si="62"/>
        <v>C307</v>
      </c>
      <c r="C308" s="17" t="s">
        <v>896</v>
      </c>
      <c r="D308" s="22" t="s">
        <v>897</v>
      </c>
      <c r="E308" s="16" t="s">
        <v>23</v>
      </c>
      <c r="F308" s="16" t="s">
        <v>784</v>
      </c>
      <c r="G308" s="19" t="s">
        <v>29</v>
      </c>
      <c r="H308" s="16" t="str">
        <f t="shared" si="63"/>
        <v>C300</v>
      </c>
      <c r="I308" s="20" t="s">
        <v>418</v>
      </c>
      <c r="J308" s="15" t="s">
        <v>16</v>
      </c>
      <c r="K308" s="13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31.5" customHeight="1">
      <c r="A309" s="15">
        <f t="shared" si="61"/>
        <v>308</v>
      </c>
      <c r="B309" s="16" t="str">
        <f t="shared" si="62"/>
        <v>C308</v>
      </c>
      <c r="C309" s="17" t="s">
        <v>898</v>
      </c>
      <c r="D309" s="22" t="s">
        <v>899</v>
      </c>
      <c r="E309" s="16" t="s">
        <v>23</v>
      </c>
      <c r="F309" s="16" t="s">
        <v>707</v>
      </c>
      <c r="G309" s="19" t="s">
        <v>29</v>
      </c>
      <c r="H309" s="16" t="str">
        <f t="shared" si="63"/>
        <v>C300</v>
      </c>
      <c r="I309" s="77" t="s">
        <v>900</v>
      </c>
      <c r="J309" s="15" t="s">
        <v>16</v>
      </c>
      <c r="K309" s="21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27.0" customHeight="1">
      <c r="A310" s="15">
        <f t="shared" si="61"/>
        <v>309</v>
      </c>
      <c r="B310" s="16" t="str">
        <f t="shared" si="62"/>
        <v>C309</v>
      </c>
      <c r="C310" s="17" t="s">
        <v>901</v>
      </c>
      <c r="D310" s="22" t="s">
        <v>902</v>
      </c>
      <c r="E310" s="16" t="s">
        <v>23</v>
      </c>
      <c r="F310" s="16" t="s">
        <v>80</v>
      </c>
      <c r="G310" s="19" t="s">
        <v>29</v>
      </c>
      <c r="H310" s="16" t="str">
        <f t="shared" si="63"/>
        <v>C300</v>
      </c>
      <c r="I310" s="20" t="s">
        <v>418</v>
      </c>
      <c r="J310" s="15" t="s">
        <v>16</v>
      </c>
      <c r="K310" s="21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2.75" customHeight="1">
      <c r="A311" s="15">
        <f t="shared" si="61"/>
        <v>310</v>
      </c>
      <c r="B311" s="16" t="str">
        <f t="shared" si="62"/>
        <v>C310</v>
      </c>
      <c r="C311" s="17" t="s">
        <v>903</v>
      </c>
      <c r="D311" s="22" t="s">
        <v>904</v>
      </c>
      <c r="E311" s="16" t="s">
        <v>23</v>
      </c>
      <c r="F311" s="16" t="s">
        <v>80</v>
      </c>
      <c r="G311" s="19" t="s">
        <v>29</v>
      </c>
      <c r="H311" s="16" t="str">
        <f t="shared" si="63"/>
        <v>C300</v>
      </c>
      <c r="I311" s="20" t="s">
        <v>905</v>
      </c>
      <c r="J311" s="15" t="s">
        <v>16</v>
      </c>
      <c r="K311" s="21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2.75" customHeight="1">
      <c r="A312" s="15">
        <f t="shared" si="61"/>
        <v>311</v>
      </c>
      <c r="B312" s="16" t="str">
        <f t="shared" si="62"/>
        <v>C311</v>
      </c>
      <c r="C312" s="17" t="s">
        <v>906</v>
      </c>
      <c r="D312" s="22" t="s">
        <v>907</v>
      </c>
      <c r="E312" s="16" t="s">
        <v>23</v>
      </c>
      <c r="F312" s="16" t="s">
        <v>251</v>
      </c>
      <c r="G312" s="19" t="s">
        <v>29</v>
      </c>
      <c r="H312" s="16" t="str">
        <f t="shared" si="63"/>
        <v>C300</v>
      </c>
      <c r="I312" s="20" t="s">
        <v>908</v>
      </c>
      <c r="J312" s="15" t="s">
        <v>16</v>
      </c>
      <c r="K312" s="21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2.75" customHeight="1">
      <c r="A313" s="15">
        <f t="shared" si="61"/>
        <v>312</v>
      </c>
      <c r="B313" s="16" t="str">
        <f t="shared" si="62"/>
        <v>C312</v>
      </c>
      <c r="C313" s="17" t="s">
        <v>909</v>
      </c>
      <c r="D313" s="22" t="s">
        <v>910</v>
      </c>
      <c r="E313" s="16" t="s">
        <v>23</v>
      </c>
      <c r="F313" s="16" t="s">
        <v>251</v>
      </c>
      <c r="G313" s="19" t="s">
        <v>29</v>
      </c>
      <c r="H313" s="16" t="str">
        <f t="shared" si="63"/>
        <v>C300</v>
      </c>
      <c r="I313" s="20" t="s">
        <v>908</v>
      </c>
      <c r="J313" s="15" t="s">
        <v>16</v>
      </c>
      <c r="K313" s="21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2.75" customHeight="1">
      <c r="A314" s="15">
        <f t="shared" si="61"/>
        <v>313</v>
      </c>
      <c r="B314" s="16" t="str">
        <f t="shared" si="62"/>
        <v>C313</v>
      </c>
      <c r="C314" s="17" t="s">
        <v>911</v>
      </c>
      <c r="D314" s="22" t="s">
        <v>912</v>
      </c>
      <c r="E314" s="16" t="s">
        <v>23</v>
      </c>
      <c r="F314" s="16" t="s">
        <v>254</v>
      </c>
      <c r="G314" s="19" t="s">
        <v>29</v>
      </c>
      <c r="H314" s="16" t="str">
        <f t="shared" si="63"/>
        <v>C300</v>
      </c>
      <c r="I314" s="20" t="s">
        <v>418</v>
      </c>
      <c r="J314" s="15" t="s">
        <v>16</v>
      </c>
      <c r="K314" s="21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2.75" customHeight="1">
      <c r="A315" s="15">
        <f t="shared" si="61"/>
        <v>314</v>
      </c>
      <c r="B315" s="16" t="str">
        <f t="shared" si="62"/>
        <v>C314</v>
      </c>
      <c r="C315" s="17" t="s">
        <v>913</v>
      </c>
      <c r="D315" s="22" t="s">
        <v>914</v>
      </c>
      <c r="E315" s="16" t="s">
        <v>23</v>
      </c>
      <c r="F315" s="16" t="s">
        <v>130</v>
      </c>
      <c r="G315" s="19" t="s">
        <v>29</v>
      </c>
      <c r="H315" s="16" t="str">
        <f t="shared" si="63"/>
        <v>C300</v>
      </c>
      <c r="I315" s="21" t="s">
        <v>915</v>
      </c>
      <c r="J315" s="15" t="s">
        <v>854</v>
      </c>
      <c r="K315" s="13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2.75" customHeight="1">
      <c r="A316" s="15">
        <v>315.0</v>
      </c>
      <c r="B316" s="16" t="s">
        <v>916</v>
      </c>
      <c r="C316" s="52" t="s">
        <v>917</v>
      </c>
      <c r="D316" s="22" t="s">
        <v>918</v>
      </c>
      <c r="E316" s="16" t="s">
        <v>23</v>
      </c>
      <c r="F316" s="16" t="s">
        <v>658</v>
      </c>
      <c r="G316" s="19" t="s">
        <v>29</v>
      </c>
      <c r="H316" s="16" t="s">
        <v>919</v>
      </c>
      <c r="I316" s="21"/>
      <c r="J316" s="15"/>
      <c r="K316" s="13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27.75" customHeight="1">
      <c r="A317" s="15">
        <v>316.0</v>
      </c>
      <c r="B317" s="16" t="s">
        <v>920</v>
      </c>
      <c r="C317" s="52" t="s">
        <v>921</v>
      </c>
      <c r="D317" s="22" t="s">
        <v>922</v>
      </c>
      <c r="E317" s="16" t="s">
        <v>23</v>
      </c>
      <c r="F317" s="16" t="s">
        <v>46</v>
      </c>
      <c r="G317" s="19" t="s">
        <v>29</v>
      </c>
      <c r="H317" s="16" t="s">
        <v>919</v>
      </c>
      <c r="I317" s="21"/>
      <c r="J317" s="15"/>
      <c r="K317" s="13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2.75" customHeight="1">
      <c r="A318" s="15">
        <v>317.0</v>
      </c>
      <c r="B318" s="16" t="s">
        <v>923</v>
      </c>
      <c r="C318" s="52" t="s">
        <v>924</v>
      </c>
      <c r="D318" s="22" t="s">
        <v>925</v>
      </c>
      <c r="E318" s="16" t="s">
        <v>23</v>
      </c>
      <c r="F318" s="16" t="s">
        <v>64</v>
      </c>
      <c r="G318" s="19" t="s">
        <v>29</v>
      </c>
      <c r="H318" s="16" t="s">
        <v>919</v>
      </c>
      <c r="I318" s="21"/>
      <c r="J318" s="15"/>
      <c r="K318" s="13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2.75" customHeight="1">
      <c r="A319" s="15">
        <v>318.0</v>
      </c>
      <c r="B319" s="16" t="str">
        <f t="shared" ref="B319:B320" si="64">CONCATENATE("C",IF(A319&lt;=9,0,),A319)</f>
        <v>C318</v>
      </c>
      <c r="C319" s="17" t="s">
        <v>926</v>
      </c>
      <c r="D319" s="22" t="s">
        <v>927</v>
      </c>
      <c r="E319" s="16" t="s">
        <v>23</v>
      </c>
      <c r="F319" s="16" t="s">
        <v>928</v>
      </c>
      <c r="G319" s="19" t="s">
        <v>29</v>
      </c>
      <c r="H319" s="16" t="str">
        <f t="shared" ref="H319:H320" si="65">$B$301</f>
        <v>C300</v>
      </c>
      <c r="I319" s="21" t="s">
        <v>929</v>
      </c>
      <c r="J319" s="15" t="s">
        <v>374</v>
      </c>
      <c r="K319" s="13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2.75" customHeight="1">
      <c r="A320" s="15">
        <v>319.0</v>
      </c>
      <c r="B320" s="16" t="str">
        <f t="shared" si="64"/>
        <v>C319</v>
      </c>
      <c r="C320" s="17" t="s">
        <v>930</v>
      </c>
      <c r="D320" s="22" t="s">
        <v>931</v>
      </c>
      <c r="E320" s="16" t="s">
        <v>23</v>
      </c>
      <c r="F320" s="16" t="s">
        <v>130</v>
      </c>
      <c r="G320" s="19" t="s">
        <v>29</v>
      </c>
      <c r="H320" s="16" t="str">
        <f t="shared" si="65"/>
        <v>C300</v>
      </c>
      <c r="I320" s="21" t="s">
        <v>932</v>
      </c>
      <c r="J320" s="15" t="s">
        <v>733</v>
      </c>
      <c r="K320" s="13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2.75" customHeight="1">
      <c r="A321" s="59">
        <v>320.0</v>
      </c>
      <c r="B321" s="60" t="s">
        <v>933</v>
      </c>
      <c r="C321" s="61" t="s">
        <v>934</v>
      </c>
      <c r="D321" s="62" t="s">
        <v>935</v>
      </c>
      <c r="E321" s="60" t="s">
        <v>23</v>
      </c>
      <c r="F321" s="60" t="s">
        <v>658</v>
      </c>
      <c r="G321" s="64" t="s">
        <v>29</v>
      </c>
      <c r="H321" s="60" t="s">
        <v>919</v>
      </c>
      <c r="I321" s="71"/>
      <c r="J321" s="59"/>
      <c r="K321" s="73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2.75" customHeight="1">
      <c r="A322" s="80">
        <v>321.0</v>
      </c>
      <c r="B322" s="81" t="s">
        <v>936</v>
      </c>
      <c r="C322" s="82" t="s">
        <v>937</v>
      </c>
      <c r="D322" s="83" t="s">
        <v>938</v>
      </c>
      <c r="E322" s="81" t="s">
        <v>23</v>
      </c>
      <c r="F322" s="81" t="s">
        <v>158</v>
      </c>
      <c r="G322" s="84" t="s">
        <v>29</v>
      </c>
      <c r="H322" s="81" t="s">
        <v>919</v>
      </c>
      <c r="I322" s="85" t="s">
        <v>939</v>
      </c>
      <c r="J322" s="80"/>
      <c r="K322" s="8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2.75" customHeight="1">
      <c r="A323" s="7">
        <f t="shared" ref="A323:A330" si="66">ROW()-1</f>
        <v>322</v>
      </c>
      <c r="B323" s="8" t="str">
        <f t="shared" ref="B323:B330" si="67">CONCATENATE("C",IF(A323&lt;=9,0,),A323)</f>
        <v>C322</v>
      </c>
      <c r="C323" s="25" t="s">
        <v>940</v>
      </c>
      <c r="D323" s="7"/>
      <c r="E323" s="8" t="s">
        <v>13</v>
      </c>
      <c r="F323" s="8" t="s">
        <v>14</v>
      </c>
      <c r="G323" s="11" t="s">
        <v>29</v>
      </c>
      <c r="H323" s="8" t="str">
        <f>B301</f>
        <v>C300</v>
      </c>
      <c r="I323" s="12" t="s">
        <v>941</v>
      </c>
      <c r="J323" s="7" t="s">
        <v>722</v>
      </c>
      <c r="K323" s="21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2.75" customHeight="1">
      <c r="A324" s="7">
        <f t="shared" si="66"/>
        <v>323</v>
      </c>
      <c r="B324" s="8" t="str">
        <f t="shared" si="67"/>
        <v>C323</v>
      </c>
      <c r="C324" s="25" t="s">
        <v>942</v>
      </c>
      <c r="D324" s="7"/>
      <c r="E324" s="8" t="s">
        <v>13</v>
      </c>
      <c r="F324" s="8" t="s">
        <v>14</v>
      </c>
      <c r="G324" s="11" t="s">
        <v>216</v>
      </c>
      <c r="H324" s="8" t="str">
        <f>B323</f>
        <v>C322</v>
      </c>
      <c r="I324" s="12" t="s">
        <v>217</v>
      </c>
      <c r="J324" s="7" t="s">
        <v>722</v>
      </c>
      <c r="K324" s="24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2.75" customHeight="1">
      <c r="A325" s="15">
        <f t="shared" si="66"/>
        <v>324</v>
      </c>
      <c r="B325" s="16" t="str">
        <f t="shared" si="67"/>
        <v>C324</v>
      </c>
      <c r="C325" s="17" t="s">
        <v>943</v>
      </c>
      <c r="D325" s="22" t="s">
        <v>944</v>
      </c>
      <c r="E325" s="16" t="s">
        <v>23</v>
      </c>
      <c r="F325" s="16" t="s">
        <v>736</v>
      </c>
      <c r="G325" s="19" t="s">
        <v>15</v>
      </c>
      <c r="H325" s="16" t="str">
        <f t="shared" ref="H325:H330" si="68">B$324</f>
        <v>C323</v>
      </c>
      <c r="I325" s="20" t="s">
        <v>944</v>
      </c>
      <c r="J325" s="15" t="s">
        <v>722</v>
      </c>
      <c r="K325" s="13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2.75" customHeight="1">
      <c r="A326" s="15">
        <f t="shared" si="66"/>
        <v>325</v>
      </c>
      <c r="B326" s="16" t="str">
        <f t="shared" si="67"/>
        <v>C325</v>
      </c>
      <c r="C326" s="17" t="s">
        <v>945</v>
      </c>
      <c r="D326" s="22" t="s">
        <v>946</v>
      </c>
      <c r="E326" s="16" t="s">
        <v>23</v>
      </c>
      <c r="F326" s="16" t="s">
        <v>947</v>
      </c>
      <c r="G326" s="19" t="s">
        <v>15</v>
      </c>
      <c r="H326" s="16" t="str">
        <f t="shared" si="68"/>
        <v>C323</v>
      </c>
      <c r="I326" s="20" t="s">
        <v>946</v>
      </c>
      <c r="J326" s="15" t="s">
        <v>722</v>
      </c>
      <c r="K326" s="21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2.75" customHeight="1">
      <c r="A327" s="15">
        <f t="shared" si="66"/>
        <v>326</v>
      </c>
      <c r="B327" s="16" t="str">
        <f t="shared" si="67"/>
        <v>C326</v>
      </c>
      <c r="C327" s="17" t="s">
        <v>948</v>
      </c>
      <c r="D327" s="22" t="s">
        <v>949</v>
      </c>
      <c r="E327" s="16" t="s">
        <v>23</v>
      </c>
      <c r="F327" s="16" t="s">
        <v>736</v>
      </c>
      <c r="G327" s="19" t="s">
        <v>15</v>
      </c>
      <c r="H327" s="16" t="str">
        <f t="shared" si="68"/>
        <v>C323</v>
      </c>
      <c r="I327" s="20" t="s">
        <v>949</v>
      </c>
      <c r="J327" s="15" t="s">
        <v>722</v>
      </c>
      <c r="K327" s="21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2.75" customHeight="1">
      <c r="A328" s="15">
        <f t="shared" si="66"/>
        <v>327</v>
      </c>
      <c r="B328" s="16" t="str">
        <f t="shared" si="67"/>
        <v>C327</v>
      </c>
      <c r="C328" s="17" t="s">
        <v>950</v>
      </c>
      <c r="D328" s="22" t="s">
        <v>951</v>
      </c>
      <c r="E328" s="16" t="s">
        <v>23</v>
      </c>
      <c r="F328" s="16" t="s">
        <v>952</v>
      </c>
      <c r="G328" s="19" t="s">
        <v>15</v>
      </c>
      <c r="H328" s="16" t="str">
        <f t="shared" si="68"/>
        <v>C323</v>
      </c>
      <c r="I328" s="20" t="s">
        <v>951</v>
      </c>
      <c r="J328" s="15" t="s">
        <v>722</v>
      </c>
      <c r="K328" s="21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2.75" customHeight="1">
      <c r="A329" s="15">
        <f t="shared" si="66"/>
        <v>328</v>
      </c>
      <c r="B329" s="16" t="str">
        <f t="shared" si="67"/>
        <v>C328</v>
      </c>
      <c r="C329" s="17" t="s">
        <v>953</v>
      </c>
      <c r="D329" s="22" t="s">
        <v>954</v>
      </c>
      <c r="E329" s="16" t="s">
        <v>23</v>
      </c>
      <c r="F329" s="16" t="s">
        <v>955</v>
      </c>
      <c r="G329" s="19" t="s">
        <v>15</v>
      </c>
      <c r="H329" s="16" t="str">
        <f t="shared" si="68"/>
        <v>C323</v>
      </c>
      <c r="I329" s="20" t="s">
        <v>954</v>
      </c>
      <c r="J329" s="15" t="s">
        <v>722</v>
      </c>
      <c r="K329" s="21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2.75" customHeight="1">
      <c r="A330" s="15">
        <f t="shared" si="66"/>
        <v>329</v>
      </c>
      <c r="B330" s="16" t="str">
        <f t="shared" si="67"/>
        <v>C329</v>
      </c>
      <c r="C330" s="17" t="s">
        <v>956</v>
      </c>
      <c r="D330" s="22" t="s">
        <v>957</v>
      </c>
      <c r="E330" s="16" t="s">
        <v>23</v>
      </c>
      <c r="F330" s="16" t="s">
        <v>254</v>
      </c>
      <c r="G330" s="19" t="s">
        <v>15</v>
      </c>
      <c r="H330" s="16" t="str">
        <f t="shared" si="68"/>
        <v>C323</v>
      </c>
      <c r="I330" s="20" t="s">
        <v>957</v>
      </c>
      <c r="J330" s="15" t="s">
        <v>722</v>
      </c>
      <c r="K330" s="21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2.75" customHeight="1">
      <c r="A331" s="15">
        <v>326.0</v>
      </c>
      <c r="B331" s="16" t="s">
        <v>958</v>
      </c>
      <c r="C331" s="87" t="s">
        <v>959</v>
      </c>
      <c r="D331" s="22" t="s">
        <v>960</v>
      </c>
      <c r="E331" s="16" t="s">
        <v>23</v>
      </c>
      <c r="F331" s="16" t="s">
        <v>230</v>
      </c>
      <c r="G331" s="19" t="s">
        <v>29</v>
      </c>
      <c r="H331" s="16" t="s">
        <v>961</v>
      </c>
      <c r="I331" s="20"/>
      <c r="J331" s="15"/>
      <c r="K331" s="21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2.75" customHeight="1">
      <c r="A332" s="7">
        <f t="shared" ref="A332:A336" si="69">ROW()-1</f>
        <v>331</v>
      </c>
      <c r="B332" s="8" t="str">
        <f t="shared" ref="B332:B336" si="70">CONCATENATE("C",IF(A332&lt;=9,0,),A332)</f>
        <v>C331</v>
      </c>
      <c r="C332" s="25" t="s">
        <v>962</v>
      </c>
      <c r="D332" s="7"/>
      <c r="E332" s="8" t="s">
        <v>13</v>
      </c>
      <c r="F332" s="8" t="s">
        <v>14</v>
      </c>
      <c r="G332" s="11" t="s">
        <v>29</v>
      </c>
      <c r="H332" s="8" t="str">
        <f>$B$9</f>
        <v>C08</v>
      </c>
      <c r="I332" s="12" t="s">
        <v>963</v>
      </c>
      <c r="J332" s="7" t="s">
        <v>16</v>
      </c>
      <c r="K332" s="21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ht="12.75" customHeight="1">
      <c r="A333" s="7">
        <f t="shared" si="69"/>
        <v>332</v>
      </c>
      <c r="B333" s="8" t="str">
        <f t="shared" si="70"/>
        <v>C332</v>
      </c>
      <c r="C333" s="25" t="s">
        <v>964</v>
      </c>
      <c r="D333" s="7"/>
      <c r="E333" s="8" t="s">
        <v>13</v>
      </c>
      <c r="F333" s="8" t="s">
        <v>14</v>
      </c>
      <c r="G333" s="11" t="s">
        <v>216</v>
      </c>
      <c r="H333" s="8" t="str">
        <f>$B$332</f>
        <v>C331</v>
      </c>
      <c r="I333" s="12" t="s">
        <v>217</v>
      </c>
      <c r="J333" s="7" t="s">
        <v>16</v>
      </c>
      <c r="K333" s="13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ht="12.75" customHeight="1">
      <c r="A334" s="15">
        <f t="shared" si="69"/>
        <v>333</v>
      </c>
      <c r="B334" s="16" t="str">
        <f t="shared" si="70"/>
        <v>C333</v>
      </c>
      <c r="C334" s="17" t="s">
        <v>965</v>
      </c>
      <c r="D334" s="22" t="s">
        <v>966</v>
      </c>
      <c r="E334" s="16" t="s">
        <v>23</v>
      </c>
      <c r="F334" s="16" t="s">
        <v>967</v>
      </c>
      <c r="G334" s="19" t="s">
        <v>15</v>
      </c>
      <c r="H334" s="16" t="str">
        <f t="shared" ref="H334:H336" si="71">$B$333</f>
        <v>C332</v>
      </c>
      <c r="I334" s="20" t="s">
        <v>966</v>
      </c>
      <c r="J334" s="15" t="s">
        <v>16</v>
      </c>
      <c r="K334" s="21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54.0" customHeight="1">
      <c r="A335" s="15">
        <f t="shared" si="69"/>
        <v>334</v>
      </c>
      <c r="B335" s="16" t="str">
        <f t="shared" si="70"/>
        <v>C334</v>
      </c>
      <c r="C335" s="17" t="s">
        <v>968</v>
      </c>
      <c r="D335" s="18" t="s">
        <v>969</v>
      </c>
      <c r="E335" s="16" t="s">
        <v>23</v>
      </c>
      <c r="F335" s="16" t="s">
        <v>970</v>
      </c>
      <c r="G335" s="19" t="s">
        <v>15</v>
      </c>
      <c r="H335" s="16" t="str">
        <f t="shared" si="71"/>
        <v>C332</v>
      </c>
      <c r="I335" s="21" t="s">
        <v>971</v>
      </c>
      <c r="J335" s="15" t="s">
        <v>16</v>
      </c>
      <c r="K335" s="24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43.5" customHeight="1">
      <c r="A336" s="15">
        <f t="shared" si="69"/>
        <v>335</v>
      </c>
      <c r="B336" s="16" t="str">
        <f t="shared" si="70"/>
        <v>C335</v>
      </c>
      <c r="C336" s="17" t="s">
        <v>972</v>
      </c>
      <c r="D336" s="18" t="s">
        <v>973</v>
      </c>
      <c r="E336" s="16" t="s">
        <v>23</v>
      </c>
      <c r="F336" s="16" t="s">
        <v>970</v>
      </c>
      <c r="G336" s="19" t="s">
        <v>15</v>
      </c>
      <c r="H336" s="16" t="str">
        <f t="shared" si="71"/>
        <v>C332</v>
      </c>
      <c r="I336" s="21" t="s">
        <v>974</v>
      </c>
      <c r="J336" s="15" t="s">
        <v>16</v>
      </c>
      <c r="K336" s="13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7.25" customHeight="1">
      <c r="A337" s="59">
        <v>332.0</v>
      </c>
      <c r="B337" s="60" t="s">
        <v>975</v>
      </c>
      <c r="C337" s="61" t="s">
        <v>976</v>
      </c>
      <c r="D337" s="79" t="s">
        <v>977</v>
      </c>
      <c r="E337" s="60" t="s">
        <v>23</v>
      </c>
      <c r="F337" s="60" t="s">
        <v>928</v>
      </c>
      <c r="G337" s="64" t="s">
        <v>29</v>
      </c>
      <c r="H337" s="60" t="s">
        <v>978</v>
      </c>
      <c r="I337" s="65" t="s">
        <v>183</v>
      </c>
      <c r="J337" s="59"/>
      <c r="K337" s="73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9.5" customHeight="1">
      <c r="A338" s="15">
        <f t="shared" ref="A338:A340" si="72">ROW()-1</f>
        <v>337</v>
      </c>
      <c r="B338" s="16" t="str">
        <f t="shared" ref="B338:B340" si="73">CONCATENATE("C",IF(A338&lt;=9,0,),A338)</f>
        <v>C337</v>
      </c>
      <c r="C338" s="17" t="s">
        <v>979</v>
      </c>
      <c r="D338" s="22" t="s">
        <v>980</v>
      </c>
      <c r="E338" s="16" t="s">
        <v>23</v>
      </c>
      <c r="F338" s="16" t="s">
        <v>752</v>
      </c>
      <c r="G338" s="19" t="s">
        <v>29</v>
      </c>
      <c r="H338" s="16" t="str">
        <f t="shared" ref="H338:H340" si="74">$B$333</f>
        <v>C332</v>
      </c>
      <c r="I338" s="20" t="s">
        <v>980</v>
      </c>
      <c r="J338" s="15" t="s">
        <v>16</v>
      </c>
      <c r="K338" s="21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2.75" customHeight="1">
      <c r="A339" s="15">
        <f t="shared" si="72"/>
        <v>338</v>
      </c>
      <c r="B339" s="16" t="str">
        <f t="shared" si="73"/>
        <v>C338</v>
      </c>
      <c r="C339" s="22" t="s">
        <v>981</v>
      </c>
      <c r="D339" s="22" t="s">
        <v>982</v>
      </c>
      <c r="E339" s="15" t="s">
        <v>23</v>
      </c>
      <c r="F339" s="15" t="s">
        <v>755</v>
      </c>
      <c r="G339" s="88" t="s">
        <v>29</v>
      </c>
      <c r="H339" s="16" t="str">
        <f t="shared" si="74"/>
        <v>C332</v>
      </c>
      <c r="I339" s="20" t="s">
        <v>982</v>
      </c>
      <c r="J339" s="15" t="s">
        <v>16</v>
      </c>
      <c r="K339" s="21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2.75" customHeight="1">
      <c r="A340" s="59">
        <f t="shared" si="72"/>
        <v>339</v>
      </c>
      <c r="B340" s="60" t="str">
        <f t="shared" si="73"/>
        <v>C339</v>
      </c>
      <c r="C340" s="62" t="s">
        <v>983</v>
      </c>
      <c r="D340" s="62" t="s">
        <v>984</v>
      </c>
      <c r="E340" s="59" t="s">
        <v>23</v>
      </c>
      <c r="F340" s="59" t="s">
        <v>985</v>
      </c>
      <c r="G340" s="89" t="s">
        <v>29</v>
      </c>
      <c r="H340" s="60" t="str">
        <f t="shared" si="74"/>
        <v>C332</v>
      </c>
      <c r="I340" s="65" t="s">
        <v>183</v>
      </c>
      <c r="J340" s="59" t="s">
        <v>386</v>
      </c>
      <c r="K340" s="71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2.75" customHeight="1">
      <c r="A341" s="59">
        <v>336.0</v>
      </c>
      <c r="B341" s="60" t="s">
        <v>986</v>
      </c>
      <c r="C341" s="62" t="s">
        <v>987</v>
      </c>
      <c r="D341" s="62" t="s">
        <v>988</v>
      </c>
      <c r="E341" s="59" t="s">
        <v>23</v>
      </c>
      <c r="F341" s="59" t="s">
        <v>989</v>
      </c>
      <c r="G341" s="89" t="s">
        <v>29</v>
      </c>
      <c r="H341" s="60" t="s">
        <v>978</v>
      </c>
      <c r="I341" s="65" t="s">
        <v>183</v>
      </c>
      <c r="J341" s="59"/>
      <c r="K341" s="71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2.75" customHeight="1">
      <c r="A342" s="59">
        <v>337.0</v>
      </c>
      <c r="B342" s="60" t="s">
        <v>990</v>
      </c>
      <c r="C342" s="62" t="s">
        <v>991</v>
      </c>
      <c r="D342" s="62" t="s">
        <v>992</v>
      </c>
      <c r="E342" s="59" t="s">
        <v>23</v>
      </c>
      <c r="F342" s="59" t="s">
        <v>952</v>
      </c>
      <c r="G342" s="89" t="s">
        <v>29</v>
      </c>
      <c r="H342" s="60" t="s">
        <v>993</v>
      </c>
      <c r="I342" s="65" t="s">
        <v>183</v>
      </c>
      <c r="J342" s="59"/>
      <c r="K342" s="71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2.75" customHeight="1">
      <c r="A343" s="59">
        <v>338.0</v>
      </c>
      <c r="B343" s="60" t="s">
        <v>994</v>
      </c>
      <c r="C343" s="62" t="s">
        <v>995</v>
      </c>
      <c r="D343" s="62" t="s">
        <v>996</v>
      </c>
      <c r="E343" s="59" t="s">
        <v>23</v>
      </c>
      <c r="F343" s="59" t="s">
        <v>997</v>
      </c>
      <c r="G343" s="89" t="s">
        <v>29</v>
      </c>
      <c r="H343" s="60" t="s">
        <v>978</v>
      </c>
      <c r="I343" s="65" t="s">
        <v>183</v>
      </c>
      <c r="J343" s="59"/>
      <c r="K343" s="71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2.75" customHeight="1">
      <c r="A344" s="59">
        <v>339.0</v>
      </c>
      <c r="B344" s="60" t="s">
        <v>998</v>
      </c>
      <c r="C344" s="62" t="s">
        <v>999</v>
      </c>
      <c r="D344" s="62" t="s">
        <v>1000</v>
      </c>
      <c r="E344" s="59" t="s">
        <v>23</v>
      </c>
      <c r="F344" s="59" t="s">
        <v>771</v>
      </c>
      <c r="G344" s="89" t="s">
        <v>29</v>
      </c>
      <c r="H344" s="60" t="s">
        <v>978</v>
      </c>
      <c r="I344" s="65" t="s">
        <v>183</v>
      </c>
      <c r="J344" s="59"/>
      <c r="K344" s="71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2.75" customHeight="1">
      <c r="A345" s="59">
        <v>340.0</v>
      </c>
      <c r="B345" s="60" t="s">
        <v>1001</v>
      </c>
      <c r="C345" s="62" t="s">
        <v>1002</v>
      </c>
      <c r="D345" s="62" t="s">
        <v>1003</v>
      </c>
      <c r="E345" s="59" t="s">
        <v>23</v>
      </c>
      <c r="F345" s="59" t="s">
        <v>158</v>
      </c>
      <c r="G345" s="89" t="s">
        <v>29</v>
      </c>
      <c r="H345" s="60" t="s">
        <v>978</v>
      </c>
      <c r="I345" s="65" t="s">
        <v>183</v>
      </c>
      <c r="J345" s="59"/>
      <c r="K345" s="71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2.75" customHeight="1">
      <c r="A346" s="59">
        <v>341.0</v>
      </c>
      <c r="B346" s="60" t="s">
        <v>1004</v>
      </c>
      <c r="C346" s="62" t="s">
        <v>1005</v>
      </c>
      <c r="D346" s="62" t="s">
        <v>1006</v>
      </c>
      <c r="E346" s="59" t="s">
        <v>23</v>
      </c>
      <c r="F346" s="59" t="s">
        <v>658</v>
      </c>
      <c r="G346" s="89" t="s">
        <v>29</v>
      </c>
      <c r="H346" s="60" t="s">
        <v>978</v>
      </c>
      <c r="I346" s="65" t="s">
        <v>183</v>
      </c>
      <c r="J346" s="59"/>
      <c r="K346" s="71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2.75" customHeight="1">
      <c r="A347" s="59">
        <v>342.0</v>
      </c>
      <c r="B347" s="60" t="s">
        <v>1007</v>
      </c>
      <c r="C347" s="62" t="s">
        <v>1008</v>
      </c>
      <c r="D347" s="62" t="s">
        <v>1009</v>
      </c>
      <c r="E347" s="59" t="s">
        <v>23</v>
      </c>
      <c r="F347" s="59" t="s">
        <v>1010</v>
      </c>
      <c r="G347" s="89" t="s">
        <v>29</v>
      </c>
      <c r="H347" s="60" t="s">
        <v>978</v>
      </c>
      <c r="I347" s="65" t="s">
        <v>183</v>
      </c>
      <c r="J347" s="59"/>
      <c r="K347" s="71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2.75" customHeight="1">
      <c r="A348" s="59">
        <v>343.0</v>
      </c>
      <c r="B348" s="60" t="s">
        <v>1011</v>
      </c>
      <c r="C348" s="62" t="s">
        <v>1012</v>
      </c>
      <c r="D348" s="62" t="s">
        <v>1013</v>
      </c>
      <c r="E348" s="59" t="s">
        <v>23</v>
      </c>
      <c r="F348" s="59" t="s">
        <v>658</v>
      </c>
      <c r="G348" s="89" t="s">
        <v>29</v>
      </c>
      <c r="H348" s="60" t="s">
        <v>978</v>
      </c>
      <c r="I348" s="65" t="s">
        <v>183</v>
      </c>
      <c r="J348" s="59"/>
      <c r="K348" s="71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2.75" customHeight="1">
      <c r="A349" s="59">
        <v>344.0</v>
      </c>
      <c r="B349" s="60" t="s">
        <v>1014</v>
      </c>
      <c r="C349" s="62" t="s">
        <v>1015</v>
      </c>
      <c r="D349" s="62" t="s">
        <v>1016</v>
      </c>
      <c r="E349" s="59" t="s">
        <v>23</v>
      </c>
      <c r="F349" s="59" t="s">
        <v>736</v>
      </c>
      <c r="G349" s="89" t="s">
        <v>29</v>
      </c>
      <c r="H349" s="60" t="s">
        <v>978</v>
      </c>
      <c r="I349" s="65" t="s">
        <v>183</v>
      </c>
      <c r="J349" s="59"/>
      <c r="K349" s="71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2.75" customHeight="1">
      <c r="A350" s="59">
        <v>345.0</v>
      </c>
      <c r="B350" s="60" t="s">
        <v>1017</v>
      </c>
      <c r="C350" s="62" t="s">
        <v>1018</v>
      </c>
      <c r="D350" s="62" t="s">
        <v>1019</v>
      </c>
      <c r="E350" s="59" t="s">
        <v>23</v>
      </c>
      <c r="F350" s="59" t="s">
        <v>1020</v>
      </c>
      <c r="G350" s="89" t="s">
        <v>29</v>
      </c>
      <c r="H350" s="60" t="s">
        <v>978</v>
      </c>
      <c r="I350" s="65" t="s">
        <v>183</v>
      </c>
      <c r="J350" s="59"/>
      <c r="K350" s="71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2.75" customHeight="1">
      <c r="A351" s="59">
        <v>346.0</v>
      </c>
      <c r="B351" s="60" t="s">
        <v>1021</v>
      </c>
      <c r="C351" s="62" t="s">
        <v>1022</v>
      </c>
      <c r="D351" s="62"/>
      <c r="E351" s="59" t="s">
        <v>23</v>
      </c>
      <c r="F351" s="59" t="s">
        <v>652</v>
      </c>
      <c r="G351" s="89" t="s">
        <v>29</v>
      </c>
      <c r="H351" s="60" t="s">
        <v>978</v>
      </c>
      <c r="I351" s="65" t="s">
        <v>183</v>
      </c>
      <c r="J351" s="59"/>
      <c r="K351" s="71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99.75" customHeight="1">
      <c r="A352" s="59">
        <v>347.0</v>
      </c>
      <c r="B352" s="60" t="s">
        <v>1023</v>
      </c>
      <c r="C352" s="62" t="s">
        <v>1024</v>
      </c>
      <c r="D352" s="62" t="s">
        <v>829</v>
      </c>
      <c r="E352" s="59" t="s">
        <v>23</v>
      </c>
      <c r="F352" s="59" t="s">
        <v>89</v>
      </c>
      <c r="G352" s="89" t="s">
        <v>29</v>
      </c>
      <c r="H352" s="60" t="s">
        <v>978</v>
      </c>
      <c r="I352" s="71" t="s">
        <v>1025</v>
      </c>
      <c r="J352" s="59"/>
      <c r="K352" s="71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2.75" customHeight="1">
      <c r="A353" s="15">
        <f t="shared" ref="A353:A357" si="75">ROW()-1</f>
        <v>352</v>
      </c>
      <c r="B353" s="16" t="str">
        <f t="shared" ref="B353:B357" si="76">CONCATENATE("C",IF(A353&lt;=9,0,),A353)</f>
        <v>C352</v>
      </c>
      <c r="C353" s="22" t="s">
        <v>1026</v>
      </c>
      <c r="D353" s="22" t="s">
        <v>1027</v>
      </c>
      <c r="E353" s="15" t="s">
        <v>23</v>
      </c>
      <c r="F353" s="15" t="s">
        <v>1028</v>
      </c>
      <c r="G353" s="88" t="s">
        <v>29</v>
      </c>
      <c r="H353" s="16" t="s">
        <v>978</v>
      </c>
      <c r="I353" s="20"/>
      <c r="J353" s="15" t="s">
        <v>386</v>
      </c>
      <c r="K353" s="21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2.75" customHeight="1">
      <c r="A354" s="15">
        <f t="shared" si="75"/>
        <v>353</v>
      </c>
      <c r="B354" s="16" t="str">
        <f t="shared" si="76"/>
        <v>C353</v>
      </c>
      <c r="C354" s="17" t="s">
        <v>1029</v>
      </c>
      <c r="D354" s="22" t="s">
        <v>1030</v>
      </c>
      <c r="E354" s="16" t="s">
        <v>23</v>
      </c>
      <c r="F354" s="16" t="s">
        <v>1031</v>
      </c>
      <c r="G354" s="19" t="s">
        <v>29</v>
      </c>
      <c r="H354" s="16" t="str">
        <f t="shared" ref="H354:H357" si="77">$B$333</f>
        <v>C332</v>
      </c>
      <c r="I354" s="20" t="s">
        <v>1030</v>
      </c>
      <c r="J354" s="15" t="s">
        <v>16</v>
      </c>
      <c r="K354" s="21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2.75" customHeight="1">
      <c r="A355" s="15">
        <f t="shared" si="75"/>
        <v>354</v>
      </c>
      <c r="B355" s="16" t="str">
        <f t="shared" si="76"/>
        <v>C354</v>
      </c>
      <c r="C355" s="17" t="s">
        <v>1032</v>
      </c>
      <c r="D355" s="17" t="s">
        <v>1033</v>
      </c>
      <c r="E355" s="16" t="s">
        <v>23</v>
      </c>
      <c r="F355" s="16" t="s">
        <v>254</v>
      </c>
      <c r="G355" s="88" t="s">
        <v>29</v>
      </c>
      <c r="H355" s="16" t="str">
        <f t="shared" si="77"/>
        <v>C332</v>
      </c>
      <c r="I355" s="20" t="s">
        <v>1034</v>
      </c>
      <c r="J355" s="15" t="s">
        <v>16</v>
      </c>
      <c r="K355" s="21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2.75" customHeight="1">
      <c r="A356" s="15">
        <f t="shared" si="75"/>
        <v>355</v>
      </c>
      <c r="B356" s="16" t="str">
        <f t="shared" si="76"/>
        <v>C355</v>
      </c>
      <c r="C356" s="17" t="s">
        <v>1035</v>
      </c>
      <c r="D356" s="17" t="s">
        <v>1036</v>
      </c>
      <c r="E356" s="16" t="s">
        <v>23</v>
      </c>
      <c r="F356" s="16" t="s">
        <v>203</v>
      </c>
      <c r="G356" s="88" t="s">
        <v>29</v>
      </c>
      <c r="H356" s="16" t="str">
        <f t="shared" si="77"/>
        <v>C332</v>
      </c>
      <c r="I356" s="20"/>
      <c r="J356" s="15" t="s">
        <v>386</v>
      </c>
      <c r="K356" s="21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2.75" customHeight="1">
      <c r="A357" s="15">
        <f t="shared" si="75"/>
        <v>356</v>
      </c>
      <c r="B357" s="16" t="str">
        <f t="shared" si="76"/>
        <v>C356</v>
      </c>
      <c r="C357" s="17" t="s">
        <v>1037</v>
      </c>
      <c r="D357" s="17" t="s">
        <v>1038</v>
      </c>
      <c r="E357" s="16" t="s">
        <v>23</v>
      </c>
      <c r="F357" s="16" t="s">
        <v>1039</v>
      </c>
      <c r="G357" s="88" t="s">
        <v>29</v>
      </c>
      <c r="H357" s="16" t="str">
        <f t="shared" si="77"/>
        <v>C332</v>
      </c>
      <c r="I357" s="20"/>
      <c r="J357" s="15" t="s">
        <v>386</v>
      </c>
      <c r="K357" s="21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2.75" customHeight="1">
      <c r="A358" s="59">
        <v>353.0</v>
      </c>
      <c r="B358" s="60" t="s">
        <v>1040</v>
      </c>
      <c r="C358" s="61" t="s">
        <v>1041</v>
      </c>
      <c r="D358" s="61" t="s">
        <v>1042</v>
      </c>
      <c r="E358" s="60" t="s">
        <v>23</v>
      </c>
      <c r="F358" s="60" t="s">
        <v>149</v>
      </c>
      <c r="G358" s="89" t="s">
        <v>29</v>
      </c>
      <c r="H358" s="60" t="s">
        <v>978</v>
      </c>
      <c r="I358" s="65" t="s">
        <v>183</v>
      </c>
      <c r="J358" s="59"/>
      <c r="K358" s="71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2.75" customHeight="1">
      <c r="A359" s="15">
        <f t="shared" ref="A359:A364" si="78">ROW()-1</f>
        <v>358</v>
      </c>
      <c r="B359" s="16" t="str">
        <f t="shared" ref="B359:B364" si="79">CONCATENATE("C",IF(A359&lt;=9,0,),A359)</f>
        <v>C358</v>
      </c>
      <c r="C359" s="17" t="s">
        <v>1043</v>
      </c>
      <c r="D359" s="17" t="s">
        <v>1044</v>
      </c>
      <c r="E359" s="16" t="s">
        <v>23</v>
      </c>
      <c r="F359" s="16" t="s">
        <v>64</v>
      </c>
      <c r="G359" s="88" t="s">
        <v>29</v>
      </c>
      <c r="H359" s="16" t="str">
        <f t="shared" ref="H359:H364" si="80">$B$333</f>
        <v>C332</v>
      </c>
      <c r="I359" s="20" t="s">
        <v>65</v>
      </c>
      <c r="J359" s="15" t="s">
        <v>386</v>
      </c>
      <c r="K359" s="21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2.75" customHeight="1">
      <c r="A360" s="15">
        <f t="shared" si="78"/>
        <v>359</v>
      </c>
      <c r="B360" s="16" t="str">
        <f t="shared" si="79"/>
        <v>C359</v>
      </c>
      <c r="C360" s="17" t="s">
        <v>1045</v>
      </c>
      <c r="D360" s="22" t="s">
        <v>1046</v>
      </c>
      <c r="E360" s="16" t="s">
        <v>23</v>
      </c>
      <c r="F360" s="16" t="s">
        <v>1047</v>
      </c>
      <c r="G360" s="19" t="s">
        <v>29</v>
      </c>
      <c r="H360" s="16" t="str">
        <f t="shared" si="80"/>
        <v>C332</v>
      </c>
      <c r="I360" s="20" t="s">
        <v>1048</v>
      </c>
      <c r="J360" s="15" t="s">
        <v>16</v>
      </c>
      <c r="K360" s="21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2.75" customHeight="1">
      <c r="A361" s="15">
        <f t="shared" si="78"/>
        <v>360</v>
      </c>
      <c r="B361" s="16" t="str">
        <f t="shared" si="79"/>
        <v>C360</v>
      </c>
      <c r="C361" s="17" t="s">
        <v>1049</v>
      </c>
      <c r="D361" s="22" t="s">
        <v>1050</v>
      </c>
      <c r="E361" s="16" t="s">
        <v>23</v>
      </c>
      <c r="F361" s="16" t="s">
        <v>254</v>
      </c>
      <c r="G361" s="88" t="s">
        <v>15</v>
      </c>
      <c r="H361" s="16" t="str">
        <f t="shared" si="80"/>
        <v>C332</v>
      </c>
      <c r="I361" s="20" t="s">
        <v>1050</v>
      </c>
      <c r="J361" s="15" t="s">
        <v>16</v>
      </c>
      <c r="K361" s="21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2.75" customHeight="1">
      <c r="A362" s="90">
        <f t="shared" si="78"/>
        <v>361</v>
      </c>
      <c r="B362" s="91" t="str">
        <f t="shared" si="79"/>
        <v>C361</v>
      </c>
      <c r="C362" s="51" t="s">
        <v>1051</v>
      </c>
      <c r="D362" s="92" t="s">
        <v>1052</v>
      </c>
      <c r="E362" s="91" t="s">
        <v>23</v>
      </c>
      <c r="F362" s="91" t="s">
        <v>254</v>
      </c>
      <c r="G362" s="93" t="s">
        <v>29</v>
      </c>
      <c r="H362" s="91" t="str">
        <f t="shared" si="80"/>
        <v>C332</v>
      </c>
      <c r="I362" s="94" t="s">
        <v>1053</v>
      </c>
      <c r="J362" s="90" t="s">
        <v>1054</v>
      </c>
      <c r="K362" s="13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ht="12.75" customHeight="1">
      <c r="A363" s="90">
        <f t="shared" si="78"/>
        <v>362</v>
      </c>
      <c r="B363" s="91" t="str">
        <f t="shared" si="79"/>
        <v>C362</v>
      </c>
      <c r="C363" s="51" t="s">
        <v>1055</v>
      </c>
      <c r="D363" s="92" t="s">
        <v>1056</v>
      </c>
      <c r="E363" s="91" t="s">
        <v>23</v>
      </c>
      <c r="F363" s="91" t="s">
        <v>254</v>
      </c>
      <c r="G363" s="93" t="s">
        <v>29</v>
      </c>
      <c r="H363" s="91" t="str">
        <f t="shared" si="80"/>
        <v>C332</v>
      </c>
      <c r="I363" s="94" t="s">
        <v>1053</v>
      </c>
      <c r="J363" s="90" t="s">
        <v>1054</v>
      </c>
      <c r="K363" s="21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ht="12.75" customHeight="1">
      <c r="A364" s="90">
        <f t="shared" si="78"/>
        <v>363</v>
      </c>
      <c r="B364" s="91" t="str">
        <f t="shared" si="79"/>
        <v>C363</v>
      </c>
      <c r="C364" s="51" t="s">
        <v>1057</v>
      </c>
      <c r="D364" s="92" t="s">
        <v>3</v>
      </c>
      <c r="E364" s="91" t="s">
        <v>23</v>
      </c>
      <c r="F364" s="91" t="s">
        <v>158</v>
      </c>
      <c r="G364" s="93" t="s">
        <v>29</v>
      </c>
      <c r="H364" s="91" t="str">
        <f t="shared" si="80"/>
        <v>C332</v>
      </c>
      <c r="I364" s="94" t="s">
        <v>1053</v>
      </c>
      <c r="J364" s="90" t="s">
        <v>1054</v>
      </c>
      <c r="K364" s="24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ht="12.75" customHeight="1">
      <c r="A365" s="90">
        <v>360.0</v>
      </c>
      <c r="B365" s="91" t="s">
        <v>1058</v>
      </c>
      <c r="C365" s="52" t="s">
        <v>1059</v>
      </c>
      <c r="D365" s="92" t="s">
        <v>1060</v>
      </c>
      <c r="E365" s="91" t="s">
        <v>23</v>
      </c>
      <c r="F365" s="91" t="s">
        <v>230</v>
      </c>
      <c r="G365" s="93" t="s">
        <v>29</v>
      </c>
      <c r="H365" s="91" t="s">
        <v>978</v>
      </c>
      <c r="I365" s="94"/>
      <c r="J365" s="90"/>
      <c r="K365" s="24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ht="12.75" customHeight="1">
      <c r="A366" s="90">
        <f t="shared" ref="A366:A369" si="81">ROW()-1</f>
        <v>365</v>
      </c>
      <c r="B366" s="91" t="str">
        <f t="shared" ref="B366:B369" si="82">CONCATENATE("C",IF(A366&lt;=9,0,),A366)</f>
        <v>C365</v>
      </c>
      <c r="C366" s="51" t="s">
        <v>1061</v>
      </c>
      <c r="D366" s="92" t="s">
        <v>1062</v>
      </c>
      <c r="E366" s="91" t="s">
        <v>23</v>
      </c>
      <c r="F366" s="91" t="s">
        <v>1063</v>
      </c>
      <c r="G366" s="93" t="s">
        <v>29</v>
      </c>
      <c r="H366" s="91" t="str">
        <f t="shared" ref="H366:H369" si="83">$B$333</f>
        <v>C332</v>
      </c>
      <c r="I366" s="94"/>
      <c r="J366" s="90" t="s">
        <v>386</v>
      </c>
      <c r="K366" s="24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ht="12.75" customHeight="1">
      <c r="A367" s="90">
        <f t="shared" si="81"/>
        <v>366</v>
      </c>
      <c r="B367" s="91" t="str">
        <f t="shared" si="82"/>
        <v>C366</v>
      </c>
      <c r="C367" s="51" t="s">
        <v>1064</v>
      </c>
      <c r="D367" s="92" t="s">
        <v>1065</v>
      </c>
      <c r="E367" s="91" t="s">
        <v>23</v>
      </c>
      <c r="F367" s="91" t="s">
        <v>394</v>
      </c>
      <c r="G367" s="93" t="s">
        <v>29</v>
      </c>
      <c r="H367" s="91" t="str">
        <f t="shared" si="83"/>
        <v>C332</v>
      </c>
      <c r="I367" s="94"/>
      <c r="J367" s="90" t="s">
        <v>386</v>
      </c>
      <c r="K367" s="24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ht="12.75" customHeight="1">
      <c r="A368" s="90">
        <f t="shared" si="81"/>
        <v>367</v>
      </c>
      <c r="B368" s="91" t="str">
        <f t="shared" si="82"/>
        <v>C367</v>
      </c>
      <c r="C368" s="51" t="s">
        <v>1066</v>
      </c>
      <c r="D368" s="92" t="s">
        <v>1067</v>
      </c>
      <c r="E368" s="91" t="s">
        <v>23</v>
      </c>
      <c r="F368" s="91" t="s">
        <v>1068</v>
      </c>
      <c r="G368" s="93" t="s">
        <v>29</v>
      </c>
      <c r="H368" s="91" t="str">
        <f t="shared" si="83"/>
        <v>C332</v>
      </c>
      <c r="I368" s="94"/>
      <c r="J368" s="90" t="s">
        <v>386</v>
      </c>
      <c r="K368" s="24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ht="12.75" customHeight="1">
      <c r="A369" s="90">
        <f t="shared" si="81"/>
        <v>368</v>
      </c>
      <c r="B369" s="91" t="str">
        <f t="shared" si="82"/>
        <v>C368</v>
      </c>
      <c r="C369" s="51" t="s">
        <v>1069</v>
      </c>
      <c r="D369" s="92" t="s">
        <v>1070</v>
      </c>
      <c r="E369" s="91" t="s">
        <v>23</v>
      </c>
      <c r="F369" s="91" t="s">
        <v>394</v>
      </c>
      <c r="G369" s="93" t="s">
        <v>29</v>
      </c>
      <c r="H369" s="91" t="str">
        <f t="shared" si="83"/>
        <v>C332</v>
      </c>
      <c r="I369" s="94"/>
      <c r="J369" s="90" t="s">
        <v>386</v>
      </c>
      <c r="K369" s="24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ht="16.5" customHeight="1">
      <c r="A370" s="96">
        <v>365.0</v>
      </c>
      <c r="B370" s="97" t="s">
        <v>1071</v>
      </c>
      <c r="C370" s="98" t="s">
        <v>1072</v>
      </c>
      <c r="D370" s="99" t="s">
        <v>1073</v>
      </c>
      <c r="E370" s="97" t="s">
        <v>23</v>
      </c>
      <c r="F370" s="97" t="s">
        <v>158</v>
      </c>
      <c r="G370" s="100" t="s">
        <v>29</v>
      </c>
      <c r="H370" s="97" t="s">
        <v>978</v>
      </c>
      <c r="I370" s="65" t="s">
        <v>183</v>
      </c>
      <c r="J370" s="96"/>
      <c r="K370" s="101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ht="17.25" customHeight="1">
      <c r="A371" s="96">
        <v>366.0</v>
      </c>
      <c r="B371" s="97" t="s">
        <v>1074</v>
      </c>
      <c r="C371" s="98" t="s">
        <v>1075</v>
      </c>
      <c r="D371" s="99" t="s">
        <v>1076</v>
      </c>
      <c r="E371" s="97" t="s">
        <v>23</v>
      </c>
      <c r="F371" s="97" t="s">
        <v>98</v>
      </c>
      <c r="G371" s="100" t="s">
        <v>29</v>
      </c>
      <c r="H371" s="97" t="s">
        <v>978</v>
      </c>
      <c r="I371" s="65" t="s">
        <v>183</v>
      </c>
      <c r="J371" s="96"/>
      <c r="K371" s="101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ht="30.75" customHeight="1">
      <c r="A372" s="90">
        <v>367.0</v>
      </c>
      <c r="B372" s="97" t="s">
        <v>1077</v>
      </c>
      <c r="C372" s="98" t="s">
        <v>1078</v>
      </c>
      <c r="D372" s="99" t="s">
        <v>1079</v>
      </c>
      <c r="E372" s="97" t="s">
        <v>23</v>
      </c>
      <c r="F372" s="97" t="s">
        <v>1080</v>
      </c>
      <c r="G372" s="100" t="s">
        <v>29</v>
      </c>
      <c r="H372" s="97" t="s">
        <v>978</v>
      </c>
      <c r="I372" s="65" t="s">
        <v>183</v>
      </c>
      <c r="J372" s="96"/>
      <c r="K372" s="101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ht="27.75" customHeight="1">
      <c r="A373" s="96">
        <v>368.0</v>
      </c>
      <c r="B373" s="97" t="s">
        <v>1081</v>
      </c>
      <c r="C373" s="98" t="s">
        <v>1082</v>
      </c>
      <c r="D373" s="99" t="s">
        <v>826</v>
      </c>
      <c r="E373" s="97" t="s">
        <v>23</v>
      </c>
      <c r="F373" s="97" t="s">
        <v>308</v>
      </c>
      <c r="G373" s="100" t="s">
        <v>29</v>
      </c>
      <c r="H373" s="97" t="s">
        <v>978</v>
      </c>
      <c r="I373" s="65" t="s">
        <v>183</v>
      </c>
      <c r="J373" s="96"/>
      <c r="K373" s="101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ht="12.75" customHeight="1">
      <c r="A374" s="7">
        <f t="shared" ref="A374:A383" si="84">ROW()-1</f>
        <v>373</v>
      </c>
      <c r="B374" s="8" t="str">
        <f t="shared" ref="B374:B383" si="85">CONCATENATE("C",IF(A374&lt;=9,0,),A374)</f>
        <v>C373</v>
      </c>
      <c r="C374" s="25" t="s">
        <v>1083</v>
      </c>
      <c r="D374" s="10" t="s">
        <v>1084</v>
      </c>
      <c r="E374" s="8" t="s">
        <v>13</v>
      </c>
      <c r="F374" s="8" t="s">
        <v>14</v>
      </c>
      <c r="G374" s="11" t="s">
        <v>29</v>
      </c>
      <c r="H374" s="8" t="str">
        <f>$B$9</f>
        <v>C08</v>
      </c>
      <c r="I374" s="12" t="s">
        <v>1085</v>
      </c>
      <c r="J374" s="7" t="s">
        <v>16</v>
      </c>
      <c r="K374" s="13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ht="12.75" customHeight="1">
      <c r="A375" s="15">
        <f t="shared" si="84"/>
        <v>374</v>
      </c>
      <c r="B375" s="16" t="str">
        <f t="shared" si="85"/>
        <v>C374</v>
      </c>
      <c r="C375" s="17" t="s">
        <v>1086</v>
      </c>
      <c r="D375" s="22" t="s">
        <v>1087</v>
      </c>
      <c r="E375" s="16" t="s">
        <v>23</v>
      </c>
      <c r="F375" s="16" t="s">
        <v>889</v>
      </c>
      <c r="G375" s="19" t="s">
        <v>15</v>
      </c>
      <c r="H375" s="16" t="str">
        <f t="shared" ref="H375:H383" si="86">$B$374</f>
        <v>C373</v>
      </c>
      <c r="I375" s="20" t="s">
        <v>1087</v>
      </c>
      <c r="J375" s="15" t="s">
        <v>16</v>
      </c>
      <c r="K375" s="21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2.75" customHeight="1">
      <c r="A376" s="15">
        <f t="shared" si="84"/>
        <v>375</v>
      </c>
      <c r="B376" s="16" t="str">
        <f t="shared" si="85"/>
        <v>C375</v>
      </c>
      <c r="C376" s="17" t="s">
        <v>1088</v>
      </c>
      <c r="D376" s="22" t="s">
        <v>1089</v>
      </c>
      <c r="E376" s="16" t="s">
        <v>23</v>
      </c>
      <c r="F376" s="16" t="s">
        <v>752</v>
      </c>
      <c r="G376" s="19" t="s">
        <v>29</v>
      </c>
      <c r="H376" s="16" t="str">
        <f t="shared" si="86"/>
        <v>C373</v>
      </c>
      <c r="I376" s="20" t="s">
        <v>1089</v>
      </c>
      <c r="J376" s="15" t="s">
        <v>16</v>
      </c>
      <c r="K376" s="21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2.75" customHeight="1">
      <c r="A377" s="15">
        <f t="shared" si="84"/>
        <v>376</v>
      </c>
      <c r="B377" s="16" t="str">
        <f t="shared" si="85"/>
        <v>C376</v>
      </c>
      <c r="C377" s="17" t="s">
        <v>1090</v>
      </c>
      <c r="D377" s="22" t="s">
        <v>1091</v>
      </c>
      <c r="E377" s="16" t="s">
        <v>23</v>
      </c>
      <c r="F377" s="16" t="s">
        <v>251</v>
      </c>
      <c r="G377" s="19" t="s">
        <v>29</v>
      </c>
      <c r="H377" s="16" t="str">
        <f t="shared" si="86"/>
        <v>C373</v>
      </c>
      <c r="I377" s="20" t="s">
        <v>1091</v>
      </c>
      <c r="J377" s="15" t="s">
        <v>16</v>
      </c>
      <c r="K377" s="21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2.75" customHeight="1">
      <c r="A378" s="15">
        <f t="shared" si="84"/>
        <v>377</v>
      </c>
      <c r="B378" s="16" t="str">
        <f t="shared" si="85"/>
        <v>C377</v>
      </c>
      <c r="C378" s="17" t="s">
        <v>1092</v>
      </c>
      <c r="D378" s="22" t="s">
        <v>1093</v>
      </c>
      <c r="E378" s="16" t="s">
        <v>23</v>
      </c>
      <c r="F378" s="16" t="s">
        <v>19</v>
      </c>
      <c r="G378" s="19" t="s">
        <v>29</v>
      </c>
      <c r="H378" s="16" t="str">
        <f t="shared" si="86"/>
        <v>C373</v>
      </c>
      <c r="I378" s="20" t="s">
        <v>1093</v>
      </c>
      <c r="J378" s="15" t="s">
        <v>16</v>
      </c>
      <c r="K378" s="21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2.75" customHeight="1">
      <c r="A379" s="15">
        <f t="shared" si="84"/>
        <v>378</v>
      </c>
      <c r="B379" s="16" t="str">
        <f t="shared" si="85"/>
        <v>C378</v>
      </c>
      <c r="C379" s="17" t="s">
        <v>1094</v>
      </c>
      <c r="D379" s="22" t="s">
        <v>1095</v>
      </c>
      <c r="E379" s="16" t="s">
        <v>23</v>
      </c>
      <c r="F379" s="16" t="s">
        <v>889</v>
      </c>
      <c r="G379" s="19" t="s">
        <v>29</v>
      </c>
      <c r="H379" s="16" t="str">
        <f t="shared" si="86"/>
        <v>C373</v>
      </c>
      <c r="I379" s="20" t="s">
        <v>1095</v>
      </c>
      <c r="J379" s="15" t="s">
        <v>16</v>
      </c>
      <c r="K379" s="21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2.75" customHeight="1">
      <c r="A380" s="15">
        <f t="shared" si="84"/>
        <v>379</v>
      </c>
      <c r="B380" s="16" t="str">
        <f t="shared" si="85"/>
        <v>C379</v>
      </c>
      <c r="C380" s="17" t="s">
        <v>1096</v>
      </c>
      <c r="D380" s="22" t="s">
        <v>1097</v>
      </c>
      <c r="E380" s="16" t="s">
        <v>23</v>
      </c>
      <c r="F380" s="16" t="s">
        <v>707</v>
      </c>
      <c r="G380" s="19" t="s">
        <v>29</v>
      </c>
      <c r="H380" s="16" t="str">
        <f t="shared" si="86"/>
        <v>C373</v>
      </c>
      <c r="I380" s="48" t="s">
        <v>200</v>
      </c>
      <c r="J380" s="15" t="s">
        <v>16</v>
      </c>
      <c r="K380" s="21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2.75" customHeight="1">
      <c r="A381" s="15">
        <f t="shared" si="84"/>
        <v>380</v>
      </c>
      <c r="B381" s="16" t="str">
        <f t="shared" si="85"/>
        <v>C380</v>
      </c>
      <c r="C381" s="17" t="s">
        <v>1098</v>
      </c>
      <c r="D381" s="22" t="s">
        <v>1099</v>
      </c>
      <c r="E381" s="16" t="s">
        <v>23</v>
      </c>
      <c r="F381" s="16" t="s">
        <v>80</v>
      </c>
      <c r="G381" s="19" t="s">
        <v>29</v>
      </c>
      <c r="H381" s="16" t="str">
        <f t="shared" si="86"/>
        <v>C373</v>
      </c>
      <c r="I381" s="20" t="s">
        <v>1099</v>
      </c>
      <c r="J381" s="15" t="s">
        <v>16</v>
      </c>
      <c r="K381" s="13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2.75" customHeight="1">
      <c r="A382" s="15">
        <f t="shared" si="84"/>
        <v>381</v>
      </c>
      <c r="B382" s="16" t="str">
        <f t="shared" si="85"/>
        <v>C381</v>
      </c>
      <c r="C382" s="17" t="s">
        <v>1100</v>
      </c>
      <c r="D382" s="22" t="s">
        <v>1101</v>
      </c>
      <c r="E382" s="16" t="s">
        <v>23</v>
      </c>
      <c r="F382" s="16" t="s">
        <v>80</v>
      </c>
      <c r="G382" s="19" t="s">
        <v>29</v>
      </c>
      <c r="H382" s="16" t="str">
        <f t="shared" si="86"/>
        <v>C373</v>
      </c>
      <c r="I382" s="20" t="s">
        <v>1102</v>
      </c>
      <c r="J382" s="15" t="s">
        <v>16</v>
      </c>
      <c r="K382" s="21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2.75" customHeight="1">
      <c r="A383" s="15">
        <f t="shared" si="84"/>
        <v>382</v>
      </c>
      <c r="B383" s="16" t="str">
        <f t="shared" si="85"/>
        <v>C382</v>
      </c>
      <c r="C383" s="17" t="s">
        <v>1103</v>
      </c>
      <c r="D383" s="22" t="s">
        <v>1104</v>
      </c>
      <c r="E383" s="16" t="s">
        <v>23</v>
      </c>
      <c r="F383" s="16" t="s">
        <v>54</v>
      </c>
      <c r="G383" s="19" t="s">
        <v>29</v>
      </c>
      <c r="H383" s="16" t="str">
        <f t="shared" si="86"/>
        <v>C373</v>
      </c>
      <c r="I383" s="21" t="s">
        <v>1105</v>
      </c>
      <c r="J383" s="15" t="s">
        <v>16</v>
      </c>
      <c r="K383" s="24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2.75" customHeight="1">
      <c r="A384" s="59">
        <v>379.0</v>
      </c>
      <c r="B384" s="60" t="s">
        <v>1106</v>
      </c>
      <c r="C384" s="102" t="s">
        <v>1107</v>
      </c>
      <c r="D384" s="62"/>
      <c r="E384" s="103" t="s">
        <v>13</v>
      </c>
      <c r="F384" s="60"/>
      <c r="G384" s="64" t="s">
        <v>29</v>
      </c>
      <c r="H384" s="60" t="s">
        <v>59</v>
      </c>
      <c r="I384" s="71"/>
      <c r="J384" s="59"/>
      <c r="K384" s="101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2.75" customHeight="1">
      <c r="A385" s="59">
        <v>380.0</v>
      </c>
      <c r="B385" s="60" t="s">
        <v>1108</v>
      </c>
      <c r="C385" s="102" t="s">
        <v>1109</v>
      </c>
      <c r="D385" s="62"/>
      <c r="E385" s="103" t="s">
        <v>13</v>
      </c>
      <c r="F385" s="60"/>
      <c r="G385" s="64" t="s">
        <v>29</v>
      </c>
      <c r="H385" s="60" t="s">
        <v>1106</v>
      </c>
      <c r="I385" s="71"/>
      <c r="J385" s="59"/>
      <c r="K385" s="101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02.0" customHeight="1">
      <c r="A386" s="59">
        <v>381.0</v>
      </c>
      <c r="B386" s="60" t="s">
        <v>1110</v>
      </c>
      <c r="C386" s="61" t="s">
        <v>1111</v>
      </c>
      <c r="D386" s="62" t="s">
        <v>1112</v>
      </c>
      <c r="E386" s="60" t="s">
        <v>23</v>
      </c>
      <c r="F386" s="60" t="s">
        <v>89</v>
      </c>
      <c r="G386" s="64" t="s">
        <v>29</v>
      </c>
      <c r="H386" s="60" t="s">
        <v>1108</v>
      </c>
      <c r="I386" s="71" t="s">
        <v>1113</v>
      </c>
      <c r="J386" s="59"/>
      <c r="K386" s="101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13.25" customHeight="1">
      <c r="A387" s="59">
        <v>382.0</v>
      </c>
      <c r="B387" s="60" t="s">
        <v>1114</v>
      </c>
      <c r="C387" s="61" t="s">
        <v>1115</v>
      </c>
      <c r="D387" s="62" t="s">
        <v>1116</v>
      </c>
      <c r="E387" s="60" t="s">
        <v>23</v>
      </c>
      <c r="F387" s="60" t="s">
        <v>89</v>
      </c>
      <c r="G387" s="64" t="s">
        <v>29</v>
      </c>
      <c r="H387" s="60" t="s">
        <v>1108</v>
      </c>
      <c r="I387" s="71" t="s">
        <v>1117</v>
      </c>
      <c r="J387" s="59"/>
      <c r="K387" s="101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42.75" customHeight="1">
      <c r="A388" s="59">
        <v>383.0</v>
      </c>
      <c r="B388" s="60" t="s">
        <v>1118</v>
      </c>
      <c r="C388" s="61" t="s">
        <v>1119</v>
      </c>
      <c r="D388" s="62" t="s">
        <v>1120</v>
      </c>
      <c r="E388" s="60" t="s">
        <v>23</v>
      </c>
      <c r="F388" s="60" t="s">
        <v>1121</v>
      </c>
      <c r="G388" s="64" t="s">
        <v>29</v>
      </c>
      <c r="H388" s="60" t="s">
        <v>1108</v>
      </c>
      <c r="I388" s="73" t="s">
        <v>183</v>
      </c>
      <c r="J388" s="59"/>
      <c r="K388" s="101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24.0" customHeight="1">
      <c r="A389" s="59">
        <v>384.0</v>
      </c>
      <c r="B389" s="60" t="s">
        <v>1122</v>
      </c>
      <c r="C389" s="61" t="s">
        <v>1123</v>
      </c>
      <c r="D389" s="62" t="s">
        <v>1124</v>
      </c>
      <c r="E389" s="60" t="s">
        <v>23</v>
      </c>
      <c r="F389" s="60" t="s">
        <v>1125</v>
      </c>
      <c r="G389" s="64" t="s">
        <v>29</v>
      </c>
      <c r="H389" s="60" t="s">
        <v>1108</v>
      </c>
      <c r="I389" s="73" t="s">
        <v>183</v>
      </c>
      <c r="J389" s="59"/>
      <c r="K389" s="101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2.75" customHeight="1">
      <c r="A390" s="59">
        <v>385.0</v>
      </c>
      <c r="B390" s="60" t="s">
        <v>1126</v>
      </c>
      <c r="C390" s="102" t="s">
        <v>1127</v>
      </c>
      <c r="D390" s="62"/>
      <c r="E390" s="60" t="s">
        <v>13</v>
      </c>
      <c r="F390" s="60"/>
      <c r="G390" s="64" t="s">
        <v>29</v>
      </c>
      <c r="H390" s="60" t="s">
        <v>59</v>
      </c>
      <c r="I390" s="71"/>
      <c r="J390" s="59"/>
      <c r="K390" s="101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2.75" customHeight="1">
      <c r="A391" s="59">
        <v>386.0</v>
      </c>
      <c r="B391" s="60" t="s">
        <v>1128</v>
      </c>
      <c r="C391" s="61" t="s">
        <v>1129</v>
      </c>
      <c r="D391" s="62" t="s">
        <v>1130</v>
      </c>
      <c r="E391" s="60" t="s">
        <v>23</v>
      </c>
      <c r="F391" s="60" t="s">
        <v>158</v>
      </c>
      <c r="G391" s="64" t="s">
        <v>29</v>
      </c>
      <c r="H391" s="60" t="s">
        <v>1126</v>
      </c>
      <c r="I391" s="73" t="s">
        <v>183</v>
      </c>
      <c r="J391" s="59"/>
      <c r="K391" s="101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2.75" customHeight="1">
      <c r="A392" s="59">
        <v>387.0</v>
      </c>
      <c r="B392" s="60" t="s">
        <v>1131</v>
      </c>
      <c r="C392" s="61" t="s">
        <v>1132</v>
      </c>
      <c r="D392" s="62" t="s">
        <v>1133</v>
      </c>
      <c r="E392" s="60" t="s">
        <v>23</v>
      </c>
      <c r="F392" s="60" t="s">
        <v>64</v>
      </c>
      <c r="G392" s="64" t="s">
        <v>29</v>
      </c>
      <c r="H392" s="60" t="s">
        <v>1126</v>
      </c>
      <c r="I392" s="73" t="s">
        <v>183</v>
      </c>
      <c r="J392" s="59"/>
      <c r="K392" s="101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2.75" customHeight="1">
      <c r="A393" s="59">
        <v>388.0</v>
      </c>
      <c r="B393" s="60" t="s">
        <v>1134</v>
      </c>
      <c r="C393" s="61" t="s">
        <v>1135</v>
      </c>
      <c r="D393" s="62" t="s">
        <v>1136</v>
      </c>
      <c r="E393" s="60" t="s">
        <v>23</v>
      </c>
      <c r="F393" s="60" t="s">
        <v>64</v>
      </c>
      <c r="G393" s="64" t="s">
        <v>29</v>
      </c>
      <c r="H393" s="60" t="s">
        <v>1126</v>
      </c>
      <c r="I393" s="73" t="s">
        <v>183</v>
      </c>
      <c r="J393" s="59"/>
      <c r="K393" s="101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75.0" customHeight="1">
      <c r="A394" s="59">
        <v>389.0</v>
      </c>
      <c r="B394" s="60" t="s">
        <v>1137</v>
      </c>
      <c r="C394" s="61" t="s">
        <v>1138</v>
      </c>
      <c r="D394" s="62" t="s">
        <v>1139</v>
      </c>
      <c r="E394" s="60" t="s">
        <v>23</v>
      </c>
      <c r="F394" s="60" t="s">
        <v>84</v>
      </c>
      <c r="G394" s="64" t="s">
        <v>29</v>
      </c>
      <c r="H394" s="60" t="s">
        <v>1126</v>
      </c>
      <c r="I394" s="73" t="s">
        <v>183</v>
      </c>
      <c r="J394" s="59"/>
      <c r="K394" s="101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2.75" customHeight="1">
      <c r="A395" s="59">
        <v>390.0</v>
      </c>
      <c r="B395" s="60" t="s">
        <v>1140</v>
      </c>
      <c r="C395" s="61" t="s">
        <v>1141</v>
      </c>
      <c r="D395" s="62" t="s">
        <v>1142</v>
      </c>
      <c r="E395" s="60" t="s">
        <v>23</v>
      </c>
      <c r="F395" s="60" t="s">
        <v>158</v>
      </c>
      <c r="G395" s="64" t="s">
        <v>29</v>
      </c>
      <c r="H395" s="60" t="s">
        <v>1126</v>
      </c>
      <c r="I395" s="73" t="s">
        <v>183</v>
      </c>
      <c r="J395" s="59"/>
      <c r="K395" s="101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2.75" customHeight="1">
      <c r="A396" s="59">
        <v>391.0</v>
      </c>
      <c r="B396" s="60" t="s">
        <v>1143</v>
      </c>
      <c r="C396" s="61" t="s">
        <v>1144</v>
      </c>
      <c r="D396" s="62" t="s">
        <v>1145</v>
      </c>
      <c r="E396" s="60" t="s">
        <v>23</v>
      </c>
      <c r="F396" s="60" t="s">
        <v>658</v>
      </c>
      <c r="G396" s="64" t="s">
        <v>29</v>
      </c>
      <c r="H396" s="60" t="s">
        <v>1126</v>
      </c>
      <c r="I396" s="73" t="s">
        <v>183</v>
      </c>
      <c r="J396" s="59"/>
      <c r="K396" s="101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2.75" customHeight="1">
      <c r="A397" s="59">
        <v>392.0</v>
      </c>
      <c r="B397" s="60" t="s">
        <v>1146</v>
      </c>
      <c r="C397" s="61" t="s">
        <v>1147</v>
      </c>
      <c r="D397" s="62" t="s">
        <v>1148</v>
      </c>
      <c r="E397" s="60" t="s">
        <v>23</v>
      </c>
      <c r="F397" s="60" t="s">
        <v>1010</v>
      </c>
      <c r="G397" s="64" t="s">
        <v>29</v>
      </c>
      <c r="H397" s="60" t="s">
        <v>1126</v>
      </c>
      <c r="I397" s="73" t="s">
        <v>183</v>
      </c>
      <c r="J397" s="59"/>
      <c r="K397" s="101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2.75" customHeight="1">
      <c r="A398" s="59">
        <v>393.0</v>
      </c>
      <c r="B398" s="60" t="s">
        <v>1149</v>
      </c>
      <c r="C398" s="61" t="s">
        <v>1150</v>
      </c>
      <c r="D398" s="62" t="s">
        <v>1151</v>
      </c>
      <c r="E398" s="60" t="s">
        <v>23</v>
      </c>
      <c r="F398" s="60" t="s">
        <v>658</v>
      </c>
      <c r="G398" s="64" t="s">
        <v>29</v>
      </c>
      <c r="H398" s="60" t="s">
        <v>1126</v>
      </c>
      <c r="I398" s="73" t="s">
        <v>183</v>
      </c>
      <c r="J398" s="59"/>
      <c r="K398" s="101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2.75" customHeight="1">
      <c r="A399" s="59">
        <v>394.0</v>
      </c>
      <c r="B399" s="60" t="s">
        <v>1152</v>
      </c>
      <c r="C399" s="61" t="s">
        <v>1153</v>
      </c>
      <c r="D399" s="62" t="s">
        <v>1154</v>
      </c>
      <c r="E399" s="60" t="s">
        <v>23</v>
      </c>
      <c r="F399" s="60" t="s">
        <v>285</v>
      </c>
      <c r="G399" s="64" t="s">
        <v>29</v>
      </c>
      <c r="H399" s="60" t="s">
        <v>1126</v>
      </c>
      <c r="I399" s="73" t="s">
        <v>183</v>
      </c>
      <c r="J399" s="59"/>
      <c r="K399" s="101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2.75" customHeight="1">
      <c r="A400" s="59">
        <v>395.0</v>
      </c>
      <c r="B400" s="60" t="s">
        <v>1155</v>
      </c>
      <c r="C400" s="61" t="s">
        <v>1156</v>
      </c>
      <c r="D400" s="62" t="s">
        <v>1157</v>
      </c>
      <c r="E400" s="60" t="s">
        <v>23</v>
      </c>
      <c r="F400" s="60" t="s">
        <v>952</v>
      </c>
      <c r="G400" s="64" t="s">
        <v>29</v>
      </c>
      <c r="H400" s="60" t="s">
        <v>1126</v>
      </c>
      <c r="I400" s="73" t="s">
        <v>183</v>
      </c>
      <c r="J400" s="59"/>
      <c r="K400" s="101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2.75" customHeight="1">
      <c r="A401" s="59">
        <v>396.0</v>
      </c>
      <c r="B401" s="60" t="s">
        <v>1158</v>
      </c>
      <c r="C401" s="61" t="s">
        <v>1159</v>
      </c>
      <c r="D401" s="62" t="s">
        <v>1160</v>
      </c>
      <c r="E401" s="60" t="s">
        <v>23</v>
      </c>
      <c r="F401" s="60" t="s">
        <v>658</v>
      </c>
      <c r="G401" s="64" t="s">
        <v>29</v>
      </c>
      <c r="H401" s="60" t="s">
        <v>1126</v>
      </c>
      <c r="I401" s="73" t="s">
        <v>183</v>
      </c>
      <c r="J401" s="59"/>
      <c r="K401" s="101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2.75" customHeight="1">
      <c r="A402" s="59">
        <v>397.0</v>
      </c>
      <c r="B402" s="60" t="s">
        <v>1161</v>
      </c>
      <c r="C402" s="61" t="s">
        <v>1162</v>
      </c>
      <c r="D402" s="62" t="s">
        <v>1163</v>
      </c>
      <c r="E402" s="60" t="s">
        <v>23</v>
      </c>
      <c r="F402" s="60" t="s">
        <v>658</v>
      </c>
      <c r="G402" s="64" t="s">
        <v>29</v>
      </c>
      <c r="H402" s="60" t="s">
        <v>1126</v>
      </c>
      <c r="I402" s="73" t="s">
        <v>183</v>
      </c>
      <c r="J402" s="59"/>
      <c r="K402" s="101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2.75" customHeight="1">
      <c r="A403" s="59">
        <v>398.0</v>
      </c>
      <c r="B403" s="60" t="s">
        <v>182</v>
      </c>
      <c r="C403" s="102" t="s">
        <v>1164</v>
      </c>
      <c r="D403" s="62"/>
      <c r="E403" s="103" t="s">
        <v>13</v>
      </c>
      <c r="F403" s="60"/>
      <c r="G403" s="64" t="s">
        <v>29</v>
      </c>
      <c r="H403" s="60" t="s">
        <v>59</v>
      </c>
      <c r="I403" s="71"/>
      <c r="J403" s="59"/>
      <c r="K403" s="101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98.0" customHeight="1">
      <c r="A404" s="59">
        <v>399.0</v>
      </c>
      <c r="B404" s="60" t="s">
        <v>1165</v>
      </c>
      <c r="C404" s="61" t="s">
        <v>1166</v>
      </c>
      <c r="D404" s="62" t="s">
        <v>1167</v>
      </c>
      <c r="E404" s="60" t="s">
        <v>23</v>
      </c>
      <c r="F404" s="60" t="s">
        <v>80</v>
      </c>
      <c r="G404" s="64" t="s">
        <v>29</v>
      </c>
      <c r="H404" s="60" t="s">
        <v>182</v>
      </c>
      <c r="I404" s="71" t="s">
        <v>1168</v>
      </c>
      <c r="J404" s="59"/>
      <c r="K404" s="101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2.75" customHeight="1">
      <c r="A405" s="59">
        <v>400.0</v>
      </c>
      <c r="B405" s="60" t="s">
        <v>1169</v>
      </c>
      <c r="C405" s="61" t="s">
        <v>1170</v>
      </c>
      <c r="D405" s="62" t="s">
        <v>1171</v>
      </c>
      <c r="E405" s="60" t="s">
        <v>23</v>
      </c>
      <c r="F405" s="60" t="s">
        <v>98</v>
      </c>
      <c r="G405" s="64" t="s">
        <v>29</v>
      </c>
      <c r="H405" s="60" t="s">
        <v>182</v>
      </c>
      <c r="I405" s="71"/>
      <c r="J405" s="59"/>
      <c r="K405" s="101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63.0" customHeight="1">
      <c r="A406" s="59">
        <v>401.0</v>
      </c>
      <c r="B406" s="60" t="s">
        <v>1172</v>
      </c>
      <c r="C406" s="61" t="s">
        <v>1173</v>
      </c>
      <c r="D406" s="62" t="s">
        <v>1174</v>
      </c>
      <c r="E406" s="60" t="s">
        <v>23</v>
      </c>
      <c r="F406" s="60" t="s">
        <v>54</v>
      </c>
      <c r="G406" s="64" t="s">
        <v>29</v>
      </c>
      <c r="H406" s="60" t="s">
        <v>182</v>
      </c>
      <c r="I406" s="71" t="s">
        <v>1175</v>
      </c>
      <c r="J406" s="59"/>
      <c r="K406" s="101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71.25" customHeight="1">
      <c r="A407" s="59">
        <v>402.0</v>
      </c>
      <c r="B407" s="60" t="s">
        <v>1176</v>
      </c>
      <c r="C407" s="61" t="s">
        <v>1177</v>
      </c>
      <c r="D407" s="62" t="s">
        <v>1178</v>
      </c>
      <c r="E407" s="60" t="s">
        <v>23</v>
      </c>
      <c r="F407" s="60" t="s">
        <v>75</v>
      </c>
      <c r="G407" s="64" t="s">
        <v>29</v>
      </c>
      <c r="H407" s="60" t="s">
        <v>182</v>
      </c>
      <c r="I407" s="71" t="s">
        <v>1179</v>
      </c>
      <c r="J407" s="59"/>
      <c r="K407" s="101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79.5" customHeight="1">
      <c r="A408" s="59">
        <v>403.0</v>
      </c>
      <c r="B408" s="60" t="s">
        <v>1180</v>
      </c>
      <c r="C408" s="61" t="s">
        <v>1181</v>
      </c>
      <c r="D408" s="62" t="s">
        <v>1182</v>
      </c>
      <c r="E408" s="60" t="s">
        <v>23</v>
      </c>
      <c r="F408" s="60" t="s">
        <v>928</v>
      </c>
      <c r="G408" s="64" t="s">
        <v>29</v>
      </c>
      <c r="H408" s="60" t="s">
        <v>182</v>
      </c>
      <c r="I408" s="71" t="s">
        <v>1183</v>
      </c>
      <c r="J408" s="59"/>
      <c r="K408" s="101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69.75" customHeight="1">
      <c r="A409" s="59">
        <v>404.0</v>
      </c>
      <c r="B409" s="60" t="s">
        <v>1184</v>
      </c>
      <c r="C409" s="61" t="s">
        <v>1185</v>
      </c>
      <c r="D409" s="62" t="s">
        <v>1186</v>
      </c>
      <c r="E409" s="60" t="s">
        <v>23</v>
      </c>
      <c r="F409" s="60" t="s">
        <v>1028</v>
      </c>
      <c r="G409" s="64" t="s">
        <v>29</v>
      </c>
      <c r="H409" s="60" t="s">
        <v>182</v>
      </c>
      <c r="I409" s="73" t="s">
        <v>183</v>
      </c>
      <c r="J409" s="59"/>
      <c r="K409" s="101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58.5" customHeight="1">
      <c r="A410" s="59">
        <v>405.0</v>
      </c>
      <c r="B410" s="60" t="s">
        <v>1187</v>
      </c>
      <c r="C410" s="61" t="s">
        <v>1188</v>
      </c>
      <c r="D410" s="62" t="s">
        <v>1189</v>
      </c>
      <c r="E410" s="60" t="s">
        <v>23</v>
      </c>
      <c r="F410" s="60" t="s">
        <v>1190</v>
      </c>
      <c r="G410" s="64" t="s">
        <v>29</v>
      </c>
      <c r="H410" s="60" t="s">
        <v>182</v>
      </c>
      <c r="I410" s="71"/>
      <c r="J410" s="59"/>
      <c r="K410" s="101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2.75" customHeight="1">
      <c r="A411" s="15">
        <f t="shared" ref="A411:A414" si="87">ROW()-1</f>
        <v>410</v>
      </c>
      <c r="B411" s="16" t="str">
        <f t="shared" ref="B411:B414" si="88">CONCATENATE("C",IF(A411&lt;=9,0,),A411)</f>
        <v>C410</v>
      </c>
      <c r="C411" s="17" t="s">
        <v>1191</v>
      </c>
      <c r="D411" s="22" t="s">
        <v>1192</v>
      </c>
      <c r="E411" s="16" t="s">
        <v>23</v>
      </c>
      <c r="F411" s="16" t="s">
        <v>1193</v>
      </c>
      <c r="G411" s="19" t="s">
        <v>29</v>
      </c>
      <c r="H411" s="16" t="str">
        <f>$B$9</f>
        <v>C08</v>
      </c>
      <c r="I411" s="20" t="s">
        <v>1194</v>
      </c>
      <c r="J411" s="15" t="s">
        <v>16</v>
      </c>
      <c r="K411" s="13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2.75" customHeight="1">
      <c r="A412" s="15">
        <f t="shared" si="87"/>
        <v>411</v>
      </c>
      <c r="B412" s="16" t="str">
        <f t="shared" si="88"/>
        <v>C411</v>
      </c>
      <c r="C412" s="17" t="s">
        <v>1195</v>
      </c>
      <c r="D412" s="22" t="s">
        <v>1196</v>
      </c>
      <c r="E412" s="16" t="s">
        <v>23</v>
      </c>
      <c r="F412" s="16" t="s">
        <v>130</v>
      </c>
      <c r="G412" s="19" t="s">
        <v>29</v>
      </c>
      <c r="H412" s="16" t="str">
        <f>$B$16</f>
        <v>C15</v>
      </c>
      <c r="I412" s="104" t="s">
        <v>1197</v>
      </c>
      <c r="J412" s="15" t="s">
        <v>815</v>
      </c>
      <c r="K412" s="13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2.75" customHeight="1">
      <c r="A413" s="15">
        <f t="shared" si="87"/>
        <v>412</v>
      </c>
      <c r="B413" s="16" t="str">
        <f t="shared" si="88"/>
        <v>C412</v>
      </c>
      <c r="C413" s="17" t="s">
        <v>1198</v>
      </c>
      <c r="D413" s="22" t="s">
        <v>1199</v>
      </c>
      <c r="E413" s="16" t="s">
        <v>23</v>
      </c>
      <c r="F413" s="16" t="s">
        <v>1200</v>
      </c>
      <c r="G413" s="19" t="s">
        <v>29</v>
      </c>
      <c r="H413" s="16" t="str">
        <f t="shared" ref="H413:H414" si="89">$B$9</f>
        <v>C08</v>
      </c>
      <c r="I413" s="23" t="s">
        <v>1201</v>
      </c>
      <c r="J413" s="15" t="s">
        <v>16</v>
      </c>
      <c r="K413" s="21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2.75" customHeight="1">
      <c r="A414" s="15">
        <f t="shared" si="87"/>
        <v>413</v>
      </c>
      <c r="B414" s="16" t="str">
        <f t="shared" si="88"/>
        <v>C413</v>
      </c>
      <c r="C414" s="17" t="s">
        <v>1202</v>
      </c>
      <c r="D414" s="22" t="s">
        <v>1203</v>
      </c>
      <c r="E414" s="16" t="s">
        <v>23</v>
      </c>
      <c r="F414" s="16" t="s">
        <v>50</v>
      </c>
      <c r="G414" s="19" t="s">
        <v>29</v>
      </c>
      <c r="H414" s="16" t="str">
        <f t="shared" si="89"/>
        <v>C08</v>
      </c>
      <c r="I414" s="20" t="s">
        <v>1204</v>
      </c>
      <c r="J414" s="15" t="s">
        <v>16</v>
      </c>
      <c r="K414" s="21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2.75" customHeight="1">
      <c r="A415" s="105"/>
      <c r="B415" s="105"/>
      <c r="C415" s="6"/>
      <c r="D415" s="6"/>
      <c r="E415" s="105"/>
      <c r="F415" s="105"/>
      <c r="G415" s="105"/>
      <c r="H415" s="105"/>
      <c r="I415" s="106"/>
      <c r="J415" s="6"/>
      <c r="K415" s="107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2.75" customHeight="1">
      <c r="A416" s="105"/>
      <c r="B416" s="105"/>
      <c r="C416" s="6"/>
      <c r="D416" s="6"/>
      <c r="E416" s="105"/>
      <c r="F416" s="105"/>
      <c r="G416" s="105"/>
      <c r="H416" s="105"/>
      <c r="I416" s="106"/>
      <c r="J416" s="105"/>
      <c r="K416" s="107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2.75" customHeight="1">
      <c r="A417" s="105"/>
      <c r="B417" s="105"/>
      <c r="C417" s="6"/>
      <c r="D417" s="6"/>
      <c r="E417" s="105"/>
      <c r="F417" s="105"/>
      <c r="G417" s="105"/>
      <c r="H417" s="105"/>
      <c r="I417" s="106"/>
      <c r="J417" s="105"/>
      <c r="K417" s="107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2.75" customHeight="1">
      <c r="A418" s="105"/>
      <c r="B418" s="105"/>
      <c r="C418" s="6"/>
      <c r="D418" s="6"/>
      <c r="E418" s="105"/>
      <c r="F418" s="105"/>
      <c r="G418" s="105"/>
      <c r="H418" s="105"/>
      <c r="I418" s="106"/>
      <c r="J418" s="105"/>
      <c r="K418" s="107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2.75" customHeight="1">
      <c r="A419" s="105"/>
      <c r="B419" s="105"/>
      <c r="C419" s="6"/>
      <c r="D419" s="6"/>
      <c r="E419" s="105"/>
      <c r="F419" s="105"/>
      <c r="G419" s="105"/>
      <c r="H419" s="105"/>
      <c r="I419" s="106"/>
      <c r="J419" s="105"/>
      <c r="K419" s="107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2.75" customHeight="1">
      <c r="A420" s="105"/>
      <c r="B420" s="105"/>
      <c r="C420" s="6"/>
      <c r="D420" s="6"/>
      <c r="E420" s="105"/>
      <c r="F420" s="105"/>
      <c r="G420" s="105"/>
      <c r="H420" s="105"/>
      <c r="I420" s="106"/>
      <c r="J420" s="105"/>
      <c r="K420" s="107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2.75" customHeight="1">
      <c r="A421" s="105"/>
      <c r="B421" s="105"/>
      <c r="C421" s="6"/>
      <c r="D421" s="6"/>
      <c r="E421" s="105"/>
      <c r="F421" s="105"/>
      <c r="G421" s="105"/>
      <c r="H421" s="105"/>
      <c r="I421" s="106"/>
      <c r="J421" s="105"/>
      <c r="K421" s="107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2.75" customHeight="1">
      <c r="A422" s="108" t="s">
        <v>1205</v>
      </c>
      <c r="B422" s="109"/>
      <c r="C422" s="110" t="s">
        <v>1206</v>
      </c>
      <c r="D422" s="109"/>
      <c r="E422" s="105"/>
      <c r="F422" s="105"/>
      <c r="G422" s="105"/>
      <c r="H422" s="105"/>
      <c r="I422" s="106"/>
      <c r="J422" s="105"/>
      <c r="K422" s="107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2.75" customHeight="1">
      <c r="A423" s="111"/>
      <c r="B423" s="112"/>
      <c r="C423" s="113"/>
      <c r="D423" s="112"/>
      <c r="E423" s="105"/>
      <c r="F423" s="105"/>
      <c r="G423" s="105"/>
      <c r="H423" s="105"/>
      <c r="I423" s="106"/>
      <c r="J423" s="105"/>
      <c r="K423" s="107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2.75" customHeight="1">
      <c r="A424" s="111"/>
      <c r="B424" s="112"/>
      <c r="C424" s="113"/>
      <c r="D424" s="112"/>
      <c r="E424" s="105"/>
      <c r="F424" s="105"/>
      <c r="G424" s="105"/>
      <c r="H424" s="105"/>
      <c r="I424" s="106"/>
      <c r="J424" s="105"/>
      <c r="K424" s="107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2.75" customHeight="1">
      <c r="A425" s="111"/>
      <c r="B425" s="112"/>
      <c r="C425" s="113"/>
      <c r="D425" s="112"/>
      <c r="E425" s="105"/>
      <c r="F425" s="105"/>
      <c r="G425" s="105"/>
      <c r="H425" s="105"/>
      <c r="I425" s="106"/>
      <c r="J425" s="105"/>
      <c r="K425" s="107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2.75" customHeight="1">
      <c r="A426" s="111"/>
      <c r="B426" s="112"/>
      <c r="C426" s="113"/>
      <c r="D426" s="112"/>
      <c r="E426" s="105"/>
      <c r="F426" s="105"/>
      <c r="G426" s="105"/>
      <c r="H426" s="105"/>
      <c r="I426" s="106"/>
      <c r="J426" s="105"/>
      <c r="K426" s="107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2.75" customHeight="1">
      <c r="A427" s="111"/>
      <c r="B427" s="112"/>
      <c r="C427" s="113"/>
      <c r="D427" s="112"/>
      <c r="E427" s="105"/>
      <c r="F427" s="105"/>
      <c r="G427" s="105"/>
      <c r="H427" s="105"/>
      <c r="I427" s="106"/>
      <c r="J427" s="105"/>
      <c r="K427" s="107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2.75" customHeight="1">
      <c r="A428" s="111"/>
      <c r="B428" s="112"/>
      <c r="C428" s="113"/>
      <c r="D428" s="112"/>
      <c r="E428" s="105"/>
      <c r="F428" s="105"/>
      <c r="G428" s="105"/>
      <c r="H428" s="105"/>
      <c r="I428" s="106"/>
      <c r="J428" s="105"/>
      <c r="K428" s="107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2.75" customHeight="1">
      <c r="A429" s="114"/>
      <c r="B429" s="115"/>
      <c r="C429" s="116"/>
      <c r="D429" s="117"/>
      <c r="E429" s="105"/>
      <c r="F429" s="105"/>
      <c r="G429" s="105"/>
      <c r="H429" s="105"/>
      <c r="I429" s="106"/>
      <c r="J429" s="105"/>
      <c r="K429" s="107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2.75" customHeight="1">
      <c r="A430" s="105"/>
      <c r="B430" s="105"/>
      <c r="C430" s="6"/>
      <c r="D430" s="6"/>
      <c r="E430" s="105"/>
      <c r="F430" s="105"/>
      <c r="G430" s="105"/>
      <c r="H430" s="105"/>
      <c r="I430" s="106"/>
      <c r="J430" s="105"/>
      <c r="K430" s="107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2.75" customHeight="1">
      <c r="A431" s="105"/>
      <c r="B431" s="105"/>
      <c r="C431" s="6"/>
      <c r="D431" s="6"/>
      <c r="E431" s="105"/>
      <c r="F431" s="105"/>
      <c r="G431" s="105"/>
      <c r="H431" s="105"/>
      <c r="I431" s="106"/>
      <c r="J431" s="105"/>
      <c r="K431" s="107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2.75" customHeight="1">
      <c r="A432" s="105"/>
      <c r="B432" s="105"/>
      <c r="C432" s="6"/>
      <c r="D432" s="6"/>
      <c r="E432" s="105"/>
      <c r="F432" s="105"/>
      <c r="G432" s="105"/>
      <c r="H432" s="105"/>
      <c r="I432" s="106"/>
      <c r="J432" s="105"/>
      <c r="K432" s="107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2.75" customHeight="1">
      <c r="A433" s="105"/>
      <c r="B433" s="105"/>
      <c r="C433" s="6"/>
      <c r="D433" s="6"/>
      <c r="E433" s="105"/>
      <c r="F433" s="105"/>
      <c r="G433" s="105"/>
      <c r="H433" s="105"/>
      <c r="I433" s="106"/>
      <c r="J433" s="105"/>
      <c r="K433" s="107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2.75" customHeight="1">
      <c r="A434" s="105"/>
      <c r="B434" s="105"/>
      <c r="C434" s="6"/>
      <c r="D434" s="6"/>
      <c r="E434" s="105"/>
      <c r="F434" s="105"/>
      <c r="G434" s="105"/>
      <c r="H434" s="105"/>
      <c r="I434" s="106"/>
      <c r="J434" s="105"/>
      <c r="K434" s="107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2.75" customHeight="1">
      <c r="A435" s="105"/>
      <c r="B435" s="105"/>
      <c r="C435" s="6"/>
      <c r="D435" s="6"/>
      <c r="E435" s="105"/>
      <c r="F435" s="105"/>
      <c r="G435" s="105"/>
      <c r="H435" s="105"/>
      <c r="I435" s="106"/>
      <c r="J435" s="105"/>
      <c r="K435" s="107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2.75" customHeight="1">
      <c r="A436" s="105"/>
      <c r="B436" s="105"/>
      <c r="C436" s="6"/>
      <c r="D436" s="6"/>
      <c r="E436" s="105"/>
      <c r="F436" s="105"/>
      <c r="G436" s="105"/>
      <c r="H436" s="105"/>
      <c r="I436" s="106"/>
      <c r="J436" s="105"/>
      <c r="K436" s="107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2.75" customHeight="1">
      <c r="A437" s="105"/>
      <c r="B437" s="105"/>
      <c r="C437" s="6"/>
      <c r="D437" s="6"/>
      <c r="E437" s="105"/>
      <c r="F437" s="105"/>
      <c r="G437" s="105"/>
      <c r="H437" s="105"/>
      <c r="I437" s="106"/>
      <c r="J437" s="105"/>
      <c r="K437" s="107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2.75" customHeight="1">
      <c r="A438" s="105"/>
      <c r="B438" s="105"/>
      <c r="C438" s="6"/>
      <c r="D438" s="6"/>
      <c r="E438" s="105"/>
      <c r="F438" s="105"/>
      <c r="G438" s="105"/>
      <c r="H438" s="105"/>
      <c r="I438" s="106"/>
      <c r="J438" s="105"/>
      <c r="K438" s="107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2.75" customHeight="1">
      <c r="A439" s="105"/>
      <c r="B439" s="105"/>
      <c r="C439" s="6"/>
      <c r="D439" s="6"/>
      <c r="E439" s="105"/>
      <c r="F439" s="105"/>
      <c r="G439" s="105"/>
      <c r="H439" s="105"/>
      <c r="I439" s="106"/>
      <c r="J439" s="105"/>
      <c r="K439" s="107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2.75" customHeight="1">
      <c r="A440" s="105"/>
      <c r="B440" s="105"/>
      <c r="C440" s="6"/>
      <c r="D440" s="6"/>
      <c r="E440" s="105"/>
      <c r="F440" s="105"/>
      <c r="G440" s="105"/>
      <c r="H440" s="105"/>
      <c r="I440" s="106"/>
      <c r="J440" s="105"/>
      <c r="K440" s="107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2.75" customHeight="1">
      <c r="A441" s="105"/>
      <c r="B441" s="105"/>
      <c r="C441" s="6"/>
      <c r="D441" s="6"/>
      <c r="E441" s="105"/>
      <c r="F441" s="105"/>
      <c r="G441" s="105"/>
      <c r="H441" s="105"/>
      <c r="I441" s="106"/>
      <c r="J441" s="105"/>
      <c r="K441" s="107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2.75" customHeight="1">
      <c r="A442" s="105"/>
      <c r="B442" s="105"/>
      <c r="C442" s="6"/>
      <c r="D442" s="6"/>
      <c r="E442" s="105"/>
      <c r="F442" s="105"/>
      <c r="G442" s="105"/>
      <c r="H442" s="105"/>
      <c r="I442" s="106"/>
      <c r="J442" s="105"/>
      <c r="K442" s="107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2.75" customHeight="1">
      <c r="A443" s="105"/>
      <c r="B443" s="105"/>
      <c r="C443" s="6"/>
      <c r="D443" s="6"/>
      <c r="E443" s="105"/>
      <c r="F443" s="105"/>
      <c r="G443" s="105"/>
      <c r="H443" s="105"/>
      <c r="I443" s="106"/>
      <c r="J443" s="105"/>
      <c r="K443" s="107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2.75" customHeight="1">
      <c r="A444" s="105"/>
      <c r="B444" s="105"/>
      <c r="C444" s="6"/>
      <c r="D444" s="6"/>
      <c r="E444" s="105"/>
      <c r="F444" s="105"/>
      <c r="G444" s="105"/>
      <c r="H444" s="105"/>
      <c r="I444" s="106"/>
      <c r="J444" s="105"/>
      <c r="K444" s="107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2.75" customHeight="1">
      <c r="A445" s="105"/>
      <c r="B445" s="105"/>
      <c r="C445" s="6"/>
      <c r="D445" s="6"/>
      <c r="E445" s="105"/>
      <c r="F445" s="105"/>
      <c r="G445" s="105"/>
      <c r="H445" s="105"/>
      <c r="I445" s="106"/>
      <c r="J445" s="105"/>
      <c r="K445" s="107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2.75" customHeight="1">
      <c r="A446" s="105"/>
      <c r="B446" s="105"/>
      <c r="C446" s="6"/>
      <c r="D446" s="6"/>
      <c r="E446" s="105"/>
      <c r="F446" s="105"/>
      <c r="G446" s="105"/>
      <c r="H446" s="105"/>
      <c r="I446" s="106"/>
      <c r="J446" s="105"/>
      <c r="K446" s="107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2.75" customHeight="1">
      <c r="A447" s="105"/>
      <c r="B447" s="105"/>
      <c r="C447" s="6"/>
      <c r="D447" s="6"/>
      <c r="E447" s="105"/>
      <c r="F447" s="105"/>
      <c r="G447" s="105"/>
      <c r="H447" s="105"/>
      <c r="I447" s="106"/>
      <c r="J447" s="105"/>
      <c r="K447" s="107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2.75" customHeight="1">
      <c r="A448" s="105"/>
      <c r="B448" s="105"/>
      <c r="C448" s="6"/>
      <c r="D448" s="6"/>
      <c r="E448" s="105"/>
      <c r="F448" s="105"/>
      <c r="G448" s="105"/>
      <c r="H448" s="105"/>
      <c r="I448" s="106"/>
      <c r="J448" s="105"/>
      <c r="K448" s="107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2.75" customHeight="1">
      <c r="A449" s="105"/>
      <c r="B449" s="105"/>
      <c r="C449" s="6"/>
      <c r="D449" s="6"/>
      <c r="E449" s="105"/>
      <c r="F449" s="105"/>
      <c r="G449" s="105"/>
      <c r="H449" s="105"/>
      <c r="I449" s="106"/>
      <c r="J449" s="105"/>
      <c r="K449" s="107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2.75" customHeight="1">
      <c r="A450" s="105"/>
      <c r="B450" s="105"/>
      <c r="C450" s="6"/>
      <c r="D450" s="6"/>
      <c r="E450" s="105"/>
      <c r="F450" s="105"/>
      <c r="G450" s="105"/>
      <c r="H450" s="105"/>
      <c r="I450" s="106"/>
      <c r="J450" s="105"/>
      <c r="K450" s="107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2.75" customHeight="1">
      <c r="A451" s="105"/>
      <c r="B451" s="105"/>
      <c r="C451" s="6"/>
      <c r="D451" s="6"/>
      <c r="E451" s="105"/>
      <c r="F451" s="105"/>
      <c r="G451" s="105"/>
      <c r="H451" s="105"/>
      <c r="I451" s="106"/>
      <c r="J451" s="105"/>
      <c r="K451" s="107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2.75" customHeight="1">
      <c r="A452" s="105"/>
      <c r="B452" s="105"/>
      <c r="C452" s="6"/>
      <c r="D452" s="6"/>
      <c r="E452" s="105"/>
      <c r="F452" s="105"/>
      <c r="G452" s="105"/>
      <c r="H452" s="105"/>
      <c r="I452" s="106"/>
      <c r="J452" s="105"/>
      <c r="K452" s="107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2.75" customHeight="1">
      <c r="A453" s="105"/>
      <c r="B453" s="105"/>
      <c r="C453" s="6"/>
      <c r="D453" s="6"/>
      <c r="E453" s="105"/>
      <c r="F453" s="105"/>
      <c r="G453" s="105"/>
      <c r="H453" s="105"/>
      <c r="I453" s="106"/>
      <c r="J453" s="105"/>
      <c r="K453" s="107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2.75" customHeight="1">
      <c r="A454" s="105"/>
      <c r="B454" s="105"/>
      <c r="C454" s="6"/>
      <c r="D454" s="6"/>
      <c r="E454" s="105"/>
      <c r="F454" s="105"/>
      <c r="G454" s="105"/>
      <c r="H454" s="105"/>
      <c r="I454" s="106"/>
      <c r="J454" s="105"/>
      <c r="K454" s="107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2.75" customHeight="1">
      <c r="A455" s="105"/>
      <c r="B455" s="105"/>
      <c r="C455" s="6"/>
      <c r="D455" s="6"/>
      <c r="E455" s="105"/>
      <c r="F455" s="105"/>
      <c r="G455" s="105"/>
      <c r="H455" s="105"/>
      <c r="I455" s="106"/>
      <c r="J455" s="105"/>
      <c r="K455" s="107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2.75" customHeight="1">
      <c r="A456" s="105"/>
      <c r="B456" s="105"/>
      <c r="C456" s="6"/>
      <c r="D456" s="6"/>
      <c r="E456" s="105"/>
      <c r="F456" s="105"/>
      <c r="G456" s="105"/>
      <c r="H456" s="105"/>
      <c r="I456" s="106"/>
      <c r="J456" s="105"/>
      <c r="K456" s="107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2.75" customHeight="1">
      <c r="A457" s="105"/>
      <c r="B457" s="105"/>
      <c r="C457" s="6"/>
      <c r="D457" s="6"/>
      <c r="E457" s="105"/>
      <c r="F457" s="105"/>
      <c r="G457" s="105"/>
      <c r="H457" s="105"/>
      <c r="I457" s="106"/>
      <c r="J457" s="105"/>
      <c r="K457" s="107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2.75" customHeight="1">
      <c r="A458" s="105"/>
      <c r="B458" s="105"/>
      <c r="C458" s="6"/>
      <c r="D458" s="6"/>
      <c r="E458" s="105"/>
      <c r="F458" s="105"/>
      <c r="G458" s="105"/>
      <c r="H458" s="105"/>
      <c r="I458" s="106"/>
      <c r="J458" s="105"/>
      <c r="K458" s="107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2.75" customHeight="1">
      <c r="A459" s="105"/>
      <c r="B459" s="105"/>
      <c r="C459" s="6"/>
      <c r="D459" s="6"/>
      <c r="E459" s="105"/>
      <c r="F459" s="105"/>
      <c r="G459" s="105"/>
      <c r="H459" s="105"/>
      <c r="I459" s="106"/>
      <c r="J459" s="105"/>
      <c r="K459" s="107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2.75" customHeight="1">
      <c r="A460" s="105"/>
      <c r="B460" s="105"/>
      <c r="C460" s="6"/>
      <c r="D460" s="6"/>
      <c r="E460" s="105"/>
      <c r="F460" s="105"/>
      <c r="G460" s="105"/>
      <c r="H460" s="105"/>
      <c r="I460" s="106"/>
      <c r="J460" s="105"/>
      <c r="K460" s="107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2.75" customHeight="1">
      <c r="A461" s="105"/>
      <c r="B461" s="105"/>
      <c r="C461" s="6"/>
      <c r="D461" s="6"/>
      <c r="E461" s="105"/>
      <c r="F461" s="105"/>
      <c r="G461" s="105"/>
      <c r="H461" s="105"/>
      <c r="I461" s="106"/>
      <c r="J461" s="105"/>
      <c r="K461" s="107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2.75" customHeight="1">
      <c r="A462" s="105"/>
      <c r="B462" s="105"/>
      <c r="C462" s="6"/>
      <c r="D462" s="6"/>
      <c r="E462" s="105"/>
      <c r="F462" s="105"/>
      <c r="G462" s="105"/>
      <c r="H462" s="105"/>
      <c r="I462" s="106"/>
      <c r="J462" s="105"/>
      <c r="K462" s="107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2.75" customHeight="1">
      <c r="A463" s="105"/>
      <c r="B463" s="105"/>
      <c r="C463" s="6"/>
      <c r="D463" s="6"/>
      <c r="E463" s="105"/>
      <c r="F463" s="105"/>
      <c r="G463" s="105"/>
      <c r="H463" s="105"/>
      <c r="I463" s="106"/>
      <c r="J463" s="105"/>
      <c r="K463" s="107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2.75" customHeight="1">
      <c r="A464" s="105"/>
      <c r="B464" s="105"/>
      <c r="C464" s="6"/>
      <c r="D464" s="6"/>
      <c r="E464" s="105"/>
      <c r="F464" s="105"/>
      <c r="G464" s="105"/>
      <c r="H464" s="105"/>
      <c r="I464" s="106"/>
      <c r="J464" s="105"/>
      <c r="K464" s="107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2.75" customHeight="1">
      <c r="A465" s="105"/>
      <c r="B465" s="105"/>
      <c r="C465" s="6"/>
      <c r="D465" s="6"/>
      <c r="E465" s="105"/>
      <c r="F465" s="105"/>
      <c r="G465" s="105"/>
      <c r="H465" s="105"/>
      <c r="I465" s="106"/>
      <c r="J465" s="105"/>
      <c r="K465" s="107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2.75" customHeight="1">
      <c r="A466" s="105"/>
      <c r="B466" s="105"/>
      <c r="C466" s="6"/>
      <c r="D466" s="6"/>
      <c r="E466" s="105"/>
      <c r="F466" s="105"/>
      <c r="G466" s="105"/>
      <c r="H466" s="105"/>
      <c r="I466" s="106"/>
      <c r="J466" s="105"/>
      <c r="K466" s="107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2.75" customHeight="1">
      <c r="A467" s="105"/>
      <c r="B467" s="105"/>
      <c r="C467" s="6"/>
      <c r="D467" s="6"/>
      <c r="E467" s="105"/>
      <c r="F467" s="105"/>
      <c r="G467" s="105"/>
      <c r="H467" s="105"/>
      <c r="I467" s="106"/>
      <c r="J467" s="105"/>
      <c r="K467" s="107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2.75" customHeight="1">
      <c r="A468" s="105"/>
      <c r="B468" s="105"/>
      <c r="C468" s="6"/>
      <c r="D468" s="6"/>
      <c r="E468" s="105"/>
      <c r="F468" s="105"/>
      <c r="G468" s="105"/>
      <c r="H468" s="105"/>
      <c r="I468" s="106"/>
      <c r="J468" s="105"/>
      <c r="K468" s="107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2.75" customHeight="1">
      <c r="A469" s="105"/>
      <c r="B469" s="105"/>
      <c r="C469" s="6"/>
      <c r="D469" s="6"/>
      <c r="E469" s="105"/>
      <c r="F469" s="105"/>
      <c r="G469" s="105"/>
      <c r="H469" s="105"/>
      <c r="I469" s="106"/>
      <c r="J469" s="105"/>
      <c r="K469" s="107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2.75" customHeight="1">
      <c r="A470" s="105"/>
      <c r="B470" s="105"/>
      <c r="C470" s="6"/>
      <c r="D470" s="6"/>
      <c r="E470" s="105"/>
      <c r="F470" s="105"/>
      <c r="G470" s="105"/>
      <c r="H470" s="105"/>
      <c r="I470" s="106"/>
      <c r="J470" s="105"/>
      <c r="K470" s="107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2.75" customHeight="1">
      <c r="A471" s="105"/>
      <c r="B471" s="105"/>
      <c r="C471" s="6"/>
      <c r="D471" s="6"/>
      <c r="E471" s="105"/>
      <c r="F471" s="105"/>
      <c r="G471" s="105"/>
      <c r="H471" s="105"/>
      <c r="I471" s="106"/>
      <c r="J471" s="105"/>
      <c r="K471" s="107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2.75" customHeight="1">
      <c r="A472" s="105"/>
      <c r="B472" s="105"/>
      <c r="C472" s="6"/>
      <c r="D472" s="6"/>
      <c r="E472" s="105"/>
      <c r="F472" s="105"/>
      <c r="G472" s="105"/>
      <c r="H472" s="105"/>
      <c r="I472" s="106"/>
      <c r="J472" s="105"/>
      <c r="K472" s="107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2.75" customHeight="1">
      <c r="A473" s="105"/>
      <c r="B473" s="105"/>
      <c r="C473" s="6"/>
      <c r="D473" s="6"/>
      <c r="E473" s="105"/>
      <c r="F473" s="105"/>
      <c r="G473" s="105"/>
      <c r="H473" s="105"/>
      <c r="I473" s="106"/>
      <c r="J473" s="105"/>
      <c r="K473" s="107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2.75" customHeight="1">
      <c r="A474" s="105"/>
      <c r="B474" s="105"/>
      <c r="C474" s="6"/>
      <c r="D474" s="6"/>
      <c r="E474" s="105"/>
      <c r="F474" s="105"/>
      <c r="G474" s="105"/>
      <c r="H474" s="105"/>
      <c r="I474" s="106"/>
      <c r="J474" s="105"/>
      <c r="K474" s="107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2.75" customHeight="1">
      <c r="A475" s="105"/>
      <c r="B475" s="105"/>
      <c r="C475" s="6"/>
      <c r="D475" s="6"/>
      <c r="E475" s="105"/>
      <c r="F475" s="105"/>
      <c r="G475" s="105"/>
      <c r="H475" s="105"/>
      <c r="I475" s="106"/>
      <c r="J475" s="105"/>
      <c r="K475" s="107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2.75" customHeight="1">
      <c r="A476" s="105"/>
      <c r="B476" s="105"/>
      <c r="C476" s="6"/>
      <c r="D476" s="6"/>
      <c r="E476" s="105"/>
      <c r="F476" s="105"/>
      <c r="G476" s="105"/>
      <c r="H476" s="105"/>
      <c r="I476" s="106"/>
      <c r="J476" s="105"/>
      <c r="K476" s="107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2.75" customHeight="1">
      <c r="A477" s="105"/>
      <c r="B477" s="105"/>
      <c r="C477" s="6"/>
      <c r="D477" s="6"/>
      <c r="E477" s="105"/>
      <c r="F477" s="105"/>
      <c r="G477" s="105"/>
      <c r="H477" s="105"/>
      <c r="I477" s="106"/>
      <c r="J477" s="105"/>
      <c r="K477" s="107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2.75" customHeight="1">
      <c r="A478" s="105"/>
      <c r="B478" s="105"/>
      <c r="C478" s="6"/>
      <c r="D478" s="6"/>
      <c r="E478" s="105"/>
      <c r="F478" s="105"/>
      <c r="G478" s="105"/>
      <c r="H478" s="105"/>
      <c r="I478" s="106"/>
      <c r="J478" s="105"/>
      <c r="K478" s="107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2.75" customHeight="1">
      <c r="A479" s="105"/>
      <c r="B479" s="105"/>
      <c r="C479" s="6"/>
      <c r="D479" s="6"/>
      <c r="E479" s="105"/>
      <c r="F479" s="105"/>
      <c r="G479" s="105"/>
      <c r="H479" s="105"/>
      <c r="I479" s="106"/>
      <c r="J479" s="105"/>
      <c r="K479" s="107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2.75" customHeight="1">
      <c r="A480" s="105"/>
      <c r="B480" s="105"/>
      <c r="C480" s="6"/>
      <c r="D480" s="6"/>
      <c r="E480" s="105"/>
      <c r="F480" s="105"/>
      <c r="G480" s="105"/>
      <c r="H480" s="105"/>
      <c r="I480" s="106"/>
      <c r="J480" s="105"/>
      <c r="K480" s="107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2.75" customHeight="1">
      <c r="A481" s="105"/>
      <c r="B481" s="105"/>
      <c r="C481" s="6"/>
      <c r="D481" s="6"/>
      <c r="E481" s="105"/>
      <c r="F481" s="105"/>
      <c r="G481" s="105"/>
      <c r="H481" s="105"/>
      <c r="I481" s="106"/>
      <c r="J481" s="105"/>
      <c r="K481" s="107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2.75" customHeight="1">
      <c r="A482" s="105"/>
      <c r="B482" s="105"/>
      <c r="C482" s="6"/>
      <c r="D482" s="6"/>
      <c r="E482" s="105"/>
      <c r="F482" s="105"/>
      <c r="G482" s="105"/>
      <c r="H482" s="105"/>
      <c r="I482" s="106"/>
      <c r="J482" s="105"/>
      <c r="K482" s="107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2.75" customHeight="1">
      <c r="A483" s="105"/>
      <c r="B483" s="105"/>
      <c r="C483" s="6"/>
      <c r="D483" s="6"/>
      <c r="E483" s="105"/>
      <c r="F483" s="105"/>
      <c r="G483" s="105"/>
      <c r="H483" s="105"/>
      <c r="I483" s="106"/>
      <c r="J483" s="105"/>
      <c r="K483" s="107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2.75" customHeight="1">
      <c r="A484" s="105"/>
      <c r="B484" s="105"/>
      <c r="C484" s="6"/>
      <c r="D484" s="6"/>
      <c r="E484" s="105"/>
      <c r="F484" s="105"/>
      <c r="G484" s="105"/>
      <c r="H484" s="105"/>
      <c r="I484" s="106"/>
      <c r="J484" s="105"/>
      <c r="K484" s="107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2.75" customHeight="1">
      <c r="A485" s="105"/>
      <c r="B485" s="105"/>
      <c r="C485" s="6"/>
      <c r="D485" s="6"/>
      <c r="E485" s="105"/>
      <c r="F485" s="105"/>
      <c r="G485" s="105"/>
      <c r="H485" s="105"/>
      <c r="I485" s="106"/>
      <c r="J485" s="105"/>
      <c r="K485" s="107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2.75" customHeight="1">
      <c r="A486" s="105"/>
      <c r="B486" s="105"/>
      <c r="C486" s="6"/>
      <c r="D486" s="6"/>
      <c r="E486" s="105"/>
      <c r="F486" s="105"/>
      <c r="G486" s="105"/>
      <c r="H486" s="105"/>
      <c r="I486" s="106"/>
      <c r="J486" s="105"/>
      <c r="K486" s="107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2.75" customHeight="1">
      <c r="A487" s="105"/>
      <c r="B487" s="105"/>
      <c r="C487" s="6"/>
      <c r="D487" s="6"/>
      <c r="E487" s="105"/>
      <c r="F487" s="105"/>
      <c r="G487" s="105"/>
      <c r="H487" s="105"/>
      <c r="I487" s="106"/>
      <c r="J487" s="105"/>
      <c r="K487" s="107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2.75" customHeight="1">
      <c r="A488" s="105"/>
      <c r="B488" s="105"/>
      <c r="C488" s="6"/>
      <c r="D488" s="6"/>
      <c r="E488" s="105"/>
      <c r="F488" s="105"/>
      <c r="G488" s="105"/>
      <c r="H488" s="105"/>
      <c r="I488" s="106"/>
      <c r="J488" s="105"/>
      <c r="K488" s="107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2.75" customHeight="1">
      <c r="A489" s="105"/>
      <c r="B489" s="105"/>
      <c r="C489" s="6"/>
      <c r="D489" s="6"/>
      <c r="E489" s="105"/>
      <c r="F489" s="105"/>
      <c r="G489" s="105"/>
      <c r="H489" s="105"/>
      <c r="I489" s="106"/>
      <c r="J489" s="105"/>
      <c r="K489" s="107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2.75" customHeight="1">
      <c r="A490" s="105"/>
      <c r="B490" s="105"/>
      <c r="C490" s="6"/>
      <c r="D490" s="6"/>
      <c r="E490" s="105"/>
      <c r="F490" s="105"/>
      <c r="G490" s="105"/>
      <c r="H490" s="105"/>
      <c r="I490" s="106"/>
      <c r="J490" s="105"/>
      <c r="K490" s="107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2.75" customHeight="1">
      <c r="A491" s="105"/>
      <c r="B491" s="105"/>
      <c r="C491" s="6"/>
      <c r="D491" s="6"/>
      <c r="E491" s="105"/>
      <c r="F491" s="105"/>
      <c r="G491" s="105"/>
      <c r="H491" s="105"/>
      <c r="I491" s="106"/>
      <c r="J491" s="105"/>
      <c r="K491" s="107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2.75" customHeight="1">
      <c r="A492" s="105"/>
      <c r="B492" s="105"/>
      <c r="C492" s="6"/>
      <c r="D492" s="6"/>
      <c r="E492" s="105"/>
      <c r="F492" s="105"/>
      <c r="G492" s="105"/>
      <c r="H492" s="105"/>
      <c r="I492" s="106"/>
      <c r="J492" s="105"/>
      <c r="K492" s="107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2.75" customHeight="1">
      <c r="A493" s="105"/>
      <c r="B493" s="105"/>
      <c r="C493" s="6"/>
      <c r="D493" s="6"/>
      <c r="E493" s="105"/>
      <c r="F493" s="105"/>
      <c r="G493" s="105"/>
      <c r="H493" s="105"/>
      <c r="I493" s="106"/>
      <c r="J493" s="105"/>
      <c r="K493" s="107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2.75" customHeight="1">
      <c r="A494" s="105"/>
      <c r="B494" s="105"/>
      <c r="C494" s="6"/>
      <c r="D494" s="6"/>
      <c r="E494" s="105"/>
      <c r="F494" s="105"/>
      <c r="G494" s="105"/>
      <c r="H494" s="105"/>
      <c r="I494" s="106"/>
      <c r="J494" s="105"/>
      <c r="K494" s="107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2.75" customHeight="1">
      <c r="A495" s="105"/>
      <c r="B495" s="105"/>
      <c r="C495" s="6"/>
      <c r="D495" s="6"/>
      <c r="E495" s="105"/>
      <c r="F495" s="105"/>
      <c r="G495" s="105"/>
      <c r="H495" s="105"/>
      <c r="I495" s="106"/>
      <c r="J495" s="105"/>
      <c r="K495" s="107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2.75" customHeight="1">
      <c r="A496" s="105"/>
      <c r="B496" s="105"/>
      <c r="C496" s="6"/>
      <c r="D496" s="6"/>
      <c r="E496" s="105"/>
      <c r="F496" s="105"/>
      <c r="G496" s="105"/>
      <c r="H496" s="105"/>
      <c r="I496" s="106"/>
      <c r="J496" s="105"/>
      <c r="K496" s="107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2.75" customHeight="1">
      <c r="A497" s="105"/>
      <c r="B497" s="105"/>
      <c r="C497" s="6"/>
      <c r="D497" s="6"/>
      <c r="E497" s="105"/>
      <c r="F497" s="105"/>
      <c r="G497" s="105"/>
      <c r="H497" s="105"/>
      <c r="I497" s="106"/>
      <c r="J497" s="105"/>
      <c r="K497" s="107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2.75" customHeight="1">
      <c r="A498" s="105"/>
      <c r="B498" s="105"/>
      <c r="C498" s="6"/>
      <c r="D498" s="6"/>
      <c r="E498" s="105"/>
      <c r="F498" s="105"/>
      <c r="G498" s="105"/>
      <c r="H498" s="105"/>
      <c r="I498" s="106"/>
      <c r="J498" s="105"/>
      <c r="K498" s="107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2.75" customHeight="1">
      <c r="A499" s="105"/>
      <c r="B499" s="105"/>
      <c r="C499" s="6"/>
      <c r="D499" s="6"/>
      <c r="E499" s="105"/>
      <c r="F499" s="105"/>
      <c r="G499" s="105"/>
      <c r="H499" s="105"/>
      <c r="I499" s="106"/>
      <c r="J499" s="105"/>
      <c r="K499" s="107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2.75" customHeight="1">
      <c r="A500" s="105"/>
      <c r="B500" s="105"/>
      <c r="C500" s="6"/>
      <c r="D500" s="6"/>
      <c r="E500" s="105"/>
      <c r="F500" s="105"/>
      <c r="G500" s="105"/>
      <c r="H500" s="105"/>
      <c r="I500" s="106"/>
      <c r="J500" s="105"/>
      <c r="K500" s="107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2.75" customHeight="1">
      <c r="A501" s="105"/>
      <c r="B501" s="105"/>
      <c r="C501" s="6"/>
      <c r="D501" s="6"/>
      <c r="E501" s="105"/>
      <c r="F501" s="105"/>
      <c r="G501" s="105"/>
      <c r="H501" s="105"/>
      <c r="I501" s="106"/>
      <c r="J501" s="105"/>
      <c r="K501" s="107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2.75" customHeight="1">
      <c r="A502" s="105"/>
      <c r="B502" s="105"/>
      <c r="C502" s="6"/>
      <c r="D502" s="6"/>
      <c r="E502" s="105"/>
      <c r="F502" s="105"/>
      <c r="G502" s="105"/>
      <c r="H502" s="105"/>
      <c r="I502" s="106"/>
      <c r="J502" s="105"/>
      <c r="K502" s="107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2.75" customHeight="1">
      <c r="A503" s="105"/>
      <c r="B503" s="105"/>
      <c r="C503" s="6"/>
      <c r="D503" s="6"/>
      <c r="E503" s="105"/>
      <c r="F503" s="105"/>
      <c r="G503" s="105"/>
      <c r="H503" s="105"/>
      <c r="I503" s="106"/>
      <c r="J503" s="105"/>
      <c r="K503" s="107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2.75" customHeight="1">
      <c r="A504" s="105"/>
      <c r="B504" s="105"/>
      <c r="C504" s="6"/>
      <c r="D504" s="6"/>
      <c r="E504" s="105"/>
      <c r="F504" s="105"/>
      <c r="G504" s="105"/>
      <c r="H504" s="105"/>
      <c r="I504" s="106"/>
      <c r="J504" s="105"/>
      <c r="K504" s="107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2.75" customHeight="1">
      <c r="A505" s="105"/>
      <c r="B505" s="105"/>
      <c r="C505" s="6"/>
      <c r="D505" s="6"/>
      <c r="E505" s="105"/>
      <c r="F505" s="105"/>
      <c r="G505" s="105"/>
      <c r="H505" s="105"/>
      <c r="I505" s="106"/>
      <c r="J505" s="105"/>
      <c r="K505" s="107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2.75" customHeight="1">
      <c r="A506" s="105"/>
      <c r="B506" s="105"/>
      <c r="C506" s="6"/>
      <c r="D506" s="6"/>
      <c r="E506" s="105"/>
      <c r="F506" s="105"/>
      <c r="G506" s="105"/>
      <c r="H506" s="105"/>
      <c r="I506" s="106"/>
      <c r="J506" s="105"/>
      <c r="K506" s="107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2.75" customHeight="1">
      <c r="A507" s="105"/>
      <c r="B507" s="105"/>
      <c r="C507" s="6"/>
      <c r="D507" s="6"/>
      <c r="E507" s="105"/>
      <c r="F507" s="105"/>
      <c r="G507" s="105"/>
      <c r="H507" s="105"/>
      <c r="I507" s="106"/>
      <c r="J507" s="105"/>
      <c r="K507" s="107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2.75" customHeight="1">
      <c r="A508" s="105"/>
      <c r="B508" s="105"/>
      <c r="C508" s="6"/>
      <c r="D508" s="6"/>
      <c r="E508" s="105"/>
      <c r="F508" s="105"/>
      <c r="G508" s="105"/>
      <c r="H508" s="105"/>
      <c r="I508" s="106"/>
      <c r="J508" s="105"/>
      <c r="K508" s="107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2.75" customHeight="1">
      <c r="A509" s="105"/>
      <c r="B509" s="105"/>
      <c r="C509" s="6"/>
      <c r="D509" s="6"/>
      <c r="E509" s="105"/>
      <c r="F509" s="105"/>
      <c r="G509" s="105"/>
      <c r="H509" s="105"/>
      <c r="I509" s="106"/>
      <c r="J509" s="105"/>
      <c r="K509" s="107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2.75" customHeight="1">
      <c r="A510" s="105"/>
      <c r="B510" s="105"/>
      <c r="C510" s="6"/>
      <c r="D510" s="6"/>
      <c r="E510" s="105"/>
      <c r="F510" s="105"/>
      <c r="G510" s="105"/>
      <c r="H510" s="105"/>
      <c r="I510" s="106"/>
      <c r="J510" s="105"/>
      <c r="K510" s="107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2.75" customHeight="1">
      <c r="A511" s="105"/>
      <c r="B511" s="105"/>
      <c r="C511" s="6"/>
      <c r="D511" s="6"/>
      <c r="E511" s="105"/>
      <c r="F511" s="105"/>
      <c r="G511" s="105"/>
      <c r="H511" s="105"/>
      <c r="I511" s="106"/>
      <c r="J511" s="105"/>
      <c r="K511" s="107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2.75" customHeight="1">
      <c r="A512" s="105"/>
      <c r="B512" s="105"/>
      <c r="C512" s="6"/>
      <c r="D512" s="6"/>
      <c r="E512" s="105"/>
      <c r="F512" s="105"/>
      <c r="G512" s="105"/>
      <c r="H512" s="105"/>
      <c r="I512" s="106"/>
      <c r="J512" s="105"/>
      <c r="K512" s="107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2.75" customHeight="1">
      <c r="A513" s="105"/>
      <c r="B513" s="105"/>
      <c r="C513" s="6"/>
      <c r="D513" s="6"/>
      <c r="E513" s="105"/>
      <c r="F513" s="105"/>
      <c r="G513" s="105"/>
      <c r="H513" s="105"/>
      <c r="I513" s="106"/>
      <c r="J513" s="105"/>
      <c r="K513" s="107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2.75" customHeight="1">
      <c r="A514" s="105"/>
      <c r="B514" s="105"/>
      <c r="C514" s="6"/>
      <c r="D514" s="6"/>
      <c r="E514" s="105"/>
      <c r="F514" s="105"/>
      <c r="G514" s="105"/>
      <c r="H514" s="105"/>
      <c r="I514" s="106"/>
      <c r="J514" s="105"/>
      <c r="K514" s="107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2.75" customHeight="1">
      <c r="A515" s="105"/>
      <c r="B515" s="105"/>
      <c r="C515" s="6"/>
      <c r="D515" s="6"/>
      <c r="E515" s="105"/>
      <c r="F515" s="105"/>
      <c r="G515" s="105"/>
      <c r="H515" s="105"/>
      <c r="I515" s="106"/>
      <c r="J515" s="105"/>
      <c r="K515" s="107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2.75" customHeight="1">
      <c r="A516" s="105"/>
      <c r="B516" s="105"/>
      <c r="C516" s="6"/>
      <c r="D516" s="6"/>
      <c r="E516" s="105"/>
      <c r="F516" s="105"/>
      <c r="G516" s="105"/>
      <c r="H516" s="105"/>
      <c r="I516" s="106"/>
      <c r="J516" s="105"/>
      <c r="K516" s="107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2.75" customHeight="1">
      <c r="A517" s="105"/>
      <c r="B517" s="105"/>
      <c r="C517" s="6"/>
      <c r="D517" s="6"/>
      <c r="E517" s="105"/>
      <c r="F517" s="105"/>
      <c r="G517" s="105"/>
      <c r="H517" s="105"/>
      <c r="I517" s="106"/>
      <c r="J517" s="105"/>
      <c r="K517" s="107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2.75" customHeight="1">
      <c r="A518" s="105"/>
      <c r="B518" s="105"/>
      <c r="C518" s="6"/>
      <c r="D518" s="6"/>
      <c r="E518" s="105"/>
      <c r="F518" s="105"/>
      <c r="G518" s="105"/>
      <c r="H518" s="105"/>
      <c r="I518" s="106"/>
      <c r="J518" s="105"/>
      <c r="K518" s="107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2.75" customHeight="1">
      <c r="A519" s="105"/>
      <c r="B519" s="105"/>
      <c r="C519" s="6"/>
      <c r="D519" s="6"/>
      <c r="E519" s="105"/>
      <c r="F519" s="105"/>
      <c r="G519" s="105"/>
      <c r="H519" s="105"/>
      <c r="I519" s="106"/>
      <c r="J519" s="105"/>
      <c r="K519" s="107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2.75" customHeight="1">
      <c r="A520" s="105"/>
      <c r="B520" s="105"/>
      <c r="C520" s="6"/>
      <c r="D520" s="6"/>
      <c r="E520" s="105"/>
      <c r="F520" s="105"/>
      <c r="G520" s="105"/>
      <c r="H520" s="105"/>
      <c r="I520" s="106"/>
      <c r="J520" s="105"/>
      <c r="K520" s="107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2.75" customHeight="1">
      <c r="A521" s="105"/>
      <c r="B521" s="105"/>
      <c r="C521" s="6"/>
      <c r="D521" s="6"/>
      <c r="E521" s="105"/>
      <c r="F521" s="105"/>
      <c r="G521" s="105"/>
      <c r="H521" s="105"/>
      <c r="I521" s="106"/>
      <c r="J521" s="105"/>
      <c r="K521" s="107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2.75" customHeight="1">
      <c r="A522" s="105"/>
      <c r="B522" s="105"/>
      <c r="C522" s="6"/>
      <c r="D522" s="6"/>
      <c r="E522" s="105"/>
      <c r="F522" s="105"/>
      <c r="G522" s="105"/>
      <c r="H522" s="105"/>
      <c r="I522" s="106"/>
      <c r="J522" s="105"/>
      <c r="K522" s="107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2.75" customHeight="1">
      <c r="A523" s="105"/>
      <c r="B523" s="105"/>
      <c r="C523" s="6"/>
      <c r="D523" s="6"/>
      <c r="E523" s="105"/>
      <c r="F523" s="105"/>
      <c r="G523" s="105"/>
      <c r="H523" s="105"/>
      <c r="I523" s="106"/>
      <c r="J523" s="105"/>
      <c r="K523" s="107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2.75" customHeight="1">
      <c r="A524" s="105"/>
      <c r="B524" s="105"/>
      <c r="C524" s="6"/>
      <c r="D524" s="6"/>
      <c r="E524" s="105"/>
      <c r="F524" s="105"/>
      <c r="G524" s="105"/>
      <c r="H524" s="105"/>
      <c r="I524" s="106"/>
      <c r="J524" s="105"/>
      <c r="K524" s="107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2.75" customHeight="1">
      <c r="A525" s="105"/>
      <c r="B525" s="105"/>
      <c r="C525" s="6"/>
      <c r="D525" s="6"/>
      <c r="E525" s="105"/>
      <c r="F525" s="105"/>
      <c r="G525" s="105"/>
      <c r="H525" s="105"/>
      <c r="I525" s="106"/>
      <c r="J525" s="105"/>
      <c r="K525" s="107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2.75" customHeight="1">
      <c r="A526" s="105"/>
      <c r="B526" s="105"/>
      <c r="C526" s="6"/>
      <c r="D526" s="6"/>
      <c r="E526" s="105"/>
      <c r="F526" s="105"/>
      <c r="G526" s="105"/>
      <c r="H526" s="105"/>
      <c r="I526" s="106"/>
      <c r="J526" s="105"/>
      <c r="K526" s="107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2.75" customHeight="1">
      <c r="A527" s="105"/>
      <c r="B527" s="105"/>
      <c r="C527" s="6"/>
      <c r="D527" s="6"/>
      <c r="E527" s="105"/>
      <c r="F527" s="105"/>
      <c r="G527" s="105"/>
      <c r="H527" s="105"/>
      <c r="I527" s="106"/>
      <c r="J527" s="105"/>
      <c r="K527" s="107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2.75" customHeight="1">
      <c r="A528" s="105"/>
      <c r="B528" s="105"/>
      <c r="C528" s="6"/>
      <c r="D528" s="6"/>
      <c r="E528" s="105"/>
      <c r="F528" s="105"/>
      <c r="G528" s="105"/>
      <c r="H528" s="105"/>
      <c r="I528" s="106"/>
      <c r="J528" s="105"/>
      <c r="K528" s="107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2.75" customHeight="1">
      <c r="A529" s="105"/>
      <c r="B529" s="105"/>
      <c r="C529" s="6"/>
      <c r="D529" s="6"/>
      <c r="E529" s="105"/>
      <c r="F529" s="105"/>
      <c r="G529" s="105"/>
      <c r="H529" s="105"/>
      <c r="I529" s="106"/>
      <c r="J529" s="105"/>
      <c r="K529" s="107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2.75" customHeight="1">
      <c r="A530" s="105"/>
      <c r="B530" s="105"/>
      <c r="C530" s="6"/>
      <c r="D530" s="6"/>
      <c r="E530" s="105"/>
      <c r="F530" s="105"/>
      <c r="G530" s="105"/>
      <c r="H530" s="105"/>
      <c r="I530" s="106"/>
      <c r="J530" s="105"/>
      <c r="K530" s="107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2.75" customHeight="1">
      <c r="A531" s="105"/>
      <c r="B531" s="105"/>
      <c r="C531" s="6"/>
      <c r="D531" s="6"/>
      <c r="E531" s="105"/>
      <c r="F531" s="105"/>
      <c r="G531" s="105"/>
      <c r="H531" s="105"/>
      <c r="I531" s="106"/>
      <c r="J531" s="105"/>
      <c r="K531" s="107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2.75" customHeight="1">
      <c r="A532" s="105"/>
      <c r="B532" s="105"/>
      <c r="C532" s="6"/>
      <c r="D532" s="6"/>
      <c r="E532" s="105"/>
      <c r="F532" s="105"/>
      <c r="G532" s="105"/>
      <c r="H532" s="105"/>
      <c r="I532" s="106"/>
      <c r="J532" s="105"/>
      <c r="K532" s="107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2.75" customHeight="1">
      <c r="A533" s="105"/>
      <c r="B533" s="105"/>
      <c r="C533" s="6"/>
      <c r="D533" s="6"/>
      <c r="E533" s="105"/>
      <c r="F533" s="105"/>
      <c r="G533" s="105"/>
      <c r="H533" s="105"/>
      <c r="I533" s="106"/>
      <c r="J533" s="105"/>
      <c r="K533" s="107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2.75" customHeight="1">
      <c r="A534" s="105"/>
      <c r="B534" s="105"/>
      <c r="C534" s="6"/>
      <c r="D534" s="6"/>
      <c r="E534" s="105"/>
      <c r="F534" s="105"/>
      <c r="G534" s="105"/>
      <c r="H534" s="105"/>
      <c r="I534" s="106"/>
      <c r="J534" s="105"/>
      <c r="K534" s="107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2.75" customHeight="1">
      <c r="A535" s="105"/>
      <c r="B535" s="105"/>
      <c r="C535" s="6"/>
      <c r="D535" s="6"/>
      <c r="E535" s="105"/>
      <c r="F535" s="105"/>
      <c r="G535" s="105"/>
      <c r="H535" s="105"/>
      <c r="I535" s="106"/>
      <c r="J535" s="105"/>
      <c r="K535" s="107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2.75" customHeight="1">
      <c r="A536" s="105"/>
      <c r="B536" s="105"/>
      <c r="C536" s="6"/>
      <c r="D536" s="6"/>
      <c r="E536" s="105"/>
      <c r="F536" s="105"/>
      <c r="G536" s="105"/>
      <c r="H536" s="105"/>
      <c r="I536" s="106"/>
      <c r="J536" s="105"/>
      <c r="K536" s="107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2.75" customHeight="1">
      <c r="A537" s="105"/>
      <c r="B537" s="105"/>
      <c r="C537" s="6"/>
      <c r="D537" s="6"/>
      <c r="E537" s="105"/>
      <c r="F537" s="105"/>
      <c r="G537" s="105"/>
      <c r="H537" s="105"/>
      <c r="I537" s="106"/>
      <c r="J537" s="105"/>
      <c r="K537" s="107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2.75" customHeight="1">
      <c r="A538" s="105"/>
      <c r="B538" s="105"/>
      <c r="C538" s="6"/>
      <c r="D538" s="6"/>
      <c r="E538" s="105"/>
      <c r="F538" s="105"/>
      <c r="G538" s="105"/>
      <c r="H538" s="105"/>
      <c r="I538" s="106"/>
      <c r="J538" s="105"/>
      <c r="K538" s="107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2.75" customHeight="1">
      <c r="A539" s="105"/>
      <c r="B539" s="105"/>
      <c r="C539" s="6"/>
      <c r="D539" s="6"/>
      <c r="E539" s="105"/>
      <c r="F539" s="105"/>
      <c r="G539" s="105"/>
      <c r="H539" s="105"/>
      <c r="I539" s="106"/>
      <c r="J539" s="105"/>
      <c r="K539" s="107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2.75" customHeight="1">
      <c r="A540" s="105"/>
      <c r="B540" s="105"/>
      <c r="C540" s="6"/>
      <c r="D540" s="6"/>
      <c r="E540" s="105"/>
      <c r="F540" s="105"/>
      <c r="G540" s="105"/>
      <c r="H540" s="105"/>
      <c r="I540" s="106"/>
      <c r="J540" s="105"/>
      <c r="K540" s="107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2.75" customHeight="1">
      <c r="A541" s="105"/>
      <c r="B541" s="105"/>
      <c r="C541" s="6"/>
      <c r="D541" s="6"/>
      <c r="E541" s="105"/>
      <c r="F541" s="105"/>
      <c r="G541" s="105"/>
      <c r="H541" s="105"/>
      <c r="I541" s="106"/>
      <c r="J541" s="105"/>
      <c r="K541" s="107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2.75" customHeight="1">
      <c r="A542" s="105"/>
      <c r="B542" s="105"/>
      <c r="C542" s="6"/>
      <c r="D542" s="6"/>
      <c r="E542" s="105"/>
      <c r="F542" s="105"/>
      <c r="G542" s="105"/>
      <c r="H542" s="105"/>
      <c r="I542" s="106"/>
      <c r="J542" s="105"/>
      <c r="K542" s="107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2.75" customHeight="1">
      <c r="A543" s="105"/>
      <c r="B543" s="105"/>
      <c r="C543" s="6"/>
      <c r="D543" s="6"/>
      <c r="E543" s="105"/>
      <c r="F543" s="105"/>
      <c r="G543" s="105"/>
      <c r="H543" s="105"/>
      <c r="I543" s="106"/>
      <c r="J543" s="105"/>
      <c r="K543" s="107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2.75" customHeight="1">
      <c r="A544" s="105"/>
      <c r="B544" s="105"/>
      <c r="C544" s="6"/>
      <c r="D544" s="6"/>
      <c r="E544" s="105"/>
      <c r="F544" s="105"/>
      <c r="G544" s="105"/>
      <c r="H544" s="105"/>
      <c r="I544" s="106"/>
      <c r="J544" s="105"/>
      <c r="K544" s="107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2.75" customHeight="1">
      <c r="A545" s="105"/>
      <c r="B545" s="105"/>
      <c r="C545" s="6"/>
      <c r="D545" s="6"/>
      <c r="E545" s="105"/>
      <c r="F545" s="105"/>
      <c r="G545" s="105"/>
      <c r="H545" s="105"/>
      <c r="I545" s="106"/>
      <c r="J545" s="105"/>
      <c r="K545" s="107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2.75" customHeight="1">
      <c r="A546" s="105"/>
      <c r="B546" s="105"/>
      <c r="C546" s="6"/>
      <c r="D546" s="6"/>
      <c r="E546" s="105"/>
      <c r="F546" s="105"/>
      <c r="G546" s="105"/>
      <c r="H546" s="105"/>
      <c r="I546" s="106"/>
      <c r="J546" s="105"/>
      <c r="K546" s="107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2.75" customHeight="1">
      <c r="A547" s="105"/>
      <c r="B547" s="105"/>
      <c r="C547" s="6"/>
      <c r="D547" s="6"/>
      <c r="E547" s="105"/>
      <c r="F547" s="105"/>
      <c r="G547" s="105"/>
      <c r="H547" s="105"/>
      <c r="I547" s="106"/>
      <c r="J547" s="105"/>
      <c r="K547" s="107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2.75" customHeight="1">
      <c r="A548" s="105"/>
      <c r="B548" s="105"/>
      <c r="C548" s="6"/>
      <c r="D548" s="6"/>
      <c r="E548" s="105"/>
      <c r="F548" s="105"/>
      <c r="G548" s="105"/>
      <c r="H548" s="105"/>
      <c r="I548" s="106"/>
      <c r="J548" s="105"/>
      <c r="K548" s="107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2.75" customHeight="1">
      <c r="A549" s="105"/>
      <c r="B549" s="105"/>
      <c r="C549" s="6"/>
      <c r="D549" s="6"/>
      <c r="E549" s="105"/>
      <c r="F549" s="105"/>
      <c r="G549" s="105"/>
      <c r="H549" s="105"/>
      <c r="I549" s="106"/>
      <c r="J549" s="105"/>
      <c r="K549" s="107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2.75" customHeight="1">
      <c r="A550" s="105"/>
      <c r="B550" s="105"/>
      <c r="C550" s="6"/>
      <c r="D550" s="6"/>
      <c r="E550" s="105"/>
      <c r="F550" s="105"/>
      <c r="G550" s="105"/>
      <c r="H550" s="105"/>
      <c r="I550" s="106"/>
      <c r="J550" s="105"/>
      <c r="K550" s="107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2.75" customHeight="1">
      <c r="A551" s="105"/>
      <c r="B551" s="105"/>
      <c r="C551" s="6"/>
      <c r="D551" s="6"/>
      <c r="E551" s="105"/>
      <c r="F551" s="105"/>
      <c r="G551" s="105"/>
      <c r="H551" s="105"/>
      <c r="I551" s="106"/>
      <c r="J551" s="105"/>
      <c r="K551" s="107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2.75" customHeight="1">
      <c r="A552" s="105"/>
      <c r="B552" s="105"/>
      <c r="C552" s="6"/>
      <c r="D552" s="6"/>
      <c r="E552" s="105"/>
      <c r="F552" s="105"/>
      <c r="G552" s="105"/>
      <c r="H552" s="105"/>
      <c r="I552" s="106"/>
      <c r="J552" s="105"/>
      <c r="K552" s="107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2.75" customHeight="1">
      <c r="A553" s="105"/>
      <c r="B553" s="105"/>
      <c r="C553" s="6"/>
      <c r="D553" s="6"/>
      <c r="E553" s="105"/>
      <c r="F553" s="105"/>
      <c r="G553" s="105"/>
      <c r="H553" s="105"/>
      <c r="I553" s="106"/>
      <c r="J553" s="105"/>
      <c r="K553" s="107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2.75" customHeight="1">
      <c r="A554" s="105"/>
      <c r="B554" s="105"/>
      <c r="C554" s="6"/>
      <c r="D554" s="6"/>
      <c r="E554" s="105"/>
      <c r="F554" s="105"/>
      <c r="G554" s="105"/>
      <c r="H554" s="105"/>
      <c r="I554" s="106"/>
      <c r="J554" s="105"/>
      <c r="K554" s="107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2.75" customHeight="1">
      <c r="A555" s="105"/>
      <c r="B555" s="105"/>
      <c r="C555" s="6"/>
      <c r="D555" s="6"/>
      <c r="E555" s="105"/>
      <c r="F555" s="105"/>
      <c r="G555" s="105"/>
      <c r="H555" s="105"/>
      <c r="I555" s="106"/>
      <c r="J555" s="105"/>
      <c r="K555" s="107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2.75" customHeight="1">
      <c r="A556" s="105"/>
      <c r="B556" s="105"/>
      <c r="C556" s="6"/>
      <c r="D556" s="6"/>
      <c r="E556" s="105"/>
      <c r="F556" s="105"/>
      <c r="G556" s="105"/>
      <c r="H556" s="105"/>
      <c r="I556" s="106"/>
      <c r="J556" s="105"/>
      <c r="K556" s="107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2.75" customHeight="1">
      <c r="A557" s="105"/>
      <c r="B557" s="105"/>
      <c r="C557" s="6"/>
      <c r="D557" s="6"/>
      <c r="E557" s="105"/>
      <c r="F557" s="105"/>
      <c r="G557" s="105"/>
      <c r="H557" s="105"/>
      <c r="I557" s="106"/>
      <c r="J557" s="105"/>
      <c r="K557" s="107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2.75" customHeight="1">
      <c r="A558" s="105"/>
      <c r="B558" s="105"/>
      <c r="C558" s="6"/>
      <c r="D558" s="6"/>
      <c r="E558" s="105"/>
      <c r="F558" s="105"/>
      <c r="G558" s="105"/>
      <c r="H558" s="105"/>
      <c r="I558" s="106"/>
      <c r="J558" s="105"/>
      <c r="K558" s="107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2.75" customHeight="1">
      <c r="A559" s="105"/>
      <c r="B559" s="105"/>
      <c r="C559" s="6"/>
      <c r="D559" s="6"/>
      <c r="E559" s="105"/>
      <c r="F559" s="105"/>
      <c r="G559" s="105"/>
      <c r="H559" s="105"/>
      <c r="I559" s="106"/>
      <c r="J559" s="105"/>
      <c r="K559" s="107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2.75" customHeight="1">
      <c r="A560" s="105"/>
      <c r="B560" s="105"/>
      <c r="C560" s="6"/>
      <c r="D560" s="6"/>
      <c r="E560" s="105"/>
      <c r="F560" s="105"/>
      <c r="G560" s="105"/>
      <c r="H560" s="105"/>
      <c r="I560" s="106"/>
      <c r="J560" s="105"/>
      <c r="K560" s="107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2.75" customHeight="1">
      <c r="A561" s="105"/>
      <c r="B561" s="105"/>
      <c r="C561" s="6"/>
      <c r="D561" s="6"/>
      <c r="E561" s="105"/>
      <c r="F561" s="105"/>
      <c r="G561" s="105"/>
      <c r="H561" s="105"/>
      <c r="I561" s="106"/>
      <c r="J561" s="105"/>
      <c r="K561" s="107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2.75" customHeight="1">
      <c r="A562" s="105"/>
      <c r="B562" s="105"/>
      <c r="C562" s="6"/>
      <c r="D562" s="6"/>
      <c r="E562" s="105"/>
      <c r="F562" s="105"/>
      <c r="G562" s="105"/>
      <c r="H562" s="105"/>
      <c r="I562" s="106"/>
      <c r="J562" s="105"/>
      <c r="K562" s="107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2.75" customHeight="1">
      <c r="A563" s="105"/>
      <c r="B563" s="105"/>
      <c r="C563" s="6"/>
      <c r="D563" s="6"/>
      <c r="E563" s="105"/>
      <c r="F563" s="105"/>
      <c r="G563" s="105"/>
      <c r="H563" s="105"/>
      <c r="I563" s="106"/>
      <c r="J563" s="105"/>
      <c r="K563" s="107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2.75" customHeight="1">
      <c r="A564" s="105"/>
      <c r="B564" s="105"/>
      <c r="C564" s="6"/>
      <c r="D564" s="6"/>
      <c r="E564" s="105"/>
      <c r="F564" s="105"/>
      <c r="G564" s="105"/>
      <c r="H564" s="105"/>
      <c r="I564" s="106"/>
      <c r="J564" s="105"/>
      <c r="K564" s="107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2.75" customHeight="1">
      <c r="A565" s="105"/>
      <c r="B565" s="105"/>
      <c r="C565" s="6"/>
      <c r="D565" s="6"/>
      <c r="E565" s="105"/>
      <c r="F565" s="105"/>
      <c r="G565" s="105"/>
      <c r="H565" s="105"/>
      <c r="I565" s="106"/>
      <c r="J565" s="105"/>
      <c r="K565" s="107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2.75" customHeight="1">
      <c r="A566" s="105"/>
      <c r="B566" s="105"/>
      <c r="C566" s="6"/>
      <c r="D566" s="6"/>
      <c r="E566" s="105"/>
      <c r="F566" s="105"/>
      <c r="G566" s="105"/>
      <c r="H566" s="105"/>
      <c r="I566" s="106"/>
      <c r="J566" s="105"/>
      <c r="K566" s="107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2.75" customHeight="1">
      <c r="A567" s="105"/>
      <c r="B567" s="105"/>
      <c r="C567" s="6"/>
      <c r="D567" s="6"/>
      <c r="E567" s="105"/>
      <c r="F567" s="105"/>
      <c r="G567" s="105"/>
      <c r="H567" s="105"/>
      <c r="I567" s="106"/>
      <c r="J567" s="105"/>
      <c r="K567" s="107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2.75" customHeight="1">
      <c r="A568" s="105"/>
      <c r="B568" s="105"/>
      <c r="C568" s="6"/>
      <c r="D568" s="6"/>
      <c r="E568" s="105"/>
      <c r="F568" s="105"/>
      <c r="G568" s="105"/>
      <c r="H568" s="105"/>
      <c r="I568" s="106"/>
      <c r="J568" s="105"/>
      <c r="K568" s="107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2.75" customHeight="1">
      <c r="A569" s="105"/>
      <c r="B569" s="105"/>
      <c r="C569" s="6"/>
      <c r="D569" s="6"/>
      <c r="E569" s="105"/>
      <c r="F569" s="105"/>
      <c r="G569" s="105"/>
      <c r="H569" s="105"/>
      <c r="I569" s="106"/>
      <c r="J569" s="105"/>
      <c r="K569" s="107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2.75" customHeight="1">
      <c r="A570" s="105"/>
      <c r="B570" s="105"/>
      <c r="C570" s="6"/>
      <c r="D570" s="6"/>
      <c r="E570" s="105"/>
      <c r="F570" s="105"/>
      <c r="G570" s="105"/>
      <c r="H570" s="105"/>
      <c r="I570" s="106"/>
      <c r="J570" s="105"/>
      <c r="K570" s="107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2.75" customHeight="1">
      <c r="A571" s="105"/>
      <c r="B571" s="105"/>
      <c r="C571" s="6"/>
      <c r="D571" s="6"/>
      <c r="E571" s="105"/>
      <c r="F571" s="105"/>
      <c r="G571" s="105"/>
      <c r="H571" s="105"/>
      <c r="I571" s="106"/>
      <c r="J571" s="105"/>
      <c r="K571" s="107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2.75" customHeight="1">
      <c r="A572" s="105"/>
      <c r="B572" s="105"/>
      <c r="C572" s="6"/>
      <c r="D572" s="6"/>
      <c r="E572" s="105"/>
      <c r="F572" s="105"/>
      <c r="G572" s="105"/>
      <c r="H572" s="105"/>
      <c r="I572" s="106"/>
      <c r="J572" s="105"/>
      <c r="K572" s="107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2.75" customHeight="1">
      <c r="A573" s="105"/>
      <c r="B573" s="105"/>
      <c r="C573" s="6"/>
      <c r="D573" s="6"/>
      <c r="E573" s="105"/>
      <c r="F573" s="105"/>
      <c r="G573" s="105"/>
      <c r="H573" s="105"/>
      <c r="I573" s="106"/>
      <c r="J573" s="105"/>
      <c r="K573" s="107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2.75" customHeight="1">
      <c r="A574" s="105"/>
      <c r="B574" s="105"/>
      <c r="C574" s="6"/>
      <c r="D574" s="6"/>
      <c r="E574" s="105"/>
      <c r="F574" s="105"/>
      <c r="G574" s="105"/>
      <c r="H574" s="105"/>
      <c r="I574" s="106"/>
      <c r="J574" s="105"/>
      <c r="K574" s="107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2.75" customHeight="1">
      <c r="A575" s="105"/>
      <c r="B575" s="105"/>
      <c r="C575" s="6"/>
      <c r="D575" s="6"/>
      <c r="E575" s="105"/>
      <c r="F575" s="105"/>
      <c r="G575" s="105"/>
      <c r="H575" s="105"/>
      <c r="I575" s="106"/>
      <c r="J575" s="105"/>
      <c r="K575" s="107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2.75" customHeight="1">
      <c r="A576" s="105"/>
      <c r="B576" s="105"/>
      <c r="C576" s="6"/>
      <c r="D576" s="6"/>
      <c r="E576" s="105"/>
      <c r="F576" s="105"/>
      <c r="G576" s="105"/>
      <c r="H576" s="105"/>
      <c r="I576" s="106"/>
      <c r="J576" s="105"/>
      <c r="K576" s="107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2.75" customHeight="1">
      <c r="A577" s="105"/>
      <c r="B577" s="105"/>
      <c r="C577" s="6"/>
      <c r="D577" s="6"/>
      <c r="E577" s="105"/>
      <c r="F577" s="105"/>
      <c r="G577" s="105"/>
      <c r="H577" s="105"/>
      <c r="I577" s="106"/>
      <c r="J577" s="105"/>
      <c r="K577" s="107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2.75" customHeight="1">
      <c r="A578" s="105"/>
      <c r="B578" s="105"/>
      <c r="C578" s="6"/>
      <c r="D578" s="6"/>
      <c r="E578" s="105"/>
      <c r="F578" s="105"/>
      <c r="G578" s="105"/>
      <c r="H578" s="105"/>
      <c r="I578" s="106"/>
      <c r="J578" s="105"/>
      <c r="K578" s="107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2.75" customHeight="1">
      <c r="A579" s="105"/>
      <c r="B579" s="105"/>
      <c r="C579" s="6"/>
      <c r="D579" s="6"/>
      <c r="E579" s="105"/>
      <c r="F579" s="105"/>
      <c r="G579" s="105"/>
      <c r="H579" s="105"/>
      <c r="I579" s="106"/>
      <c r="J579" s="105"/>
      <c r="K579" s="107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2.75" customHeight="1">
      <c r="A580" s="105"/>
      <c r="B580" s="105"/>
      <c r="C580" s="6"/>
      <c r="D580" s="6"/>
      <c r="E580" s="105"/>
      <c r="F580" s="105"/>
      <c r="G580" s="105"/>
      <c r="H580" s="105"/>
      <c r="I580" s="106"/>
      <c r="J580" s="105"/>
      <c r="K580" s="107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2.75" customHeight="1">
      <c r="A581" s="105"/>
      <c r="B581" s="105"/>
      <c r="C581" s="6"/>
      <c r="D581" s="6"/>
      <c r="E581" s="105"/>
      <c r="F581" s="105"/>
      <c r="G581" s="105"/>
      <c r="H581" s="105"/>
      <c r="I581" s="106"/>
      <c r="J581" s="105"/>
      <c r="K581" s="107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2.75" customHeight="1">
      <c r="A582" s="105"/>
      <c r="B582" s="105"/>
      <c r="C582" s="6"/>
      <c r="D582" s="6"/>
      <c r="E582" s="105"/>
      <c r="F582" s="105"/>
      <c r="G582" s="105"/>
      <c r="H582" s="105"/>
      <c r="I582" s="106"/>
      <c r="J582" s="105"/>
      <c r="K582" s="107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2.75" customHeight="1">
      <c r="A583" s="105"/>
      <c r="B583" s="105"/>
      <c r="C583" s="6"/>
      <c r="D583" s="6"/>
      <c r="E583" s="105"/>
      <c r="F583" s="105"/>
      <c r="G583" s="105"/>
      <c r="H583" s="105"/>
      <c r="I583" s="106"/>
      <c r="J583" s="105"/>
      <c r="K583" s="107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2.75" customHeight="1">
      <c r="A584" s="105"/>
      <c r="B584" s="105"/>
      <c r="C584" s="6"/>
      <c r="D584" s="6"/>
      <c r="E584" s="105"/>
      <c r="F584" s="105"/>
      <c r="G584" s="105"/>
      <c r="H584" s="105"/>
      <c r="I584" s="106"/>
      <c r="J584" s="105"/>
      <c r="K584" s="107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2.75" customHeight="1">
      <c r="A585" s="105"/>
      <c r="B585" s="105"/>
      <c r="C585" s="6"/>
      <c r="D585" s="6"/>
      <c r="E585" s="105"/>
      <c r="F585" s="105"/>
      <c r="G585" s="105"/>
      <c r="H585" s="105"/>
      <c r="I585" s="106"/>
      <c r="J585" s="105"/>
      <c r="K585" s="107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2.75" customHeight="1">
      <c r="A586" s="105"/>
      <c r="B586" s="105"/>
      <c r="C586" s="6"/>
      <c r="D586" s="6"/>
      <c r="E586" s="105"/>
      <c r="F586" s="105"/>
      <c r="G586" s="105"/>
      <c r="H586" s="105"/>
      <c r="I586" s="106"/>
      <c r="J586" s="105"/>
      <c r="K586" s="107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2.75" customHeight="1">
      <c r="A587" s="105"/>
      <c r="B587" s="105"/>
      <c r="C587" s="6"/>
      <c r="D587" s="6"/>
      <c r="E587" s="105"/>
      <c r="F587" s="105"/>
      <c r="G587" s="105"/>
      <c r="H587" s="105"/>
      <c r="I587" s="106"/>
      <c r="J587" s="105"/>
      <c r="K587" s="107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2.75" customHeight="1">
      <c r="A588" s="105"/>
      <c r="B588" s="105"/>
      <c r="C588" s="6"/>
      <c r="D588" s="6"/>
      <c r="E588" s="105"/>
      <c r="F588" s="105"/>
      <c r="G588" s="105"/>
      <c r="H588" s="105"/>
      <c r="I588" s="106"/>
      <c r="J588" s="105"/>
      <c r="K588" s="107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2.75" customHeight="1">
      <c r="A589" s="105"/>
      <c r="B589" s="105"/>
      <c r="C589" s="6"/>
      <c r="D589" s="6"/>
      <c r="E589" s="105"/>
      <c r="F589" s="105"/>
      <c r="G589" s="105"/>
      <c r="H589" s="105"/>
      <c r="I589" s="106"/>
      <c r="J589" s="105"/>
      <c r="K589" s="107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2.75" customHeight="1">
      <c r="A590" s="105"/>
      <c r="B590" s="105"/>
      <c r="C590" s="6"/>
      <c r="D590" s="6"/>
      <c r="E590" s="105"/>
      <c r="F590" s="105"/>
      <c r="G590" s="105"/>
      <c r="H590" s="105"/>
      <c r="I590" s="106"/>
      <c r="J590" s="105"/>
      <c r="K590" s="107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2.75" customHeight="1">
      <c r="A591" s="105"/>
      <c r="B591" s="105"/>
      <c r="C591" s="6"/>
      <c r="D591" s="6"/>
      <c r="E591" s="105"/>
      <c r="F591" s="105"/>
      <c r="G591" s="105"/>
      <c r="H591" s="105"/>
      <c r="I591" s="106"/>
      <c r="J591" s="105"/>
      <c r="K591" s="107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2.75" customHeight="1">
      <c r="A592" s="105"/>
      <c r="B592" s="105"/>
      <c r="C592" s="6"/>
      <c r="D592" s="6"/>
      <c r="E592" s="105"/>
      <c r="F592" s="105"/>
      <c r="G592" s="105"/>
      <c r="H592" s="105"/>
      <c r="I592" s="106"/>
      <c r="J592" s="105"/>
      <c r="K592" s="107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2.75" customHeight="1">
      <c r="A593" s="105"/>
      <c r="B593" s="105"/>
      <c r="C593" s="6"/>
      <c r="D593" s="6"/>
      <c r="E593" s="105"/>
      <c r="F593" s="105"/>
      <c r="G593" s="105"/>
      <c r="H593" s="105"/>
      <c r="I593" s="106"/>
      <c r="J593" s="105"/>
      <c r="K593" s="107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2.75" customHeight="1">
      <c r="A594" s="105"/>
      <c r="B594" s="105"/>
      <c r="C594" s="6"/>
      <c r="D594" s="6"/>
      <c r="E594" s="105"/>
      <c r="F594" s="105"/>
      <c r="G594" s="105"/>
      <c r="H594" s="105"/>
      <c r="I594" s="106"/>
      <c r="J594" s="105"/>
      <c r="K594" s="107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2.75" customHeight="1">
      <c r="A595" s="105"/>
      <c r="B595" s="105"/>
      <c r="C595" s="6"/>
      <c r="D595" s="6"/>
      <c r="E595" s="105"/>
      <c r="F595" s="105"/>
      <c r="G595" s="105"/>
      <c r="H595" s="105"/>
      <c r="I595" s="106"/>
      <c r="J595" s="105"/>
      <c r="K595" s="107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2.75" customHeight="1">
      <c r="A596" s="105"/>
      <c r="B596" s="105"/>
      <c r="C596" s="6"/>
      <c r="D596" s="6"/>
      <c r="E596" s="105"/>
      <c r="F596" s="105"/>
      <c r="G596" s="105"/>
      <c r="H596" s="105"/>
      <c r="I596" s="106"/>
      <c r="J596" s="105"/>
      <c r="K596" s="107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2.75" customHeight="1">
      <c r="A597" s="105"/>
      <c r="B597" s="105"/>
      <c r="C597" s="6"/>
      <c r="D597" s="6"/>
      <c r="E597" s="105"/>
      <c r="F597" s="105"/>
      <c r="G597" s="105"/>
      <c r="H597" s="105"/>
      <c r="I597" s="106"/>
      <c r="J597" s="105"/>
      <c r="K597" s="107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2.75" customHeight="1">
      <c r="A598" s="105"/>
      <c r="B598" s="105"/>
      <c r="C598" s="6"/>
      <c r="D598" s="6"/>
      <c r="E598" s="105"/>
      <c r="F598" s="105"/>
      <c r="G598" s="105"/>
      <c r="H598" s="105"/>
      <c r="I598" s="106"/>
      <c r="J598" s="105"/>
      <c r="K598" s="107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2.75" customHeight="1">
      <c r="A599" s="105"/>
      <c r="B599" s="105"/>
      <c r="C599" s="6"/>
      <c r="D599" s="6"/>
      <c r="E599" s="105"/>
      <c r="F599" s="105"/>
      <c r="G599" s="105"/>
      <c r="H599" s="105"/>
      <c r="I599" s="106"/>
      <c r="J599" s="105"/>
      <c r="K599" s="107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2.75" customHeight="1">
      <c r="A600" s="105"/>
      <c r="B600" s="105"/>
      <c r="C600" s="6"/>
      <c r="D600" s="6"/>
      <c r="E600" s="105"/>
      <c r="F600" s="105"/>
      <c r="G600" s="105"/>
      <c r="H600" s="105"/>
      <c r="I600" s="106"/>
      <c r="J600" s="105"/>
      <c r="K600" s="107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2.75" customHeight="1">
      <c r="A601" s="105"/>
      <c r="B601" s="105"/>
      <c r="C601" s="6"/>
      <c r="D601" s="6"/>
      <c r="E601" s="105"/>
      <c r="F601" s="105"/>
      <c r="G601" s="105"/>
      <c r="H601" s="105"/>
      <c r="I601" s="106"/>
      <c r="J601" s="105"/>
      <c r="K601" s="107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2.75" customHeight="1">
      <c r="A602" s="105"/>
      <c r="B602" s="105"/>
      <c r="C602" s="6"/>
      <c r="D602" s="6"/>
      <c r="E602" s="105"/>
      <c r="F602" s="105"/>
      <c r="G602" s="105"/>
      <c r="H602" s="105"/>
      <c r="I602" s="106"/>
      <c r="J602" s="105"/>
      <c r="K602" s="107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2.75" customHeight="1">
      <c r="A603" s="105"/>
      <c r="B603" s="105"/>
      <c r="C603" s="6"/>
      <c r="D603" s="6"/>
      <c r="E603" s="105"/>
      <c r="F603" s="105"/>
      <c r="G603" s="105"/>
      <c r="H603" s="105"/>
      <c r="I603" s="106"/>
      <c r="J603" s="105"/>
      <c r="K603" s="107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2.75" customHeight="1">
      <c r="A604" s="105"/>
      <c r="B604" s="105"/>
      <c r="C604" s="6"/>
      <c r="D604" s="6"/>
      <c r="E604" s="105"/>
      <c r="F604" s="105"/>
      <c r="G604" s="105"/>
      <c r="H604" s="105"/>
      <c r="I604" s="106"/>
      <c r="J604" s="105"/>
      <c r="K604" s="107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2.75" customHeight="1">
      <c r="A605" s="105"/>
      <c r="B605" s="105"/>
      <c r="C605" s="6"/>
      <c r="D605" s="6"/>
      <c r="E605" s="105"/>
      <c r="F605" s="105"/>
      <c r="G605" s="105"/>
      <c r="H605" s="105"/>
      <c r="I605" s="106"/>
      <c r="J605" s="105"/>
      <c r="K605" s="107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2.75" customHeight="1">
      <c r="A606" s="105"/>
      <c r="B606" s="105"/>
      <c r="C606" s="6"/>
      <c r="D606" s="6"/>
      <c r="E606" s="105"/>
      <c r="F606" s="105"/>
      <c r="G606" s="105"/>
      <c r="H606" s="105"/>
      <c r="I606" s="106"/>
      <c r="J606" s="105"/>
      <c r="K606" s="107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2.75" customHeight="1">
      <c r="A607" s="105"/>
      <c r="B607" s="105"/>
      <c r="C607" s="6"/>
      <c r="D607" s="6"/>
      <c r="E607" s="105"/>
      <c r="F607" s="105"/>
      <c r="G607" s="105"/>
      <c r="H607" s="105"/>
      <c r="I607" s="106"/>
      <c r="J607" s="105"/>
      <c r="K607" s="107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2.75" customHeight="1">
      <c r="A608" s="105"/>
      <c r="B608" s="105"/>
      <c r="C608" s="6"/>
      <c r="D608" s="6"/>
      <c r="E608" s="105"/>
      <c r="F608" s="105"/>
      <c r="G608" s="105"/>
      <c r="H608" s="105"/>
      <c r="I608" s="106"/>
      <c r="J608" s="105"/>
      <c r="K608" s="107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2.75" customHeight="1">
      <c r="A609" s="105"/>
      <c r="B609" s="105"/>
      <c r="C609" s="6"/>
      <c r="D609" s="6"/>
      <c r="E609" s="105"/>
      <c r="F609" s="105"/>
      <c r="G609" s="105"/>
      <c r="H609" s="105"/>
      <c r="I609" s="106"/>
      <c r="J609" s="105"/>
      <c r="K609" s="107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2.75" customHeight="1">
      <c r="A610" s="105"/>
      <c r="B610" s="105"/>
      <c r="C610" s="6"/>
      <c r="D610" s="6"/>
      <c r="E610" s="105"/>
      <c r="F610" s="105"/>
      <c r="G610" s="105"/>
      <c r="H610" s="105"/>
      <c r="I610" s="106"/>
      <c r="J610" s="105"/>
      <c r="K610" s="107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2.75" customHeight="1">
      <c r="A611" s="105"/>
      <c r="B611" s="105"/>
      <c r="C611" s="6"/>
      <c r="D611" s="6"/>
      <c r="E611" s="105"/>
      <c r="F611" s="105"/>
      <c r="G611" s="105"/>
      <c r="H611" s="105"/>
      <c r="I611" s="106"/>
      <c r="J611" s="105"/>
      <c r="K611" s="107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2.75" customHeight="1">
      <c r="A612" s="105"/>
      <c r="B612" s="105"/>
      <c r="C612" s="6"/>
      <c r="D612" s="6"/>
      <c r="E612" s="105"/>
      <c r="F612" s="105"/>
      <c r="G612" s="105"/>
      <c r="H612" s="105"/>
      <c r="I612" s="106"/>
      <c r="J612" s="105"/>
      <c r="K612" s="107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2.75" customHeight="1">
      <c r="A613" s="105"/>
      <c r="B613" s="105"/>
      <c r="C613" s="6"/>
      <c r="D613" s="6"/>
      <c r="E613" s="105"/>
      <c r="F613" s="105"/>
      <c r="G613" s="105"/>
      <c r="H613" s="105"/>
      <c r="I613" s="106"/>
      <c r="J613" s="105"/>
      <c r="K613" s="107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2.75" customHeight="1">
      <c r="A614" s="105"/>
      <c r="B614" s="105"/>
      <c r="C614" s="6"/>
      <c r="D614" s="6"/>
      <c r="E614" s="105"/>
      <c r="F614" s="105"/>
      <c r="G614" s="105"/>
      <c r="H614" s="105"/>
      <c r="I614" s="106"/>
      <c r="J614" s="105"/>
      <c r="K614" s="107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2.75" customHeight="1">
      <c r="A615" s="105"/>
      <c r="B615" s="105"/>
      <c r="C615" s="6"/>
      <c r="D615" s="6"/>
      <c r="E615" s="105"/>
      <c r="F615" s="105"/>
      <c r="G615" s="105"/>
      <c r="H615" s="105"/>
      <c r="I615" s="106"/>
      <c r="J615" s="105"/>
      <c r="K615" s="107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2.75" customHeight="1">
      <c r="A616" s="105"/>
      <c r="B616" s="105"/>
      <c r="C616" s="6"/>
      <c r="D616" s="6"/>
      <c r="E616" s="105"/>
      <c r="F616" s="105"/>
      <c r="G616" s="105"/>
      <c r="H616" s="105"/>
      <c r="I616" s="106"/>
      <c r="J616" s="105"/>
      <c r="K616" s="107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2.75" customHeight="1">
      <c r="A617" s="105"/>
      <c r="B617" s="105"/>
      <c r="C617" s="6"/>
      <c r="D617" s="6"/>
      <c r="E617" s="105"/>
      <c r="F617" s="105"/>
      <c r="G617" s="105"/>
      <c r="H617" s="105"/>
      <c r="I617" s="106"/>
      <c r="J617" s="105"/>
      <c r="K617" s="107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2.75" customHeight="1">
      <c r="A618" s="105"/>
      <c r="B618" s="105"/>
      <c r="C618" s="6"/>
      <c r="D618" s="6"/>
      <c r="E618" s="105"/>
      <c r="F618" s="105"/>
      <c r="G618" s="105"/>
      <c r="H618" s="105"/>
      <c r="I618" s="106"/>
      <c r="J618" s="105"/>
      <c r="K618" s="107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2.75" customHeight="1">
      <c r="A619" s="105"/>
      <c r="B619" s="105"/>
      <c r="C619" s="6"/>
      <c r="D619" s="6"/>
      <c r="E619" s="105"/>
      <c r="F619" s="105"/>
      <c r="G619" s="105"/>
      <c r="H619" s="105"/>
      <c r="I619" s="106"/>
      <c r="J619" s="105"/>
      <c r="K619" s="107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2.75" customHeight="1">
      <c r="A620" s="105"/>
      <c r="B620" s="105"/>
      <c r="C620" s="6"/>
      <c r="D620" s="6"/>
      <c r="E620" s="105"/>
      <c r="F620" s="105"/>
      <c r="G620" s="105"/>
      <c r="H620" s="105"/>
      <c r="I620" s="106"/>
      <c r="J620" s="105"/>
      <c r="K620" s="107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2.75" customHeight="1">
      <c r="A621" s="105"/>
      <c r="B621" s="105"/>
      <c r="C621" s="6"/>
      <c r="D621" s="6"/>
      <c r="E621" s="105"/>
      <c r="F621" s="105"/>
      <c r="G621" s="105"/>
      <c r="H621" s="105"/>
      <c r="I621" s="106"/>
      <c r="J621" s="105"/>
      <c r="K621" s="107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2.75" customHeight="1">
      <c r="A622" s="105"/>
      <c r="B622" s="105"/>
      <c r="C622" s="6"/>
      <c r="D622" s="6"/>
      <c r="E622" s="105"/>
      <c r="F622" s="105"/>
      <c r="G622" s="105"/>
      <c r="H622" s="105"/>
      <c r="I622" s="106"/>
      <c r="J622" s="105"/>
      <c r="K622" s="107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3.5" customHeight="1">
      <c r="A623" s="118"/>
      <c r="B623" s="118"/>
      <c r="C623" s="118"/>
      <c r="D623" s="118"/>
      <c r="E623" s="118"/>
      <c r="F623" s="118"/>
      <c r="G623" s="118"/>
      <c r="H623" s="118"/>
      <c r="I623" s="119"/>
      <c r="J623" s="118"/>
      <c r="K623" s="120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 ht="13.5" customHeight="1">
      <c r="A624" s="118"/>
      <c r="B624" s="118"/>
      <c r="C624" s="118"/>
      <c r="D624" s="118"/>
      <c r="E624" s="118"/>
      <c r="F624" s="118"/>
      <c r="G624" s="118"/>
      <c r="H624" s="118"/>
      <c r="I624" s="119"/>
      <c r="J624" s="118"/>
      <c r="K624" s="120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 ht="13.5" customHeight="1">
      <c r="A625" s="118"/>
      <c r="B625" s="118"/>
      <c r="C625" s="118"/>
      <c r="D625" s="118"/>
      <c r="E625" s="118"/>
      <c r="F625" s="118"/>
      <c r="G625" s="118"/>
      <c r="H625" s="118"/>
      <c r="I625" s="119"/>
      <c r="J625" s="118"/>
      <c r="K625" s="120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 ht="13.5" customHeight="1">
      <c r="A626" s="118"/>
      <c r="B626" s="118"/>
      <c r="C626" s="118"/>
      <c r="D626" s="118"/>
      <c r="E626" s="118"/>
      <c r="F626" s="118"/>
      <c r="G626" s="118"/>
      <c r="H626" s="118"/>
      <c r="I626" s="119"/>
      <c r="J626" s="118"/>
      <c r="K626" s="120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 ht="13.5" customHeight="1">
      <c r="A627" s="118"/>
      <c r="B627" s="118"/>
      <c r="C627" s="118"/>
      <c r="D627" s="118"/>
      <c r="E627" s="118"/>
      <c r="F627" s="118"/>
      <c r="G627" s="118"/>
      <c r="H627" s="118"/>
      <c r="I627" s="119"/>
      <c r="J627" s="118"/>
      <c r="K627" s="120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 ht="13.5" customHeight="1">
      <c r="A628" s="118"/>
      <c r="B628" s="118"/>
      <c r="C628" s="118"/>
      <c r="D628" s="118"/>
      <c r="E628" s="118"/>
      <c r="F628" s="118"/>
      <c r="G628" s="118"/>
      <c r="H628" s="118"/>
      <c r="I628" s="119"/>
      <c r="J628" s="118"/>
      <c r="K628" s="120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 ht="13.5" customHeight="1">
      <c r="A629" s="118"/>
      <c r="B629" s="118"/>
      <c r="C629" s="118"/>
      <c r="D629" s="118"/>
      <c r="E629" s="118"/>
      <c r="F629" s="118"/>
      <c r="G629" s="118"/>
      <c r="H629" s="118"/>
      <c r="I629" s="119"/>
      <c r="J629" s="118"/>
      <c r="K629" s="120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 ht="13.5" customHeight="1">
      <c r="A630" s="118"/>
      <c r="B630" s="118"/>
      <c r="C630" s="118"/>
      <c r="D630" s="118"/>
      <c r="E630" s="118"/>
      <c r="F630" s="118"/>
      <c r="G630" s="118"/>
      <c r="H630" s="118"/>
      <c r="I630" s="119"/>
      <c r="J630" s="118"/>
      <c r="K630" s="120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 ht="13.5" customHeight="1">
      <c r="A631" s="118"/>
      <c r="B631" s="118"/>
      <c r="C631" s="118"/>
      <c r="D631" s="118"/>
      <c r="E631" s="118"/>
      <c r="F631" s="118"/>
      <c r="G631" s="118"/>
      <c r="H631" s="118"/>
      <c r="I631" s="119"/>
      <c r="J631" s="118"/>
      <c r="K631" s="120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 ht="13.5" customHeight="1">
      <c r="A632" s="118"/>
      <c r="B632" s="118"/>
      <c r="C632" s="118"/>
      <c r="D632" s="118"/>
      <c r="E632" s="118"/>
      <c r="F632" s="118"/>
      <c r="G632" s="118"/>
      <c r="H632" s="118"/>
      <c r="I632" s="119"/>
      <c r="J632" s="118"/>
      <c r="K632" s="120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 ht="13.5" customHeight="1">
      <c r="A633" s="118"/>
      <c r="B633" s="118"/>
      <c r="C633" s="118"/>
      <c r="D633" s="118"/>
      <c r="E633" s="118"/>
      <c r="F633" s="118"/>
      <c r="G633" s="118"/>
      <c r="H633" s="118"/>
      <c r="I633" s="119"/>
      <c r="J633" s="118"/>
      <c r="K633" s="120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 ht="13.5" customHeight="1">
      <c r="A634" s="118"/>
      <c r="B634" s="118"/>
      <c r="C634" s="118"/>
      <c r="D634" s="118"/>
      <c r="E634" s="118"/>
      <c r="F634" s="118"/>
      <c r="G634" s="118"/>
      <c r="H634" s="118"/>
      <c r="I634" s="119"/>
      <c r="J634" s="118"/>
      <c r="K634" s="120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 ht="13.5" customHeight="1">
      <c r="A635" s="118"/>
      <c r="B635" s="118"/>
      <c r="C635" s="118"/>
      <c r="D635" s="118"/>
      <c r="E635" s="118"/>
      <c r="F635" s="118"/>
      <c r="G635" s="118"/>
      <c r="H635" s="118"/>
      <c r="I635" s="119"/>
      <c r="J635" s="118"/>
      <c r="K635" s="120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 ht="13.5" customHeight="1">
      <c r="A636" s="118"/>
      <c r="B636" s="118"/>
      <c r="C636" s="118"/>
      <c r="D636" s="118"/>
      <c r="E636" s="118"/>
      <c r="F636" s="118"/>
      <c r="G636" s="118"/>
      <c r="H636" s="118"/>
      <c r="I636" s="119"/>
      <c r="J636" s="118"/>
      <c r="K636" s="120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 ht="13.5" customHeight="1">
      <c r="A637" s="118"/>
      <c r="B637" s="118"/>
      <c r="C637" s="118"/>
      <c r="D637" s="118"/>
      <c r="E637" s="118"/>
      <c r="F637" s="118"/>
      <c r="G637" s="118"/>
      <c r="H637" s="118"/>
      <c r="I637" s="119"/>
      <c r="J637" s="118"/>
      <c r="K637" s="120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 ht="13.5" customHeight="1">
      <c r="A638" s="118"/>
      <c r="B638" s="118"/>
      <c r="C638" s="118"/>
      <c r="D638" s="118"/>
      <c r="E638" s="118"/>
      <c r="F638" s="118"/>
      <c r="G638" s="118"/>
      <c r="H638" s="118"/>
      <c r="I638" s="119"/>
      <c r="J638" s="118"/>
      <c r="K638" s="120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 ht="13.5" customHeight="1">
      <c r="A639" s="118"/>
      <c r="B639" s="118"/>
      <c r="C639" s="118"/>
      <c r="D639" s="118"/>
      <c r="E639" s="118"/>
      <c r="F639" s="118"/>
      <c r="G639" s="118"/>
      <c r="H639" s="118"/>
      <c r="I639" s="119"/>
      <c r="J639" s="118"/>
      <c r="K639" s="120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 ht="13.5" customHeight="1">
      <c r="A640" s="118"/>
      <c r="B640" s="118"/>
      <c r="C640" s="118"/>
      <c r="D640" s="118"/>
      <c r="E640" s="118"/>
      <c r="F640" s="118"/>
      <c r="G640" s="118"/>
      <c r="H640" s="118"/>
      <c r="I640" s="119"/>
      <c r="J640" s="118"/>
      <c r="K640" s="120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 ht="13.5" customHeight="1">
      <c r="A641" s="118"/>
      <c r="B641" s="118"/>
      <c r="C641" s="118"/>
      <c r="D641" s="118"/>
      <c r="E641" s="118"/>
      <c r="F641" s="118"/>
      <c r="G641" s="118"/>
      <c r="H641" s="118"/>
      <c r="I641" s="119"/>
      <c r="J641" s="118"/>
      <c r="K641" s="120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 ht="13.5" customHeight="1">
      <c r="A642" s="118"/>
      <c r="B642" s="118"/>
      <c r="C642" s="118"/>
      <c r="D642" s="118"/>
      <c r="E642" s="118"/>
      <c r="F642" s="118"/>
      <c r="G642" s="118"/>
      <c r="H642" s="118"/>
      <c r="I642" s="119"/>
      <c r="J642" s="118"/>
      <c r="K642" s="120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 ht="13.5" customHeight="1">
      <c r="A643" s="118"/>
      <c r="B643" s="118"/>
      <c r="C643" s="118"/>
      <c r="D643" s="118"/>
      <c r="E643" s="118"/>
      <c r="F643" s="118"/>
      <c r="G643" s="118"/>
      <c r="H643" s="118"/>
      <c r="I643" s="119"/>
      <c r="J643" s="118"/>
      <c r="K643" s="120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 ht="13.5" customHeight="1">
      <c r="A644" s="118"/>
      <c r="B644" s="118"/>
      <c r="C644" s="118"/>
      <c r="D644" s="118"/>
      <c r="E644" s="118"/>
      <c r="F644" s="118"/>
      <c r="G644" s="118"/>
      <c r="H644" s="118"/>
      <c r="I644" s="119"/>
      <c r="J644" s="118"/>
      <c r="K644" s="120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 ht="13.5" customHeight="1">
      <c r="A645" s="118"/>
      <c r="B645" s="118"/>
      <c r="C645" s="118"/>
      <c r="D645" s="118"/>
      <c r="E645" s="118"/>
      <c r="F645" s="118"/>
      <c r="G645" s="118"/>
      <c r="H645" s="118"/>
      <c r="I645" s="119"/>
      <c r="J645" s="118"/>
      <c r="K645" s="120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 ht="13.5" customHeight="1">
      <c r="A646" s="118"/>
      <c r="B646" s="118"/>
      <c r="C646" s="118"/>
      <c r="D646" s="118"/>
      <c r="E646" s="118"/>
      <c r="F646" s="118"/>
      <c r="G646" s="118"/>
      <c r="H646" s="118"/>
      <c r="I646" s="119"/>
      <c r="J646" s="118"/>
      <c r="K646" s="120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 ht="13.5" customHeight="1">
      <c r="A647" s="118"/>
      <c r="B647" s="118"/>
      <c r="C647" s="118"/>
      <c r="D647" s="118"/>
      <c r="E647" s="118"/>
      <c r="F647" s="118"/>
      <c r="G647" s="118"/>
      <c r="H647" s="118"/>
      <c r="I647" s="119"/>
      <c r="J647" s="118"/>
      <c r="K647" s="120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 ht="13.5" customHeight="1">
      <c r="A648" s="118"/>
      <c r="B648" s="118"/>
      <c r="C648" s="118"/>
      <c r="D648" s="118"/>
      <c r="E648" s="118"/>
      <c r="F648" s="118"/>
      <c r="G648" s="118"/>
      <c r="H648" s="118"/>
      <c r="I648" s="119"/>
      <c r="J648" s="118"/>
      <c r="K648" s="120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 ht="13.5" customHeight="1">
      <c r="A649" s="118"/>
      <c r="B649" s="118"/>
      <c r="C649" s="118"/>
      <c r="D649" s="118"/>
      <c r="E649" s="118"/>
      <c r="F649" s="118"/>
      <c r="G649" s="118"/>
      <c r="H649" s="118"/>
      <c r="I649" s="119"/>
      <c r="J649" s="118"/>
      <c r="K649" s="120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 ht="13.5" customHeight="1">
      <c r="A650" s="118"/>
      <c r="B650" s="118"/>
      <c r="C650" s="118"/>
      <c r="D650" s="118"/>
      <c r="E650" s="118"/>
      <c r="F650" s="118"/>
      <c r="G650" s="118"/>
      <c r="H650" s="118"/>
      <c r="I650" s="119"/>
      <c r="J650" s="118"/>
      <c r="K650" s="120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 ht="13.5" customHeight="1">
      <c r="A651" s="118"/>
      <c r="B651" s="118"/>
      <c r="C651" s="118"/>
      <c r="D651" s="118"/>
      <c r="E651" s="118"/>
      <c r="F651" s="118"/>
      <c r="G651" s="118"/>
      <c r="H651" s="118"/>
      <c r="I651" s="119"/>
      <c r="J651" s="118"/>
      <c r="K651" s="120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 ht="13.5" customHeight="1">
      <c r="A652" s="118"/>
      <c r="B652" s="118"/>
      <c r="C652" s="118"/>
      <c r="D652" s="118"/>
      <c r="E652" s="118"/>
      <c r="F652" s="118"/>
      <c r="G652" s="118"/>
      <c r="H652" s="118"/>
      <c r="I652" s="119"/>
      <c r="J652" s="118"/>
      <c r="K652" s="120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 ht="13.5" customHeight="1">
      <c r="A653" s="118"/>
      <c r="B653" s="118"/>
      <c r="C653" s="118"/>
      <c r="D653" s="118"/>
      <c r="E653" s="118"/>
      <c r="F653" s="118"/>
      <c r="G653" s="118"/>
      <c r="H653" s="118"/>
      <c r="I653" s="119"/>
      <c r="J653" s="118"/>
      <c r="K653" s="120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 ht="13.5" customHeight="1">
      <c r="A654" s="118"/>
      <c r="B654" s="118"/>
      <c r="C654" s="118"/>
      <c r="D654" s="118"/>
      <c r="E654" s="118"/>
      <c r="F654" s="118"/>
      <c r="G654" s="118"/>
      <c r="H654" s="118"/>
      <c r="I654" s="119"/>
      <c r="J654" s="118"/>
      <c r="K654" s="120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 ht="13.5" customHeight="1">
      <c r="A655" s="118"/>
      <c r="B655" s="118"/>
      <c r="C655" s="118"/>
      <c r="D655" s="118"/>
      <c r="E655" s="118"/>
      <c r="F655" s="118"/>
      <c r="G655" s="118"/>
      <c r="H655" s="118"/>
      <c r="I655" s="119"/>
      <c r="J655" s="118"/>
      <c r="K655" s="120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 ht="13.5" customHeight="1">
      <c r="A656" s="118"/>
      <c r="B656" s="118"/>
      <c r="C656" s="118"/>
      <c r="D656" s="118"/>
      <c r="E656" s="118"/>
      <c r="F656" s="118"/>
      <c r="G656" s="118"/>
      <c r="H656" s="118"/>
      <c r="I656" s="119"/>
      <c r="J656" s="118"/>
      <c r="K656" s="120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 ht="13.5" customHeight="1">
      <c r="A657" s="118"/>
      <c r="B657" s="118"/>
      <c r="C657" s="118"/>
      <c r="D657" s="118"/>
      <c r="E657" s="118"/>
      <c r="F657" s="118"/>
      <c r="G657" s="118"/>
      <c r="H657" s="118"/>
      <c r="I657" s="119"/>
      <c r="J657" s="118"/>
      <c r="K657" s="120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 ht="13.5" customHeight="1">
      <c r="A658" s="118"/>
      <c r="B658" s="118"/>
      <c r="C658" s="118"/>
      <c r="D658" s="118"/>
      <c r="E658" s="118"/>
      <c r="F658" s="118"/>
      <c r="G658" s="118"/>
      <c r="H658" s="118"/>
      <c r="I658" s="119"/>
      <c r="J658" s="118"/>
      <c r="K658" s="120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 ht="13.5" customHeight="1">
      <c r="A659" s="118"/>
      <c r="B659" s="118"/>
      <c r="C659" s="118"/>
      <c r="D659" s="118"/>
      <c r="E659" s="118"/>
      <c r="F659" s="118"/>
      <c r="G659" s="118"/>
      <c r="H659" s="118"/>
      <c r="I659" s="119"/>
      <c r="J659" s="118"/>
      <c r="K659" s="120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 ht="13.5" customHeight="1">
      <c r="A660" s="118"/>
      <c r="B660" s="118"/>
      <c r="C660" s="118"/>
      <c r="D660" s="118"/>
      <c r="E660" s="118"/>
      <c r="F660" s="118"/>
      <c r="G660" s="118"/>
      <c r="H660" s="118"/>
      <c r="I660" s="119"/>
      <c r="J660" s="118"/>
      <c r="K660" s="120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 ht="13.5" customHeight="1">
      <c r="A661" s="118"/>
      <c r="B661" s="118"/>
      <c r="C661" s="118"/>
      <c r="D661" s="118"/>
      <c r="E661" s="118"/>
      <c r="F661" s="118"/>
      <c r="G661" s="118"/>
      <c r="H661" s="118"/>
      <c r="I661" s="119"/>
      <c r="J661" s="118"/>
      <c r="K661" s="120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 ht="13.5" customHeight="1">
      <c r="A662" s="118"/>
      <c r="B662" s="118"/>
      <c r="C662" s="118"/>
      <c r="D662" s="118"/>
      <c r="E662" s="118"/>
      <c r="F662" s="118"/>
      <c r="G662" s="118"/>
      <c r="H662" s="118"/>
      <c r="I662" s="119"/>
      <c r="J662" s="118"/>
      <c r="K662" s="120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 ht="13.5" customHeight="1">
      <c r="A663" s="118"/>
      <c r="B663" s="118"/>
      <c r="C663" s="118"/>
      <c r="D663" s="118"/>
      <c r="E663" s="118"/>
      <c r="F663" s="118"/>
      <c r="G663" s="118"/>
      <c r="H663" s="118"/>
      <c r="I663" s="119"/>
      <c r="J663" s="118"/>
      <c r="K663" s="120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 ht="13.5" customHeight="1">
      <c r="A664" s="118"/>
      <c r="B664" s="118"/>
      <c r="C664" s="118"/>
      <c r="D664" s="118"/>
      <c r="E664" s="118"/>
      <c r="F664" s="118"/>
      <c r="G664" s="118"/>
      <c r="H664" s="118"/>
      <c r="I664" s="119"/>
      <c r="J664" s="118"/>
      <c r="K664" s="120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 ht="13.5" customHeight="1">
      <c r="A665" s="118"/>
      <c r="B665" s="118"/>
      <c r="C665" s="118"/>
      <c r="D665" s="118"/>
      <c r="E665" s="118"/>
      <c r="F665" s="118"/>
      <c r="G665" s="118"/>
      <c r="H665" s="118"/>
      <c r="I665" s="119"/>
      <c r="J665" s="118"/>
      <c r="K665" s="120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 ht="13.5" customHeight="1">
      <c r="A666" s="118"/>
      <c r="B666" s="118"/>
      <c r="C666" s="118"/>
      <c r="D666" s="118"/>
      <c r="E666" s="118"/>
      <c r="F666" s="118"/>
      <c r="G666" s="118"/>
      <c r="H666" s="118"/>
      <c r="I666" s="119"/>
      <c r="J666" s="118"/>
      <c r="K666" s="120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 ht="13.5" customHeight="1">
      <c r="A667" s="118"/>
      <c r="B667" s="118"/>
      <c r="C667" s="118"/>
      <c r="D667" s="118"/>
      <c r="E667" s="118"/>
      <c r="F667" s="118"/>
      <c r="G667" s="118"/>
      <c r="H667" s="118"/>
      <c r="I667" s="119"/>
      <c r="J667" s="118"/>
      <c r="K667" s="120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 ht="13.5" customHeight="1">
      <c r="A668" s="118"/>
      <c r="B668" s="118"/>
      <c r="C668" s="118"/>
      <c r="D668" s="118"/>
      <c r="E668" s="118"/>
      <c r="F668" s="118"/>
      <c r="G668" s="118"/>
      <c r="H668" s="118"/>
      <c r="I668" s="119"/>
      <c r="J668" s="118"/>
      <c r="K668" s="120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 ht="13.5" customHeight="1">
      <c r="A669" s="118"/>
      <c r="B669" s="118"/>
      <c r="C669" s="118"/>
      <c r="D669" s="118"/>
      <c r="E669" s="118"/>
      <c r="F669" s="118"/>
      <c r="G669" s="118"/>
      <c r="H669" s="118"/>
      <c r="I669" s="119"/>
      <c r="J669" s="118"/>
      <c r="K669" s="120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 ht="13.5" customHeight="1">
      <c r="A670" s="118"/>
      <c r="B670" s="118"/>
      <c r="C670" s="118"/>
      <c r="D670" s="118"/>
      <c r="E670" s="118"/>
      <c r="F670" s="118"/>
      <c r="G670" s="118"/>
      <c r="H670" s="118"/>
      <c r="I670" s="119"/>
      <c r="J670" s="118"/>
      <c r="K670" s="120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 ht="13.5" customHeight="1">
      <c r="A671" s="118"/>
      <c r="B671" s="118"/>
      <c r="C671" s="118"/>
      <c r="D671" s="118"/>
      <c r="E671" s="118"/>
      <c r="F671" s="118"/>
      <c r="G671" s="118"/>
      <c r="H671" s="118"/>
      <c r="I671" s="119"/>
      <c r="J671" s="118"/>
      <c r="K671" s="120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 ht="13.5" customHeight="1">
      <c r="A672" s="118"/>
      <c r="B672" s="118"/>
      <c r="C672" s="118"/>
      <c r="D672" s="118"/>
      <c r="E672" s="118"/>
      <c r="F672" s="118"/>
      <c r="G672" s="118"/>
      <c r="H672" s="118"/>
      <c r="I672" s="119"/>
      <c r="J672" s="118"/>
      <c r="K672" s="120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 ht="13.5" customHeight="1">
      <c r="A673" s="118"/>
      <c r="B673" s="118"/>
      <c r="C673" s="118"/>
      <c r="D673" s="118"/>
      <c r="E673" s="118"/>
      <c r="F673" s="118"/>
      <c r="G673" s="118"/>
      <c r="H673" s="118"/>
      <c r="I673" s="119"/>
      <c r="J673" s="118"/>
      <c r="K673" s="120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 ht="13.5" customHeight="1">
      <c r="A674" s="118"/>
      <c r="B674" s="118"/>
      <c r="C674" s="118"/>
      <c r="D674" s="118"/>
      <c r="E674" s="118"/>
      <c r="F674" s="118"/>
      <c r="G674" s="118"/>
      <c r="H674" s="118"/>
      <c r="I674" s="119"/>
      <c r="J674" s="118"/>
      <c r="K674" s="120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 ht="13.5" customHeight="1">
      <c r="A675" s="118"/>
      <c r="B675" s="118"/>
      <c r="C675" s="118"/>
      <c r="D675" s="118"/>
      <c r="E675" s="118"/>
      <c r="F675" s="118"/>
      <c r="G675" s="118"/>
      <c r="H675" s="118"/>
      <c r="I675" s="119"/>
      <c r="J675" s="118"/>
      <c r="K675" s="120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 ht="13.5" customHeight="1">
      <c r="A676" s="118"/>
      <c r="B676" s="118"/>
      <c r="C676" s="118"/>
      <c r="D676" s="118"/>
      <c r="E676" s="118"/>
      <c r="F676" s="118"/>
      <c r="G676" s="118"/>
      <c r="H676" s="118"/>
      <c r="I676" s="119"/>
      <c r="J676" s="118"/>
      <c r="K676" s="120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 ht="13.5" customHeight="1">
      <c r="A677" s="118"/>
      <c r="B677" s="118"/>
      <c r="C677" s="118"/>
      <c r="D677" s="118"/>
      <c r="E677" s="118"/>
      <c r="F677" s="118"/>
      <c r="G677" s="118"/>
      <c r="H677" s="118"/>
      <c r="I677" s="119"/>
      <c r="J677" s="118"/>
      <c r="K677" s="120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 ht="13.5" customHeight="1">
      <c r="A678" s="118"/>
      <c r="B678" s="118"/>
      <c r="C678" s="118"/>
      <c r="D678" s="118"/>
      <c r="E678" s="118"/>
      <c r="F678" s="118"/>
      <c r="G678" s="118"/>
      <c r="H678" s="118"/>
      <c r="I678" s="119"/>
      <c r="J678" s="118"/>
      <c r="K678" s="120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 ht="13.5" customHeight="1">
      <c r="A679" s="118"/>
      <c r="B679" s="118"/>
      <c r="C679" s="118"/>
      <c r="D679" s="118"/>
      <c r="E679" s="118"/>
      <c r="F679" s="118"/>
      <c r="G679" s="118"/>
      <c r="H679" s="118"/>
      <c r="I679" s="119"/>
      <c r="J679" s="118"/>
      <c r="K679" s="120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 ht="13.5" customHeight="1">
      <c r="A680" s="118"/>
      <c r="B680" s="118"/>
      <c r="C680" s="118"/>
      <c r="D680" s="118"/>
      <c r="E680" s="118"/>
      <c r="F680" s="118"/>
      <c r="G680" s="118"/>
      <c r="H680" s="118"/>
      <c r="I680" s="119"/>
      <c r="J680" s="118"/>
      <c r="K680" s="120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 ht="13.5" customHeight="1">
      <c r="A681" s="118"/>
      <c r="B681" s="118"/>
      <c r="C681" s="118"/>
      <c r="D681" s="118"/>
      <c r="E681" s="118"/>
      <c r="F681" s="118"/>
      <c r="G681" s="118"/>
      <c r="H681" s="118"/>
      <c r="I681" s="119"/>
      <c r="J681" s="118"/>
      <c r="K681" s="120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 ht="13.5" customHeight="1">
      <c r="A682" s="118"/>
      <c r="B682" s="118"/>
      <c r="C682" s="118"/>
      <c r="D682" s="118"/>
      <c r="E682" s="118"/>
      <c r="F682" s="118"/>
      <c r="G682" s="118"/>
      <c r="H682" s="118"/>
      <c r="I682" s="119"/>
      <c r="J682" s="118"/>
      <c r="K682" s="120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 ht="13.5" customHeight="1">
      <c r="A683" s="118"/>
      <c r="B683" s="118"/>
      <c r="C683" s="118"/>
      <c r="D683" s="118"/>
      <c r="E683" s="118"/>
      <c r="F683" s="118"/>
      <c r="G683" s="118"/>
      <c r="H683" s="118"/>
      <c r="I683" s="119"/>
      <c r="J683" s="118"/>
      <c r="K683" s="120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 ht="13.5" customHeight="1">
      <c r="A684" s="118"/>
      <c r="B684" s="118"/>
      <c r="C684" s="118"/>
      <c r="D684" s="118"/>
      <c r="E684" s="118"/>
      <c r="F684" s="118"/>
      <c r="G684" s="118"/>
      <c r="H684" s="118"/>
      <c r="I684" s="119"/>
      <c r="J684" s="118"/>
      <c r="K684" s="120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 ht="13.5" customHeight="1">
      <c r="A685" s="118"/>
      <c r="B685" s="118"/>
      <c r="C685" s="118"/>
      <c r="D685" s="118"/>
      <c r="E685" s="118"/>
      <c r="F685" s="118"/>
      <c r="G685" s="118"/>
      <c r="H685" s="118"/>
      <c r="I685" s="119"/>
      <c r="J685" s="118"/>
      <c r="K685" s="120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 ht="13.5" customHeight="1">
      <c r="A686" s="118"/>
      <c r="B686" s="118"/>
      <c r="C686" s="118"/>
      <c r="D686" s="118"/>
      <c r="E686" s="118"/>
      <c r="F686" s="118"/>
      <c r="G686" s="118"/>
      <c r="H686" s="118"/>
      <c r="I686" s="119"/>
      <c r="J686" s="118"/>
      <c r="K686" s="120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 ht="13.5" customHeight="1">
      <c r="A687" s="118"/>
      <c r="B687" s="118"/>
      <c r="C687" s="118"/>
      <c r="D687" s="118"/>
      <c r="E687" s="118"/>
      <c r="F687" s="118"/>
      <c r="G687" s="118"/>
      <c r="H687" s="118"/>
      <c r="I687" s="119"/>
      <c r="J687" s="118"/>
      <c r="K687" s="120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 ht="13.5" customHeight="1">
      <c r="A688" s="118"/>
      <c r="B688" s="118"/>
      <c r="C688" s="118"/>
      <c r="D688" s="118"/>
      <c r="E688" s="118"/>
      <c r="F688" s="118"/>
      <c r="G688" s="118"/>
      <c r="H688" s="118"/>
      <c r="I688" s="119"/>
      <c r="J688" s="118"/>
      <c r="K688" s="120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 ht="13.5" customHeight="1">
      <c r="A689" s="118"/>
      <c r="B689" s="118"/>
      <c r="C689" s="118"/>
      <c r="D689" s="118"/>
      <c r="E689" s="118"/>
      <c r="F689" s="118"/>
      <c r="G689" s="118"/>
      <c r="H689" s="118"/>
      <c r="I689" s="119"/>
      <c r="J689" s="118"/>
      <c r="K689" s="120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 ht="13.5" customHeight="1">
      <c r="A690" s="118"/>
      <c r="B690" s="118"/>
      <c r="C690" s="118"/>
      <c r="D690" s="118"/>
      <c r="E690" s="118"/>
      <c r="F690" s="118"/>
      <c r="G690" s="118"/>
      <c r="H690" s="118"/>
      <c r="I690" s="119"/>
      <c r="J690" s="118"/>
      <c r="K690" s="120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 ht="13.5" customHeight="1">
      <c r="A691" s="118"/>
      <c r="B691" s="118"/>
      <c r="C691" s="118"/>
      <c r="D691" s="118"/>
      <c r="E691" s="118"/>
      <c r="F691" s="118"/>
      <c r="G691" s="118"/>
      <c r="H691" s="118"/>
      <c r="I691" s="119"/>
      <c r="J691" s="118"/>
      <c r="K691" s="120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 ht="13.5" customHeight="1">
      <c r="A692" s="118"/>
      <c r="B692" s="118"/>
      <c r="C692" s="118"/>
      <c r="D692" s="118"/>
      <c r="E692" s="118"/>
      <c r="F692" s="118"/>
      <c r="G692" s="118"/>
      <c r="H692" s="118"/>
      <c r="I692" s="119"/>
      <c r="J692" s="118"/>
      <c r="K692" s="120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 ht="13.5" customHeight="1">
      <c r="A693" s="118"/>
      <c r="B693" s="118"/>
      <c r="C693" s="118"/>
      <c r="D693" s="118"/>
      <c r="E693" s="118"/>
      <c r="F693" s="118"/>
      <c r="G693" s="118"/>
      <c r="H693" s="118"/>
      <c r="I693" s="119"/>
      <c r="J693" s="118"/>
      <c r="K693" s="120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 ht="13.5" customHeight="1">
      <c r="A694" s="118"/>
      <c r="B694" s="118"/>
      <c r="C694" s="118"/>
      <c r="D694" s="118"/>
      <c r="E694" s="118"/>
      <c r="F694" s="118"/>
      <c r="G694" s="118"/>
      <c r="H694" s="118"/>
      <c r="I694" s="119"/>
      <c r="J694" s="118"/>
      <c r="K694" s="120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 ht="13.5" customHeight="1">
      <c r="A695" s="118"/>
      <c r="B695" s="118"/>
      <c r="C695" s="118"/>
      <c r="D695" s="118"/>
      <c r="E695" s="118"/>
      <c r="F695" s="118"/>
      <c r="G695" s="118"/>
      <c r="H695" s="118"/>
      <c r="I695" s="119"/>
      <c r="J695" s="118"/>
      <c r="K695" s="120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 ht="13.5" customHeight="1">
      <c r="A696" s="118"/>
      <c r="B696" s="118"/>
      <c r="C696" s="118"/>
      <c r="D696" s="118"/>
      <c r="E696" s="118"/>
      <c r="F696" s="118"/>
      <c r="G696" s="118"/>
      <c r="H696" s="118"/>
      <c r="I696" s="119"/>
      <c r="J696" s="118"/>
      <c r="K696" s="120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 ht="13.5" customHeight="1">
      <c r="A697" s="118"/>
      <c r="B697" s="118"/>
      <c r="C697" s="118"/>
      <c r="D697" s="118"/>
      <c r="E697" s="118"/>
      <c r="F697" s="118"/>
      <c r="G697" s="118"/>
      <c r="H697" s="118"/>
      <c r="I697" s="119"/>
      <c r="J697" s="118"/>
      <c r="K697" s="120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 ht="13.5" customHeight="1">
      <c r="A698" s="118"/>
      <c r="B698" s="118"/>
      <c r="C698" s="118"/>
      <c r="D698" s="118"/>
      <c r="E698" s="118"/>
      <c r="F698" s="118"/>
      <c r="G698" s="118"/>
      <c r="H698" s="118"/>
      <c r="I698" s="119"/>
      <c r="J698" s="118"/>
      <c r="K698" s="120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 ht="13.5" customHeight="1">
      <c r="A699" s="118"/>
      <c r="B699" s="118"/>
      <c r="C699" s="118"/>
      <c r="D699" s="118"/>
      <c r="E699" s="118"/>
      <c r="F699" s="118"/>
      <c r="G699" s="118"/>
      <c r="H699" s="118"/>
      <c r="I699" s="119"/>
      <c r="J699" s="118"/>
      <c r="K699" s="120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 ht="13.5" customHeight="1">
      <c r="A700" s="118"/>
      <c r="B700" s="118"/>
      <c r="C700" s="118"/>
      <c r="D700" s="118"/>
      <c r="E700" s="118"/>
      <c r="F700" s="118"/>
      <c r="G700" s="118"/>
      <c r="H700" s="118"/>
      <c r="I700" s="119"/>
      <c r="J700" s="118"/>
      <c r="K700" s="120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 ht="13.5" customHeight="1">
      <c r="A701" s="118"/>
      <c r="B701" s="118"/>
      <c r="C701" s="118"/>
      <c r="D701" s="118"/>
      <c r="E701" s="118"/>
      <c r="F701" s="118"/>
      <c r="G701" s="118"/>
      <c r="H701" s="118"/>
      <c r="I701" s="119"/>
      <c r="J701" s="118"/>
      <c r="K701" s="120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 ht="13.5" customHeight="1">
      <c r="A702" s="118"/>
      <c r="B702" s="118"/>
      <c r="C702" s="118"/>
      <c r="D702" s="118"/>
      <c r="E702" s="118"/>
      <c r="F702" s="118"/>
      <c r="G702" s="118"/>
      <c r="H702" s="118"/>
      <c r="I702" s="119"/>
      <c r="J702" s="118"/>
      <c r="K702" s="120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 ht="13.5" customHeight="1">
      <c r="A703" s="118"/>
      <c r="B703" s="118"/>
      <c r="C703" s="118"/>
      <c r="D703" s="118"/>
      <c r="E703" s="118"/>
      <c r="F703" s="118"/>
      <c r="G703" s="118"/>
      <c r="H703" s="118"/>
      <c r="I703" s="119"/>
      <c r="J703" s="118"/>
      <c r="K703" s="120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 ht="13.5" customHeight="1">
      <c r="A704" s="118"/>
      <c r="B704" s="118"/>
      <c r="C704" s="118"/>
      <c r="D704" s="118"/>
      <c r="E704" s="118"/>
      <c r="F704" s="118"/>
      <c r="G704" s="118"/>
      <c r="H704" s="118"/>
      <c r="I704" s="119"/>
      <c r="J704" s="118"/>
      <c r="K704" s="120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 ht="13.5" customHeight="1">
      <c r="A705" s="118"/>
      <c r="B705" s="118"/>
      <c r="C705" s="118"/>
      <c r="D705" s="118"/>
      <c r="E705" s="118"/>
      <c r="F705" s="118"/>
      <c r="G705" s="118"/>
      <c r="H705" s="118"/>
      <c r="I705" s="119"/>
      <c r="J705" s="118"/>
      <c r="K705" s="120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 ht="13.5" customHeight="1">
      <c r="A706" s="118"/>
      <c r="B706" s="118"/>
      <c r="C706" s="118"/>
      <c r="D706" s="118"/>
      <c r="E706" s="118"/>
      <c r="F706" s="118"/>
      <c r="G706" s="118"/>
      <c r="H706" s="118"/>
      <c r="I706" s="119"/>
      <c r="J706" s="118"/>
      <c r="K706" s="120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 ht="13.5" customHeight="1">
      <c r="A707" s="118"/>
      <c r="B707" s="118"/>
      <c r="C707" s="118"/>
      <c r="D707" s="118"/>
      <c r="E707" s="118"/>
      <c r="F707" s="118"/>
      <c r="G707" s="118"/>
      <c r="H707" s="118"/>
      <c r="I707" s="119"/>
      <c r="J707" s="118"/>
      <c r="K707" s="120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 ht="13.5" customHeight="1">
      <c r="A708" s="118"/>
      <c r="B708" s="118"/>
      <c r="C708" s="118"/>
      <c r="D708" s="118"/>
      <c r="E708" s="118"/>
      <c r="F708" s="118"/>
      <c r="G708" s="118"/>
      <c r="H708" s="118"/>
      <c r="I708" s="119"/>
      <c r="J708" s="118"/>
      <c r="K708" s="120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 ht="13.5" customHeight="1">
      <c r="A709" s="118"/>
      <c r="B709" s="118"/>
      <c r="C709" s="118"/>
      <c r="D709" s="118"/>
      <c r="E709" s="118"/>
      <c r="F709" s="118"/>
      <c r="G709" s="118"/>
      <c r="H709" s="118"/>
      <c r="I709" s="119"/>
      <c r="J709" s="118"/>
      <c r="K709" s="120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 ht="13.5" customHeight="1">
      <c r="A710" s="118"/>
      <c r="B710" s="118"/>
      <c r="C710" s="118"/>
      <c r="D710" s="118"/>
      <c r="E710" s="118"/>
      <c r="F710" s="118"/>
      <c r="G710" s="118"/>
      <c r="H710" s="118"/>
      <c r="I710" s="119"/>
      <c r="J710" s="118"/>
      <c r="K710" s="120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 ht="13.5" customHeight="1">
      <c r="A711" s="118"/>
      <c r="B711" s="118"/>
      <c r="C711" s="118"/>
      <c r="D711" s="118"/>
      <c r="E711" s="118"/>
      <c r="F711" s="118"/>
      <c r="G711" s="118"/>
      <c r="H711" s="118"/>
      <c r="I711" s="119"/>
      <c r="J711" s="118"/>
      <c r="K711" s="120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 ht="13.5" customHeight="1">
      <c r="A712" s="118"/>
      <c r="B712" s="118"/>
      <c r="C712" s="118"/>
      <c r="D712" s="118"/>
      <c r="E712" s="118"/>
      <c r="F712" s="118"/>
      <c r="G712" s="118"/>
      <c r="H712" s="118"/>
      <c r="I712" s="119"/>
      <c r="J712" s="118"/>
      <c r="K712" s="120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 ht="13.5" customHeight="1">
      <c r="A713" s="118"/>
      <c r="B713" s="118"/>
      <c r="C713" s="118"/>
      <c r="D713" s="118"/>
      <c r="E713" s="118"/>
      <c r="F713" s="118"/>
      <c r="G713" s="118"/>
      <c r="H713" s="118"/>
      <c r="I713" s="119"/>
      <c r="J713" s="118"/>
      <c r="K713" s="120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 ht="13.5" customHeight="1">
      <c r="A714" s="118"/>
      <c r="B714" s="118"/>
      <c r="C714" s="118"/>
      <c r="D714" s="118"/>
      <c r="E714" s="118"/>
      <c r="F714" s="118"/>
      <c r="G714" s="118"/>
      <c r="H714" s="118"/>
      <c r="I714" s="119"/>
      <c r="J714" s="118"/>
      <c r="K714" s="120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 ht="13.5" customHeight="1">
      <c r="A715" s="118"/>
      <c r="B715" s="118"/>
      <c r="C715" s="118"/>
      <c r="D715" s="118"/>
      <c r="E715" s="118"/>
      <c r="F715" s="118"/>
      <c r="G715" s="118"/>
      <c r="H715" s="118"/>
      <c r="I715" s="119"/>
      <c r="J715" s="118"/>
      <c r="K715" s="120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 ht="13.5" customHeight="1">
      <c r="A716" s="118"/>
      <c r="B716" s="118"/>
      <c r="C716" s="118"/>
      <c r="D716" s="118"/>
      <c r="E716" s="118"/>
      <c r="F716" s="118"/>
      <c r="G716" s="118"/>
      <c r="H716" s="118"/>
      <c r="I716" s="119"/>
      <c r="J716" s="118"/>
      <c r="K716" s="120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 ht="13.5" customHeight="1">
      <c r="A717" s="118"/>
      <c r="B717" s="118"/>
      <c r="C717" s="118"/>
      <c r="D717" s="118"/>
      <c r="E717" s="118"/>
      <c r="F717" s="118"/>
      <c r="G717" s="118"/>
      <c r="H717" s="118"/>
      <c r="I717" s="119"/>
      <c r="J717" s="118"/>
      <c r="K717" s="120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 ht="13.5" customHeight="1">
      <c r="A718" s="118"/>
      <c r="B718" s="118"/>
      <c r="C718" s="118"/>
      <c r="D718" s="118"/>
      <c r="E718" s="118"/>
      <c r="F718" s="118"/>
      <c r="G718" s="118"/>
      <c r="H718" s="118"/>
      <c r="I718" s="119"/>
      <c r="J718" s="118"/>
      <c r="K718" s="120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 ht="13.5" customHeight="1">
      <c r="A719" s="118"/>
      <c r="B719" s="118"/>
      <c r="C719" s="118"/>
      <c r="D719" s="118"/>
      <c r="E719" s="118"/>
      <c r="F719" s="118"/>
      <c r="G719" s="118"/>
      <c r="H719" s="118"/>
      <c r="I719" s="119"/>
      <c r="J719" s="118"/>
      <c r="K719" s="120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 ht="13.5" customHeight="1">
      <c r="A720" s="118"/>
      <c r="B720" s="118"/>
      <c r="C720" s="118"/>
      <c r="D720" s="118"/>
      <c r="E720" s="118"/>
      <c r="F720" s="118"/>
      <c r="G720" s="118"/>
      <c r="H720" s="118"/>
      <c r="I720" s="119"/>
      <c r="J720" s="118"/>
      <c r="K720" s="120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 ht="13.5" customHeight="1">
      <c r="A721" s="118"/>
      <c r="B721" s="118"/>
      <c r="C721" s="118"/>
      <c r="D721" s="118"/>
      <c r="E721" s="118"/>
      <c r="F721" s="118"/>
      <c r="G721" s="118"/>
      <c r="H721" s="118"/>
      <c r="I721" s="119"/>
      <c r="J721" s="118"/>
      <c r="K721" s="120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 ht="13.5" customHeight="1">
      <c r="A722" s="118"/>
      <c r="B722" s="118"/>
      <c r="C722" s="118"/>
      <c r="D722" s="118"/>
      <c r="E722" s="118"/>
      <c r="F722" s="118"/>
      <c r="G722" s="118"/>
      <c r="H722" s="118"/>
      <c r="I722" s="119"/>
      <c r="J722" s="118"/>
      <c r="K722" s="120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 ht="13.5" customHeight="1">
      <c r="A723" s="118"/>
      <c r="B723" s="118"/>
      <c r="C723" s="118"/>
      <c r="D723" s="118"/>
      <c r="E723" s="118"/>
      <c r="F723" s="118"/>
      <c r="G723" s="118"/>
      <c r="H723" s="118"/>
      <c r="I723" s="119"/>
      <c r="J723" s="118"/>
      <c r="K723" s="120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 ht="13.5" customHeight="1">
      <c r="A724" s="118"/>
      <c r="B724" s="118"/>
      <c r="C724" s="118"/>
      <c r="D724" s="118"/>
      <c r="E724" s="118"/>
      <c r="F724" s="118"/>
      <c r="G724" s="118"/>
      <c r="H724" s="118"/>
      <c r="I724" s="119"/>
      <c r="J724" s="118"/>
      <c r="K724" s="120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 ht="13.5" customHeight="1">
      <c r="A725" s="118"/>
      <c r="B725" s="118"/>
      <c r="C725" s="118"/>
      <c r="D725" s="118"/>
      <c r="E725" s="118"/>
      <c r="F725" s="118"/>
      <c r="G725" s="118"/>
      <c r="H725" s="118"/>
      <c r="I725" s="119"/>
      <c r="J725" s="118"/>
      <c r="K725" s="120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 ht="13.5" customHeight="1">
      <c r="A726" s="118"/>
      <c r="B726" s="118"/>
      <c r="C726" s="118"/>
      <c r="D726" s="118"/>
      <c r="E726" s="118"/>
      <c r="F726" s="118"/>
      <c r="G726" s="118"/>
      <c r="H726" s="118"/>
      <c r="I726" s="119"/>
      <c r="J726" s="118"/>
      <c r="K726" s="120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 ht="13.5" customHeight="1">
      <c r="A727" s="118"/>
      <c r="B727" s="118"/>
      <c r="C727" s="118"/>
      <c r="D727" s="118"/>
      <c r="E727" s="118"/>
      <c r="F727" s="118"/>
      <c r="G727" s="118"/>
      <c r="H727" s="118"/>
      <c r="I727" s="119"/>
      <c r="J727" s="118"/>
      <c r="K727" s="120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 ht="13.5" customHeight="1">
      <c r="A728" s="118"/>
      <c r="B728" s="118"/>
      <c r="C728" s="118"/>
      <c r="D728" s="118"/>
      <c r="E728" s="118"/>
      <c r="F728" s="118"/>
      <c r="G728" s="118"/>
      <c r="H728" s="118"/>
      <c r="I728" s="119"/>
      <c r="J728" s="118"/>
      <c r="K728" s="120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 ht="13.5" customHeight="1">
      <c r="A729" s="118"/>
      <c r="B729" s="118"/>
      <c r="C729" s="118"/>
      <c r="D729" s="118"/>
      <c r="E729" s="118"/>
      <c r="F729" s="118"/>
      <c r="G729" s="118"/>
      <c r="H729" s="118"/>
      <c r="I729" s="119"/>
      <c r="J729" s="118"/>
      <c r="K729" s="120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 ht="13.5" customHeight="1">
      <c r="A730" s="118"/>
      <c r="B730" s="118"/>
      <c r="C730" s="118"/>
      <c r="D730" s="118"/>
      <c r="E730" s="118"/>
      <c r="F730" s="118"/>
      <c r="G730" s="118"/>
      <c r="H730" s="118"/>
      <c r="I730" s="119"/>
      <c r="J730" s="118"/>
      <c r="K730" s="120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 ht="13.5" customHeight="1">
      <c r="A731" s="118"/>
      <c r="B731" s="118"/>
      <c r="C731" s="118"/>
      <c r="D731" s="118"/>
      <c r="E731" s="118"/>
      <c r="F731" s="118"/>
      <c r="G731" s="118"/>
      <c r="H731" s="118"/>
      <c r="I731" s="119"/>
      <c r="J731" s="118"/>
      <c r="K731" s="120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 ht="13.5" customHeight="1">
      <c r="A732" s="118"/>
      <c r="B732" s="118"/>
      <c r="C732" s="118"/>
      <c r="D732" s="118"/>
      <c r="E732" s="118"/>
      <c r="F732" s="118"/>
      <c r="G732" s="118"/>
      <c r="H732" s="118"/>
      <c r="I732" s="119"/>
      <c r="J732" s="118"/>
      <c r="K732" s="120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 ht="13.5" customHeight="1">
      <c r="A733" s="118"/>
      <c r="B733" s="118"/>
      <c r="C733" s="118"/>
      <c r="D733" s="118"/>
      <c r="E733" s="118"/>
      <c r="F733" s="118"/>
      <c r="G733" s="118"/>
      <c r="H733" s="118"/>
      <c r="I733" s="119"/>
      <c r="J733" s="118"/>
      <c r="K733" s="120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 ht="13.5" customHeight="1">
      <c r="A734" s="118"/>
      <c r="B734" s="118"/>
      <c r="C734" s="118"/>
      <c r="D734" s="118"/>
      <c r="E734" s="118"/>
      <c r="F734" s="118"/>
      <c r="G734" s="118"/>
      <c r="H734" s="118"/>
      <c r="I734" s="119"/>
      <c r="J734" s="118"/>
      <c r="K734" s="120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 ht="13.5" customHeight="1">
      <c r="A735" s="118"/>
      <c r="B735" s="118"/>
      <c r="C735" s="118"/>
      <c r="D735" s="118"/>
      <c r="E735" s="118"/>
      <c r="F735" s="118"/>
      <c r="G735" s="118"/>
      <c r="H735" s="118"/>
      <c r="I735" s="119"/>
      <c r="J735" s="118"/>
      <c r="K735" s="120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 ht="13.5" customHeight="1">
      <c r="A736" s="118"/>
      <c r="B736" s="118"/>
      <c r="C736" s="118"/>
      <c r="D736" s="118"/>
      <c r="E736" s="118"/>
      <c r="F736" s="118"/>
      <c r="G736" s="118"/>
      <c r="H736" s="118"/>
      <c r="I736" s="119"/>
      <c r="J736" s="118"/>
      <c r="K736" s="120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 ht="13.5" customHeight="1">
      <c r="A737" s="118"/>
      <c r="B737" s="118"/>
      <c r="C737" s="118"/>
      <c r="D737" s="118"/>
      <c r="E737" s="118"/>
      <c r="F737" s="118"/>
      <c r="G737" s="118"/>
      <c r="H737" s="118"/>
      <c r="I737" s="119"/>
      <c r="J737" s="118"/>
      <c r="K737" s="120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 ht="13.5" customHeight="1">
      <c r="A738" s="118"/>
      <c r="B738" s="118"/>
      <c r="C738" s="118"/>
      <c r="D738" s="118"/>
      <c r="E738" s="118"/>
      <c r="F738" s="118"/>
      <c r="G738" s="118"/>
      <c r="H738" s="118"/>
      <c r="I738" s="119"/>
      <c r="J738" s="118"/>
      <c r="K738" s="120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 ht="13.5" customHeight="1">
      <c r="A739" s="118"/>
      <c r="B739" s="118"/>
      <c r="C739" s="118"/>
      <c r="D739" s="118"/>
      <c r="E739" s="118"/>
      <c r="F739" s="118"/>
      <c r="G739" s="118"/>
      <c r="H739" s="118"/>
      <c r="I739" s="119"/>
      <c r="J739" s="118"/>
      <c r="K739" s="120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 ht="13.5" customHeight="1">
      <c r="A740" s="118"/>
      <c r="B740" s="118"/>
      <c r="C740" s="118"/>
      <c r="D740" s="118"/>
      <c r="E740" s="118"/>
      <c r="F740" s="118"/>
      <c r="G740" s="118"/>
      <c r="H740" s="118"/>
      <c r="I740" s="119"/>
      <c r="J740" s="118"/>
      <c r="K740" s="120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 ht="13.5" customHeight="1">
      <c r="A741" s="118"/>
      <c r="B741" s="118"/>
      <c r="C741" s="118"/>
      <c r="D741" s="118"/>
      <c r="E741" s="118"/>
      <c r="F741" s="118"/>
      <c r="G741" s="118"/>
      <c r="H741" s="118"/>
      <c r="I741" s="119"/>
      <c r="J741" s="118"/>
      <c r="K741" s="120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 ht="13.5" customHeight="1">
      <c r="A742" s="118"/>
      <c r="B742" s="118"/>
      <c r="C742" s="118"/>
      <c r="D742" s="118"/>
      <c r="E742" s="118"/>
      <c r="F742" s="118"/>
      <c r="G742" s="118"/>
      <c r="H742" s="118"/>
      <c r="I742" s="119"/>
      <c r="J742" s="118"/>
      <c r="K742" s="120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 ht="13.5" customHeight="1">
      <c r="A743" s="118"/>
      <c r="B743" s="118"/>
      <c r="C743" s="118"/>
      <c r="D743" s="118"/>
      <c r="E743" s="118"/>
      <c r="F743" s="118"/>
      <c r="G743" s="118"/>
      <c r="H743" s="118"/>
      <c r="I743" s="119"/>
      <c r="J743" s="118"/>
      <c r="K743" s="120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 ht="13.5" customHeight="1">
      <c r="A744" s="118"/>
      <c r="B744" s="118"/>
      <c r="C744" s="118"/>
      <c r="D744" s="118"/>
      <c r="E744" s="118"/>
      <c r="F744" s="118"/>
      <c r="G744" s="118"/>
      <c r="H744" s="118"/>
      <c r="I744" s="119"/>
      <c r="J744" s="118"/>
      <c r="K744" s="120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 ht="13.5" customHeight="1">
      <c r="A745" s="118"/>
      <c r="B745" s="118"/>
      <c r="C745" s="118"/>
      <c r="D745" s="118"/>
      <c r="E745" s="118"/>
      <c r="F745" s="118"/>
      <c r="G745" s="118"/>
      <c r="H745" s="118"/>
      <c r="I745" s="119"/>
      <c r="J745" s="118"/>
      <c r="K745" s="120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 ht="13.5" customHeight="1">
      <c r="A746" s="118"/>
      <c r="B746" s="118"/>
      <c r="C746" s="118"/>
      <c r="D746" s="118"/>
      <c r="E746" s="118"/>
      <c r="F746" s="118"/>
      <c r="G746" s="118"/>
      <c r="H746" s="118"/>
      <c r="I746" s="119"/>
      <c r="J746" s="118"/>
      <c r="K746" s="120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 ht="13.5" customHeight="1">
      <c r="A747" s="118"/>
      <c r="B747" s="118"/>
      <c r="C747" s="118"/>
      <c r="D747" s="118"/>
      <c r="E747" s="118"/>
      <c r="F747" s="118"/>
      <c r="G747" s="118"/>
      <c r="H747" s="118"/>
      <c r="I747" s="119"/>
      <c r="J747" s="118"/>
      <c r="K747" s="120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 ht="13.5" customHeight="1">
      <c r="A748" s="118"/>
      <c r="B748" s="118"/>
      <c r="C748" s="118"/>
      <c r="D748" s="118"/>
      <c r="E748" s="118"/>
      <c r="F748" s="118"/>
      <c r="G748" s="118"/>
      <c r="H748" s="118"/>
      <c r="I748" s="119"/>
      <c r="J748" s="118"/>
      <c r="K748" s="120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 ht="13.5" customHeight="1">
      <c r="A749" s="118"/>
      <c r="B749" s="118"/>
      <c r="C749" s="118"/>
      <c r="D749" s="118"/>
      <c r="E749" s="118"/>
      <c r="F749" s="118"/>
      <c r="G749" s="118"/>
      <c r="H749" s="118"/>
      <c r="I749" s="119"/>
      <c r="J749" s="118"/>
      <c r="K749" s="120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 ht="13.5" customHeight="1">
      <c r="A750" s="118"/>
      <c r="B750" s="118"/>
      <c r="C750" s="118"/>
      <c r="D750" s="118"/>
      <c r="E750" s="118"/>
      <c r="F750" s="118"/>
      <c r="G750" s="118"/>
      <c r="H750" s="118"/>
      <c r="I750" s="119"/>
      <c r="J750" s="118"/>
      <c r="K750" s="120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 ht="13.5" customHeight="1">
      <c r="A751" s="118"/>
      <c r="B751" s="118"/>
      <c r="C751" s="118"/>
      <c r="D751" s="118"/>
      <c r="E751" s="118"/>
      <c r="F751" s="118"/>
      <c r="G751" s="118"/>
      <c r="H751" s="118"/>
      <c r="I751" s="119"/>
      <c r="J751" s="118"/>
      <c r="K751" s="120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 ht="13.5" customHeight="1">
      <c r="A752" s="118"/>
      <c r="B752" s="118"/>
      <c r="C752" s="118"/>
      <c r="D752" s="118"/>
      <c r="E752" s="118"/>
      <c r="F752" s="118"/>
      <c r="G752" s="118"/>
      <c r="H752" s="118"/>
      <c r="I752" s="119"/>
      <c r="J752" s="118"/>
      <c r="K752" s="120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 ht="13.5" customHeight="1">
      <c r="A753" s="118"/>
      <c r="B753" s="118"/>
      <c r="C753" s="118"/>
      <c r="D753" s="118"/>
      <c r="E753" s="118"/>
      <c r="F753" s="118"/>
      <c r="G753" s="118"/>
      <c r="H753" s="118"/>
      <c r="I753" s="119"/>
      <c r="J753" s="118"/>
      <c r="K753" s="120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 ht="13.5" customHeight="1">
      <c r="A754" s="118"/>
      <c r="B754" s="118"/>
      <c r="C754" s="118"/>
      <c r="D754" s="118"/>
      <c r="E754" s="118"/>
      <c r="F754" s="118"/>
      <c r="G754" s="118"/>
      <c r="H754" s="118"/>
      <c r="I754" s="119"/>
      <c r="J754" s="118"/>
      <c r="K754" s="120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 ht="13.5" customHeight="1">
      <c r="A755" s="118"/>
      <c r="B755" s="118"/>
      <c r="C755" s="118"/>
      <c r="D755" s="118"/>
      <c r="E755" s="118"/>
      <c r="F755" s="118"/>
      <c r="G755" s="118"/>
      <c r="H755" s="118"/>
      <c r="I755" s="119"/>
      <c r="J755" s="118"/>
      <c r="K755" s="120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 ht="13.5" customHeight="1">
      <c r="A756" s="118"/>
      <c r="B756" s="118"/>
      <c r="C756" s="118"/>
      <c r="D756" s="118"/>
      <c r="E756" s="118"/>
      <c r="F756" s="118"/>
      <c r="G756" s="118"/>
      <c r="H756" s="118"/>
      <c r="I756" s="119"/>
      <c r="J756" s="118"/>
      <c r="K756" s="120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 ht="13.5" customHeight="1">
      <c r="A757" s="118"/>
      <c r="B757" s="118"/>
      <c r="C757" s="118"/>
      <c r="D757" s="118"/>
      <c r="E757" s="118"/>
      <c r="F757" s="118"/>
      <c r="G757" s="118"/>
      <c r="H757" s="118"/>
      <c r="I757" s="119"/>
      <c r="J757" s="118"/>
      <c r="K757" s="120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 ht="13.5" customHeight="1">
      <c r="A758" s="118"/>
      <c r="B758" s="118"/>
      <c r="C758" s="118"/>
      <c r="D758" s="118"/>
      <c r="E758" s="118"/>
      <c r="F758" s="118"/>
      <c r="G758" s="118"/>
      <c r="H758" s="118"/>
      <c r="I758" s="119"/>
      <c r="J758" s="118"/>
      <c r="K758" s="120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 ht="13.5" customHeight="1">
      <c r="A759" s="118"/>
      <c r="B759" s="118"/>
      <c r="C759" s="118"/>
      <c r="D759" s="118"/>
      <c r="E759" s="118"/>
      <c r="F759" s="118"/>
      <c r="G759" s="118"/>
      <c r="H759" s="118"/>
      <c r="I759" s="119"/>
      <c r="J759" s="118"/>
      <c r="K759" s="120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 ht="13.5" customHeight="1">
      <c r="A760" s="118"/>
      <c r="B760" s="118"/>
      <c r="C760" s="118"/>
      <c r="D760" s="118"/>
      <c r="E760" s="118"/>
      <c r="F760" s="118"/>
      <c r="G760" s="118"/>
      <c r="H760" s="118"/>
      <c r="I760" s="119"/>
      <c r="J760" s="118"/>
      <c r="K760" s="120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 ht="13.5" customHeight="1">
      <c r="A761" s="118"/>
      <c r="B761" s="118"/>
      <c r="C761" s="118"/>
      <c r="D761" s="118"/>
      <c r="E761" s="118"/>
      <c r="F761" s="118"/>
      <c r="G761" s="118"/>
      <c r="H761" s="118"/>
      <c r="I761" s="119"/>
      <c r="J761" s="118"/>
      <c r="K761" s="120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 ht="13.5" customHeight="1">
      <c r="A762" s="118"/>
      <c r="B762" s="118"/>
      <c r="C762" s="118"/>
      <c r="D762" s="118"/>
      <c r="E762" s="118"/>
      <c r="F762" s="118"/>
      <c r="G762" s="118"/>
      <c r="H762" s="118"/>
      <c r="I762" s="119"/>
      <c r="J762" s="118"/>
      <c r="K762" s="120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 ht="13.5" customHeight="1">
      <c r="A763" s="118"/>
      <c r="B763" s="118"/>
      <c r="C763" s="118"/>
      <c r="D763" s="118"/>
      <c r="E763" s="118"/>
      <c r="F763" s="118"/>
      <c r="G763" s="118"/>
      <c r="H763" s="118"/>
      <c r="I763" s="119"/>
      <c r="J763" s="118"/>
      <c r="K763" s="120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 ht="13.5" customHeight="1">
      <c r="A764" s="118"/>
      <c r="B764" s="118"/>
      <c r="C764" s="118"/>
      <c r="D764" s="118"/>
      <c r="E764" s="118"/>
      <c r="F764" s="118"/>
      <c r="G764" s="118"/>
      <c r="H764" s="118"/>
      <c r="I764" s="119"/>
      <c r="J764" s="118"/>
      <c r="K764" s="120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 ht="13.5" customHeight="1">
      <c r="A765" s="118"/>
      <c r="B765" s="118"/>
      <c r="C765" s="118"/>
      <c r="D765" s="118"/>
      <c r="E765" s="118"/>
      <c r="F765" s="118"/>
      <c r="G765" s="118"/>
      <c r="H765" s="118"/>
      <c r="I765" s="119"/>
      <c r="J765" s="118"/>
      <c r="K765" s="120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 ht="13.5" customHeight="1">
      <c r="A766" s="118"/>
      <c r="B766" s="118"/>
      <c r="C766" s="118"/>
      <c r="D766" s="118"/>
      <c r="E766" s="118"/>
      <c r="F766" s="118"/>
      <c r="G766" s="118"/>
      <c r="H766" s="118"/>
      <c r="I766" s="119"/>
      <c r="J766" s="118"/>
      <c r="K766" s="120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 ht="13.5" customHeight="1">
      <c r="A767" s="118"/>
      <c r="B767" s="118"/>
      <c r="C767" s="118"/>
      <c r="D767" s="118"/>
      <c r="E767" s="118"/>
      <c r="F767" s="118"/>
      <c r="G767" s="118"/>
      <c r="H767" s="118"/>
      <c r="I767" s="119"/>
      <c r="J767" s="118"/>
      <c r="K767" s="120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 ht="13.5" customHeight="1">
      <c r="A768" s="118"/>
      <c r="B768" s="118"/>
      <c r="C768" s="118"/>
      <c r="D768" s="118"/>
      <c r="E768" s="118"/>
      <c r="F768" s="118"/>
      <c r="G768" s="118"/>
      <c r="H768" s="118"/>
      <c r="I768" s="119"/>
      <c r="J768" s="118"/>
      <c r="K768" s="120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 ht="13.5" customHeight="1">
      <c r="A769" s="118"/>
      <c r="B769" s="118"/>
      <c r="C769" s="118"/>
      <c r="D769" s="118"/>
      <c r="E769" s="118"/>
      <c r="F769" s="118"/>
      <c r="G769" s="118"/>
      <c r="H769" s="118"/>
      <c r="I769" s="119"/>
      <c r="J769" s="118"/>
      <c r="K769" s="120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 ht="13.5" customHeight="1">
      <c r="A770" s="118"/>
      <c r="B770" s="118"/>
      <c r="C770" s="118"/>
      <c r="D770" s="118"/>
      <c r="E770" s="118"/>
      <c r="F770" s="118"/>
      <c r="G770" s="118"/>
      <c r="H770" s="118"/>
      <c r="I770" s="119"/>
      <c r="J770" s="118"/>
      <c r="K770" s="120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 ht="13.5" customHeight="1">
      <c r="A771" s="118"/>
      <c r="B771" s="118"/>
      <c r="C771" s="118"/>
      <c r="D771" s="118"/>
      <c r="E771" s="118"/>
      <c r="F771" s="118"/>
      <c r="G771" s="118"/>
      <c r="H771" s="118"/>
      <c r="I771" s="119"/>
      <c r="J771" s="118"/>
      <c r="K771" s="120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 ht="13.5" customHeight="1">
      <c r="A772" s="118"/>
      <c r="B772" s="118"/>
      <c r="C772" s="118"/>
      <c r="D772" s="118"/>
      <c r="E772" s="118"/>
      <c r="F772" s="118"/>
      <c r="G772" s="118"/>
      <c r="H772" s="118"/>
      <c r="I772" s="119"/>
      <c r="J772" s="118"/>
      <c r="K772" s="120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 ht="13.5" customHeight="1">
      <c r="A773" s="118"/>
      <c r="B773" s="118"/>
      <c r="C773" s="118"/>
      <c r="D773" s="118"/>
      <c r="E773" s="118"/>
      <c r="F773" s="118"/>
      <c r="G773" s="118"/>
      <c r="H773" s="118"/>
      <c r="I773" s="119"/>
      <c r="J773" s="118"/>
      <c r="K773" s="120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 ht="13.5" customHeight="1">
      <c r="A774" s="118"/>
      <c r="B774" s="118"/>
      <c r="C774" s="118"/>
      <c r="D774" s="118"/>
      <c r="E774" s="118"/>
      <c r="F774" s="118"/>
      <c r="G774" s="118"/>
      <c r="H774" s="118"/>
      <c r="I774" s="119"/>
      <c r="J774" s="118"/>
      <c r="K774" s="120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 ht="13.5" customHeight="1">
      <c r="A775" s="118"/>
      <c r="B775" s="118"/>
      <c r="C775" s="118"/>
      <c r="D775" s="118"/>
      <c r="E775" s="118"/>
      <c r="F775" s="118"/>
      <c r="G775" s="118"/>
      <c r="H775" s="118"/>
      <c r="I775" s="119"/>
      <c r="J775" s="118"/>
      <c r="K775" s="120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 ht="13.5" customHeight="1">
      <c r="A776" s="118"/>
      <c r="B776" s="118"/>
      <c r="C776" s="118"/>
      <c r="D776" s="118"/>
      <c r="E776" s="118"/>
      <c r="F776" s="118"/>
      <c r="G776" s="118"/>
      <c r="H776" s="118"/>
      <c r="I776" s="119"/>
      <c r="J776" s="118"/>
      <c r="K776" s="120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 ht="13.5" customHeight="1">
      <c r="A777" s="118"/>
      <c r="B777" s="118"/>
      <c r="C777" s="118"/>
      <c r="D777" s="118"/>
      <c r="E777" s="118"/>
      <c r="F777" s="118"/>
      <c r="G777" s="118"/>
      <c r="H777" s="118"/>
      <c r="I777" s="119"/>
      <c r="J777" s="118"/>
      <c r="K777" s="120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 ht="13.5" customHeight="1">
      <c r="A778" s="118"/>
      <c r="B778" s="118"/>
      <c r="C778" s="118"/>
      <c r="D778" s="118"/>
      <c r="E778" s="118"/>
      <c r="F778" s="118"/>
      <c r="G778" s="118"/>
      <c r="H778" s="118"/>
      <c r="I778" s="119"/>
      <c r="J778" s="118"/>
      <c r="K778" s="120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 ht="13.5" customHeight="1">
      <c r="A779" s="118"/>
      <c r="B779" s="118"/>
      <c r="C779" s="118"/>
      <c r="D779" s="118"/>
      <c r="E779" s="118"/>
      <c r="F779" s="118"/>
      <c r="G779" s="118"/>
      <c r="H779" s="118"/>
      <c r="I779" s="119"/>
      <c r="J779" s="118"/>
      <c r="K779" s="120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 ht="13.5" customHeight="1">
      <c r="A780" s="118"/>
      <c r="B780" s="118"/>
      <c r="C780" s="118"/>
      <c r="D780" s="118"/>
      <c r="E780" s="118"/>
      <c r="F780" s="118"/>
      <c r="G780" s="118"/>
      <c r="H780" s="118"/>
      <c r="I780" s="119"/>
      <c r="J780" s="118"/>
      <c r="K780" s="120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 ht="13.5" customHeight="1">
      <c r="A781" s="118"/>
      <c r="B781" s="118"/>
      <c r="C781" s="118"/>
      <c r="D781" s="118"/>
      <c r="E781" s="118"/>
      <c r="F781" s="118"/>
      <c r="G781" s="118"/>
      <c r="H781" s="118"/>
      <c r="I781" s="119"/>
      <c r="J781" s="118"/>
      <c r="K781" s="120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 ht="13.5" customHeight="1">
      <c r="A782" s="118"/>
      <c r="B782" s="118"/>
      <c r="C782" s="118"/>
      <c r="D782" s="118"/>
      <c r="E782" s="118"/>
      <c r="F782" s="118"/>
      <c r="G782" s="118"/>
      <c r="H782" s="118"/>
      <c r="I782" s="119"/>
      <c r="J782" s="118"/>
      <c r="K782" s="120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 ht="13.5" customHeight="1">
      <c r="A783" s="118"/>
      <c r="B783" s="118"/>
      <c r="C783" s="118"/>
      <c r="D783" s="118"/>
      <c r="E783" s="118"/>
      <c r="F783" s="118"/>
      <c r="G783" s="118"/>
      <c r="H783" s="118"/>
      <c r="I783" s="119"/>
      <c r="J783" s="118"/>
      <c r="K783" s="120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 ht="13.5" customHeight="1">
      <c r="A784" s="118"/>
      <c r="B784" s="118"/>
      <c r="C784" s="118"/>
      <c r="D784" s="118"/>
      <c r="E784" s="118"/>
      <c r="F784" s="118"/>
      <c r="G784" s="118"/>
      <c r="H784" s="118"/>
      <c r="I784" s="119"/>
      <c r="J784" s="118"/>
      <c r="K784" s="120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 ht="13.5" customHeight="1">
      <c r="A785" s="118"/>
      <c r="B785" s="118"/>
      <c r="C785" s="118"/>
      <c r="D785" s="118"/>
      <c r="E785" s="118"/>
      <c r="F785" s="118"/>
      <c r="G785" s="118"/>
      <c r="H785" s="118"/>
      <c r="I785" s="119"/>
      <c r="J785" s="118"/>
      <c r="K785" s="120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 ht="13.5" customHeight="1">
      <c r="A786" s="118"/>
      <c r="B786" s="118"/>
      <c r="C786" s="118"/>
      <c r="D786" s="118"/>
      <c r="E786" s="118"/>
      <c r="F786" s="118"/>
      <c r="G786" s="118"/>
      <c r="H786" s="118"/>
      <c r="I786" s="119"/>
      <c r="J786" s="118"/>
      <c r="K786" s="120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 ht="13.5" customHeight="1">
      <c r="A787" s="118"/>
      <c r="B787" s="118"/>
      <c r="C787" s="118"/>
      <c r="D787" s="118"/>
      <c r="E787" s="118"/>
      <c r="F787" s="118"/>
      <c r="G787" s="118"/>
      <c r="H787" s="118"/>
      <c r="I787" s="119"/>
      <c r="J787" s="118"/>
      <c r="K787" s="120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 ht="13.5" customHeight="1">
      <c r="A788" s="118"/>
      <c r="B788" s="118"/>
      <c r="C788" s="118"/>
      <c r="D788" s="118"/>
      <c r="E788" s="118"/>
      <c r="F788" s="118"/>
      <c r="G788" s="118"/>
      <c r="H788" s="118"/>
      <c r="I788" s="119"/>
      <c r="J788" s="118"/>
      <c r="K788" s="120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 ht="13.5" customHeight="1">
      <c r="A789" s="118"/>
      <c r="B789" s="118"/>
      <c r="C789" s="118"/>
      <c r="D789" s="118"/>
      <c r="E789" s="118"/>
      <c r="F789" s="118"/>
      <c r="G789" s="118"/>
      <c r="H789" s="118"/>
      <c r="I789" s="119"/>
      <c r="J789" s="118"/>
      <c r="K789" s="120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 ht="13.5" customHeight="1">
      <c r="A790" s="118"/>
      <c r="B790" s="118"/>
      <c r="C790" s="118"/>
      <c r="D790" s="118"/>
      <c r="E790" s="118"/>
      <c r="F790" s="118"/>
      <c r="G790" s="118"/>
      <c r="H790" s="118"/>
      <c r="I790" s="119"/>
      <c r="J790" s="118"/>
      <c r="K790" s="120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 ht="13.5" customHeight="1">
      <c r="A791" s="118"/>
      <c r="B791" s="118"/>
      <c r="C791" s="118"/>
      <c r="D791" s="118"/>
      <c r="E791" s="118"/>
      <c r="F791" s="118"/>
      <c r="G791" s="118"/>
      <c r="H791" s="118"/>
      <c r="I791" s="119"/>
      <c r="J791" s="118"/>
      <c r="K791" s="120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 ht="13.5" customHeight="1">
      <c r="A792" s="118"/>
      <c r="B792" s="118"/>
      <c r="C792" s="118"/>
      <c r="D792" s="118"/>
      <c r="E792" s="118"/>
      <c r="F792" s="118"/>
      <c r="G792" s="118"/>
      <c r="H792" s="118"/>
      <c r="I792" s="119"/>
      <c r="J792" s="118"/>
      <c r="K792" s="120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 ht="13.5" customHeight="1">
      <c r="A793" s="118"/>
      <c r="B793" s="118"/>
      <c r="C793" s="118"/>
      <c r="D793" s="118"/>
      <c r="E793" s="118"/>
      <c r="F793" s="118"/>
      <c r="G793" s="118"/>
      <c r="H793" s="118"/>
      <c r="I793" s="119"/>
      <c r="J793" s="118"/>
      <c r="K793" s="120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 ht="13.5" customHeight="1">
      <c r="A794" s="118"/>
      <c r="B794" s="118"/>
      <c r="C794" s="118"/>
      <c r="D794" s="118"/>
      <c r="E794" s="118"/>
      <c r="F794" s="118"/>
      <c r="G794" s="118"/>
      <c r="H794" s="118"/>
      <c r="I794" s="119"/>
      <c r="J794" s="118"/>
      <c r="K794" s="120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 ht="13.5" customHeight="1">
      <c r="A795" s="118"/>
      <c r="B795" s="118"/>
      <c r="C795" s="118"/>
      <c r="D795" s="118"/>
      <c r="E795" s="118"/>
      <c r="F795" s="118"/>
      <c r="G795" s="118"/>
      <c r="H795" s="118"/>
      <c r="I795" s="119"/>
      <c r="J795" s="118"/>
      <c r="K795" s="120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 ht="13.5" customHeight="1">
      <c r="A796" s="118"/>
      <c r="B796" s="118"/>
      <c r="C796" s="118"/>
      <c r="D796" s="118"/>
      <c r="E796" s="118"/>
      <c r="F796" s="118"/>
      <c r="G796" s="118"/>
      <c r="H796" s="118"/>
      <c r="I796" s="119"/>
      <c r="J796" s="118"/>
      <c r="K796" s="120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 ht="13.5" customHeight="1">
      <c r="A797" s="118"/>
      <c r="B797" s="118"/>
      <c r="C797" s="118"/>
      <c r="D797" s="118"/>
      <c r="E797" s="118"/>
      <c r="F797" s="118"/>
      <c r="G797" s="118"/>
      <c r="H797" s="118"/>
      <c r="I797" s="119"/>
      <c r="J797" s="118"/>
      <c r="K797" s="120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 ht="13.5" customHeight="1">
      <c r="A798" s="118"/>
      <c r="B798" s="118"/>
      <c r="C798" s="118"/>
      <c r="D798" s="118"/>
      <c r="E798" s="118"/>
      <c r="F798" s="118"/>
      <c r="G798" s="118"/>
      <c r="H798" s="118"/>
      <c r="I798" s="119"/>
      <c r="J798" s="118"/>
      <c r="K798" s="120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 ht="13.5" customHeight="1">
      <c r="A799" s="118"/>
      <c r="B799" s="118"/>
      <c r="C799" s="118"/>
      <c r="D799" s="118"/>
      <c r="E799" s="118"/>
      <c r="F799" s="118"/>
      <c r="G799" s="118"/>
      <c r="H799" s="118"/>
      <c r="I799" s="119"/>
      <c r="J799" s="118"/>
      <c r="K799" s="120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 ht="13.5" customHeight="1">
      <c r="A800" s="118"/>
      <c r="B800" s="118"/>
      <c r="C800" s="118"/>
      <c r="D800" s="118"/>
      <c r="E800" s="118"/>
      <c r="F800" s="118"/>
      <c r="G800" s="118"/>
      <c r="H800" s="118"/>
      <c r="I800" s="119"/>
      <c r="J800" s="118"/>
      <c r="K800" s="120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 ht="13.5" customHeight="1">
      <c r="A801" s="118"/>
      <c r="B801" s="118"/>
      <c r="C801" s="118"/>
      <c r="D801" s="118"/>
      <c r="E801" s="118"/>
      <c r="F801" s="118"/>
      <c r="G801" s="118"/>
      <c r="H801" s="118"/>
      <c r="I801" s="119"/>
      <c r="J801" s="118"/>
      <c r="K801" s="120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 ht="13.5" customHeight="1">
      <c r="A802" s="118"/>
      <c r="B802" s="118"/>
      <c r="C802" s="118"/>
      <c r="D802" s="118"/>
      <c r="E802" s="118"/>
      <c r="F802" s="118"/>
      <c r="G802" s="118"/>
      <c r="H802" s="118"/>
      <c r="I802" s="119"/>
      <c r="J802" s="118"/>
      <c r="K802" s="120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 ht="13.5" customHeight="1">
      <c r="A803" s="118"/>
      <c r="B803" s="118"/>
      <c r="C803" s="118"/>
      <c r="D803" s="118"/>
      <c r="E803" s="118"/>
      <c r="F803" s="118"/>
      <c r="G803" s="118"/>
      <c r="H803" s="118"/>
      <c r="I803" s="119"/>
      <c r="J803" s="118"/>
      <c r="K803" s="120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 ht="13.5" customHeight="1">
      <c r="A804" s="118"/>
      <c r="B804" s="118"/>
      <c r="C804" s="118"/>
      <c r="D804" s="118"/>
      <c r="E804" s="118"/>
      <c r="F804" s="118"/>
      <c r="G804" s="118"/>
      <c r="H804" s="118"/>
      <c r="I804" s="119"/>
      <c r="J804" s="118"/>
      <c r="K804" s="120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 ht="13.5" customHeight="1">
      <c r="A805" s="118"/>
      <c r="B805" s="118"/>
      <c r="C805" s="118"/>
      <c r="D805" s="118"/>
      <c r="E805" s="118"/>
      <c r="F805" s="118"/>
      <c r="G805" s="118"/>
      <c r="H805" s="118"/>
      <c r="I805" s="119"/>
      <c r="J805" s="118"/>
      <c r="K805" s="120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 ht="13.5" customHeight="1">
      <c r="A806" s="118"/>
      <c r="B806" s="118"/>
      <c r="C806" s="118"/>
      <c r="D806" s="118"/>
      <c r="E806" s="118"/>
      <c r="F806" s="118"/>
      <c r="G806" s="118"/>
      <c r="H806" s="118"/>
      <c r="I806" s="119"/>
      <c r="J806" s="118"/>
      <c r="K806" s="120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 ht="13.5" customHeight="1">
      <c r="A807" s="118"/>
      <c r="B807" s="118"/>
      <c r="C807" s="118"/>
      <c r="D807" s="118"/>
      <c r="E807" s="118"/>
      <c r="F807" s="118"/>
      <c r="G807" s="118"/>
      <c r="H807" s="118"/>
      <c r="I807" s="119"/>
      <c r="J807" s="118"/>
      <c r="K807" s="120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 ht="13.5" customHeight="1">
      <c r="A808" s="118"/>
      <c r="B808" s="118"/>
      <c r="C808" s="118"/>
      <c r="D808" s="118"/>
      <c r="E808" s="118"/>
      <c r="F808" s="118"/>
      <c r="G808" s="118"/>
      <c r="H808" s="118"/>
      <c r="I808" s="119"/>
      <c r="J808" s="118"/>
      <c r="K808" s="120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 ht="13.5" customHeight="1">
      <c r="A809" s="118"/>
      <c r="B809" s="118"/>
      <c r="C809" s="118"/>
      <c r="D809" s="118"/>
      <c r="E809" s="118"/>
      <c r="F809" s="118"/>
      <c r="G809" s="118"/>
      <c r="H809" s="118"/>
      <c r="I809" s="119"/>
      <c r="J809" s="118"/>
      <c r="K809" s="120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 ht="13.5" customHeight="1">
      <c r="A810" s="118"/>
      <c r="B810" s="118"/>
      <c r="C810" s="118"/>
      <c r="D810" s="118"/>
      <c r="E810" s="118"/>
      <c r="F810" s="118"/>
      <c r="G810" s="118"/>
      <c r="H810" s="118"/>
      <c r="I810" s="119"/>
      <c r="J810" s="118"/>
      <c r="K810" s="120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 ht="13.5" customHeight="1">
      <c r="A811" s="118"/>
      <c r="B811" s="118"/>
      <c r="C811" s="118"/>
      <c r="D811" s="118"/>
      <c r="E811" s="118"/>
      <c r="F811" s="118"/>
      <c r="G811" s="118"/>
      <c r="H811" s="118"/>
      <c r="I811" s="119"/>
      <c r="J811" s="118"/>
      <c r="K811" s="120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 ht="13.5" customHeight="1">
      <c r="A812" s="118"/>
      <c r="B812" s="118"/>
      <c r="C812" s="118"/>
      <c r="D812" s="118"/>
      <c r="E812" s="118"/>
      <c r="F812" s="118"/>
      <c r="G812" s="118"/>
      <c r="H812" s="118"/>
      <c r="I812" s="119"/>
      <c r="J812" s="118"/>
      <c r="K812" s="120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 ht="13.5" customHeight="1">
      <c r="A813" s="118"/>
      <c r="B813" s="118"/>
      <c r="C813" s="118"/>
      <c r="D813" s="118"/>
      <c r="E813" s="118"/>
      <c r="F813" s="118"/>
      <c r="G813" s="118"/>
      <c r="H813" s="118"/>
      <c r="I813" s="119"/>
      <c r="J813" s="118"/>
      <c r="K813" s="120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 ht="13.5" customHeight="1">
      <c r="A814" s="118"/>
      <c r="B814" s="118"/>
      <c r="C814" s="118"/>
      <c r="D814" s="118"/>
      <c r="E814" s="118"/>
      <c r="F814" s="118"/>
      <c r="G814" s="118"/>
      <c r="H814" s="118"/>
      <c r="I814" s="119"/>
      <c r="J814" s="118"/>
      <c r="K814" s="120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 ht="13.5" customHeight="1">
      <c r="A815" s="118"/>
      <c r="B815" s="118"/>
      <c r="C815" s="118"/>
      <c r="D815" s="118"/>
      <c r="E815" s="118"/>
      <c r="F815" s="118"/>
      <c r="G815" s="118"/>
      <c r="H815" s="118"/>
      <c r="I815" s="119"/>
      <c r="J815" s="118"/>
      <c r="K815" s="120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 ht="13.5" customHeight="1">
      <c r="A816" s="118"/>
      <c r="B816" s="118"/>
      <c r="C816" s="118"/>
      <c r="D816" s="118"/>
      <c r="E816" s="118"/>
      <c r="F816" s="118"/>
      <c r="G816" s="118"/>
      <c r="H816" s="118"/>
      <c r="I816" s="119"/>
      <c r="J816" s="118"/>
      <c r="K816" s="120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 ht="13.5" customHeight="1">
      <c r="A817" s="118"/>
      <c r="B817" s="118"/>
      <c r="C817" s="118"/>
      <c r="D817" s="118"/>
      <c r="E817" s="118"/>
      <c r="F817" s="118"/>
      <c r="G817" s="118"/>
      <c r="H817" s="118"/>
      <c r="I817" s="119"/>
      <c r="J817" s="118"/>
      <c r="K817" s="120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 ht="13.5" customHeight="1">
      <c r="A818" s="118"/>
      <c r="B818" s="118"/>
      <c r="C818" s="118"/>
      <c r="D818" s="118"/>
      <c r="E818" s="118"/>
      <c r="F818" s="118"/>
      <c r="G818" s="118"/>
      <c r="H818" s="118"/>
      <c r="I818" s="119"/>
      <c r="J818" s="118"/>
      <c r="K818" s="120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 ht="13.5" customHeight="1">
      <c r="A819" s="118"/>
      <c r="B819" s="118"/>
      <c r="C819" s="118"/>
      <c r="D819" s="118"/>
      <c r="E819" s="118"/>
      <c r="F819" s="118"/>
      <c r="G819" s="118"/>
      <c r="H819" s="118"/>
      <c r="I819" s="119"/>
      <c r="J819" s="118"/>
      <c r="K819" s="120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 ht="13.5" customHeight="1">
      <c r="A820" s="118"/>
      <c r="B820" s="118"/>
      <c r="C820" s="118"/>
      <c r="D820" s="118"/>
      <c r="E820" s="118"/>
      <c r="F820" s="118"/>
      <c r="G820" s="118"/>
      <c r="H820" s="118"/>
      <c r="I820" s="119"/>
      <c r="J820" s="118"/>
      <c r="K820" s="120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 ht="13.5" customHeight="1">
      <c r="A821" s="118"/>
      <c r="B821" s="118"/>
      <c r="C821" s="118"/>
      <c r="D821" s="118"/>
      <c r="E821" s="118"/>
      <c r="F821" s="118"/>
      <c r="G821" s="118"/>
      <c r="H821" s="118"/>
      <c r="I821" s="119"/>
      <c r="J821" s="118"/>
      <c r="K821" s="120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 ht="13.5" customHeight="1">
      <c r="A822" s="118"/>
      <c r="B822" s="118"/>
      <c r="C822" s="118"/>
      <c r="D822" s="118"/>
      <c r="E822" s="118"/>
      <c r="F822" s="118"/>
      <c r="G822" s="118"/>
      <c r="H822" s="118"/>
      <c r="I822" s="119"/>
      <c r="J822" s="118"/>
      <c r="K822" s="120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 ht="13.5" customHeight="1">
      <c r="A823" s="118"/>
      <c r="B823" s="118"/>
      <c r="C823" s="118"/>
      <c r="D823" s="118"/>
      <c r="E823" s="118"/>
      <c r="F823" s="118"/>
      <c r="G823" s="118"/>
      <c r="H823" s="118"/>
      <c r="I823" s="119"/>
      <c r="J823" s="118"/>
      <c r="K823" s="120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 ht="13.5" customHeight="1">
      <c r="A824" s="118"/>
      <c r="B824" s="118"/>
      <c r="C824" s="118"/>
      <c r="D824" s="118"/>
      <c r="E824" s="118"/>
      <c r="F824" s="118"/>
      <c r="G824" s="118"/>
      <c r="H824" s="118"/>
      <c r="I824" s="119"/>
      <c r="J824" s="118"/>
      <c r="K824" s="120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 ht="13.5" customHeight="1">
      <c r="A825" s="118"/>
      <c r="B825" s="118"/>
      <c r="C825" s="118"/>
      <c r="D825" s="118"/>
      <c r="E825" s="118"/>
      <c r="F825" s="118"/>
      <c r="G825" s="118"/>
      <c r="H825" s="118"/>
      <c r="I825" s="119"/>
      <c r="J825" s="118"/>
      <c r="K825" s="120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 ht="13.5" customHeight="1">
      <c r="A826" s="118"/>
      <c r="B826" s="118"/>
      <c r="C826" s="118"/>
      <c r="D826" s="118"/>
      <c r="E826" s="118"/>
      <c r="F826" s="118"/>
      <c r="G826" s="118"/>
      <c r="H826" s="118"/>
      <c r="I826" s="119"/>
      <c r="J826" s="118"/>
      <c r="K826" s="120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 ht="13.5" customHeight="1">
      <c r="A827" s="118"/>
      <c r="B827" s="118"/>
      <c r="C827" s="118"/>
      <c r="D827" s="118"/>
      <c r="E827" s="118"/>
      <c r="F827" s="118"/>
      <c r="G827" s="118"/>
      <c r="H827" s="118"/>
      <c r="I827" s="119"/>
      <c r="J827" s="118"/>
      <c r="K827" s="120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 ht="13.5" customHeight="1">
      <c r="A828" s="118"/>
      <c r="B828" s="118"/>
      <c r="C828" s="118"/>
      <c r="D828" s="118"/>
      <c r="E828" s="118"/>
      <c r="F828" s="118"/>
      <c r="G828" s="118"/>
      <c r="H828" s="118"/>
      <c r="I828" s="119"/>
      <c r="J828" s="118"/>
      <c r="K828" s="120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 ht="13.5" customHeight="1">
      <c r="A829" s="118"/>
      <c r="B829" s="118"/>
      <c r="C829" s="118"/>
      <c r="D829" s="118"/>
      <c r="E829" s="118"/>
      <c r="F829" s="118"/>
      <c r="G829" s="118"/>
      <c r="H829" s="118"/>
      <c r="I829" s="119"/>
      <c r="J829" s="118"/>
      <c r="K829" s="120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 ht="13.5" customHeight="1">
      <c r="A830" s="118"/>
      <c r="B830" s="118"/>
      <c r="C830" s="118"/>
      <c r="D830" s="118"/>
      <c r="E830" s="118"/>
      <c r="F830" s="118"/>
      <c r="G830" s="118"/>
      <c r="H830" s="118"/>
      <c r="I830" s="119"/>
      <c r="J830" s="118"/>
      <c r="K830" s="120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 ht="13.5" customHeight="1">
      <c r="A831" s="118"/>
      <c r="B831" s="118"/>
      <c r="C831" s="118"/>
      <c r="D831" s="118"/>
      <c r="E831" s="118"/>
      <c r="F831" s="118"/>
      <c r="G831" s="118"/>
      <c r="H831" s="118"/>
      <c r="I831" s="119"/>
      <c r="J831" s="118"/>
      <c r="K831" s="120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 ht="13.5" customHeight="1">
      <c r="A832" s="118"/>
      <c r="B832" s="118"/>
      <c r="C832" s="118"/>
      <c r="D832" s="118"/>
      <c r="E832" s="118"/>
      <c r="F832" s="118"/>
      <c r="G832" s="118"/>
      <c r="H832" s="118"/>
      <c r="I832" s="119"/>
      <c r="J832" s="118"/>
      <c r="K832" s="120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 ht="13.5" customHeight="1">
      <c r="A833" s="118"/>
      <c r="B833" s="118"/>
      <c r="C833" s="118"/>
      <c r="D833" s="118"/>
      <c r="E833" s="118"/>
      <c r="F833" s="118"/>
      <c r="G833" s="118"/>
      <c r="H833" s="118"/>
      <c r="I833" s="119"/>
      <c r="J833" s="118"/>
      <c r="K833" s="120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 ht="13.5" customHeight="1">
      <c r="A834" s="118"/>
      <c r="B834" s="118"/>
      <c r="C834" s="118"/>
      <c r="D834" s="118"/>
      <c r="E834" s="118"/>
      <c r="F834" s="118"/>
      <c r="G834" s="118"/>
      <c r="H834" s="118"/>
      <c r="I834" s="119"/>
      <c r="J834" s="118"/>
      <c r="K834" s="120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 ht="13.5" customHeight="1">
      <c r="A835" s="118"/>
      <c r="B835" s="118"/>
      <c r="C835" s="118"/>
      <c r="D835" s="118"/>
      <c r="E835" s="118"/>
      <c r="F835" s="118"/>
      <c r="G835" s="118"/>
      <c r="H835" s="118"/>
      <c r="I835" s="119"/>
      <c r="J835" s="118"/>
      <c r="K835" s="120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 ht="13.5" customHeight="1">
      <c r="A836" s="118"/>
      <c r="B836" s="118"/>
      <c r="C836" s="118"/>
      <c r="D836" s="118"/>
      <c r="E836" s="118"/>
      <c r="F836" s="118"/>
      <c r="G836" s="118"/>
      <c r="H836" s="118"/>
      <c r="I836" s="119"/>
      <c r="J836" s="118"/>
      <c r="K836" s="120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 ht="13.5" customHeight="1">
      <c r="A837" s="118"/>
      <c r="B837" s="118"/>
      <c r="C837" s="118"/>
      <c r="D837" s="118"/>
      <c r="E837" s="118"/>
      <c r="F837" s="118"/>
      <c r="G837" s="118"/>
      <c r="H837" s="118"/>
      <c r="I837" s="119"/>
      <c r="J837" s="118"/>
      <c r="K837" s="120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 ht="13.5" customHeight="1">
      <c r="A838" s="118"/>
      <c r="B838" s="118"/>
      <c r="C838" s="118"/>
      <c r="D838" s="118"/>
      <c r="E838" s="118"/>
      <c r="F838" s="118"/>
      <c r="G838" s="118"/>
      <c r="H838" s="118"/>
      <c r="I838" s="119"/>
      <c r="J838" s="118"/>
      <c r="K838" s="120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 ht="13.5" customHeight="1">
      <c r="A839" s="118"/>
      <c r="B839" s="118"/>
      <c r="C839" s="118"/>
      <c r="D839" s="118"/>
      <c r="E839" s="118"/>
      <c r="F839" s="118"/>
      <c r="G839" s="118"/>
      <c r="H839" s="118"/>
      <c r="I839" s="119"/>
      <c r="J839" s="118"/>
      <c r="K839" s="120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 ht="13.5" customHeight="1">
      <c r="A840" s="118"/>
      <c r="B840" s="118"/>
      <c r="C840" s="118"/>
      <c r="D840" s="118"/>
      <c r="E840" s="118"/>
      <c r="F840" s="118"/>
      <c r="G840" s="118"/>
      <c r="H840" s="118"/>
      <c r="I840" s="119"/>
      <c r="J840" s="118"/>
      <c r="K840" s="120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 ht="13.5" customHeight="1">
      <c r="A841" s="118"/>
      <c r="B841" s="118"/>
      <c r="C841" s="118"/>
      <c r="D841" s="118"/>
      <c r="E841" s="118"/>
      <c r="F841" s="118"/>
      <c r="G841" s="118"/>
      <c r="H841" s="118"/>
      <c r="I841" s="119"/>
      <c r="J841" s="118"/>
      <c r="K841" s="120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 ht="13.5" customHeight="1">
      <c r="A842" s="118"/>
      <c r="B842" s="118"/>
      <c r="C842" s="118"/>
      <c r="D842" s="118"/>
      <c r="E842" s="118"/>
      <c r="F842" s="118"/>
      <c r="G842" s="118"/>
      <c r="H842" s="118"/>
      <c r="I842" s="119"/>
      <c r="J842" s="118"/>
      <c r="K842" s="120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 ht="13.5" customHeight="1">
      <c r="A843" s="118"/>
      <c r="B843" s="118"/>
      <c r="C843" s="118"/>
      <c r="D843" s="118"/>
      <c r="E843" s="118"/>
      <c r="F843" s="118"/>
      <c r="G843" s="118"/>
      <c r="H843" s="118"/>
      <c r="I843" s="119"/>
      <c r="J843" s="118"/>
      <c r="K843" s="120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 ht="13.5" customHeight="1">
      <c r="A844" s="118"/>
      <c r="B844" s="118"/>
      <c r="C844" s="118"/>
      <c r="D844" s="118"/>
      <c r="E844" s="118"/>
      <c r="F844" s="118"/>
      <c r="G844" s="118"/>
      <c r="H844" s="118"/>
      <c r="I844" s="119"/>
      <c r="J844" s="118"/>
      <c r="K844" s="120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 ht="13.5" customHeight="1">
      <c r="A845" s="118"/>
      <c r="B845" s="118"/>
      <c r="C845" s="118"/>
      <c r="D845" s="118"/>
      <c r="E845" s="118"/>
      <c r="F845" s="118"/>
      <c r="G845" s="118"/>
      <c r="H845" s="118"/>
      <c r="I845" s="119"/>
      <c r="J845" s="118"/>
      <c r="K845" s="120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 ht="13.5" customHeight="1">
      <c r="A846" s="118"/>
      <c r="B846" s="118"/>
      <c r="C846" s="118"/>
      <c r="D846" s="118"/>
      <c r="E846" s="118"/>
      <c r="F846" s="118"/>
      <c r="G846" s="118"/>
      <c r="H846" s="118"/>
      <c r="I846" s="119"/>
      <c r="J846" s="118"/>
      <c r="K846" s="120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 ht="13.5" customHeight="1">
      <c r="A847" s="118"/>
      <c r="B847" s="118"/>
      <c r="C847" s="118"/>
      <c r="D847" s="118"/>
      <c r="E847" s="118"/>
      <c r="F847" s="118"/>
      <c r="G847" s="118"/>
      <c r="H847" s="118"/>
      <c r="I847" s="119"/>
      <c r="J847" s="118"/>
      <c r="K847" s="120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 ht="13.5" customHeight="1">
      <c r="A848" s="118"/>
      <c r="B848" s="118"/>
      <c r="C848" s="118"/>
      <c r="D848" s="118"/>
      <c r="E848" s="118"/>
      <c r="F848" s="118"/>
      <c r="G848" s="118"/>
      <c r="H848" s="118"/>
      <c r="I848" s="119"/>
      <c r="J848" s="118"/>
      <c r="K848" s="120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 ht="13.5" customHeight="1">
      <c r="A849" s="118"/>
      <c r="B849" s="118"/>
      <c r="C849" s="118"/>
      <c r="D849" s="118"/>
      <c r="E849" s="118"/>
      <c r="F849" s="118"/>
      <c r="G849" s="118"/>
      <c r="H849" s="118"/>
      <c r="I849" s="119"/>
      <c r="J849" s="118"/>
      <c r="K849" s="120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 ht="13.5" customHeight="1">
      <c r="A850" s="118"/>
      <c r="B850" s="118"/>
      <c r="C850" s="118"/>
      <c r="D850" s="118"/>
      <c r="E850" s="118"/>
      <c r="F850" s="118"/>
      <c r="G850" s="118"/>
      <c r="H850" s="118"/>
      <c r="I850" s="119"/>
      <c r="J850" s="118"/>
      <c r="K850" s="120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 ht="13.5" customHeight="1">
      <c r="A851" s="118"/>
      <c r="B851" s="118"/>
      <c r="C851" s="118"/>
      <c r="D851" s="118"/>
      <c r="E851" s="118"/>
      <c r="F851" s="118"/>
      <c r="G851" s="118"/>
      <c r="H851" s="118"/>
      <c r="I851" s="119"/>
      <c r="J851" s="118"/>
      <c r="K851" s="120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 ht="13.5" customHeight="1">
      <c r="A852" s="118"/>
      <c r="B852" s="118"/>
      <c r="C852" s="118"/>
      <c r="D852" s="118"/>
      <c r="E852" s="118"/>
      <c r="F852" s="118"/>
      <c r="G852" s="118"/>
      <c r="H852" s="118"/>
      <c r="I852" s="119"/>
      <c r="J852" s="118"/>
      <c r="K852" s="120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 ht="13.5" customHeight="1">
      <c r="A853" s="118"/>
      <c r="B853" s="118"/>
      <c r="C853" s="118"/>
      <c r="D853" s="118"/>
      <c r="E853" s="118"/>
      <c r="F853" s="118"/>
      <c r="G853" s="118"/>
      <c r="H853" s="118"/>
      <c r="I853" s="119"/>
      <c r="J853" s="118"/>
      <c r="K853" s="120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 ht="13.5" customHeight="1">
      <c r="A854" s="118"/>
      <c r="B854" s="118"/>
      <c r="C854" s="118"/>
      <c r="D854" s="118"/>
      <c r="E854" s="118"/>
      <c r="F854" s="118"/>
      <c r="G854" s="118"/>
      <c r="H854" s="118"/>
      <c r="I854" s="119"/>
      <c r="J854" s="118"/>
      <c r="K854" s="120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 ht="13.5" customHeight="1">
      <c r="A855" s="118"/>
      <c r="B855" s="118"/>
      <c r="C855" s="118"/>
      <c r="D855" s="118"/>
      <c r="E855" s="118"/>
      <c r="F855" s="118"/>
      <c r="G855" s="118"/>
      <c r="H855" s="118"/>
      <c r="I855" s="119"/>
      <c r="J855" s="118"/>
      <c r="K855" s="120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 ht="13.5" customHeight="1">
      <c r="A856" s="118"/>
      <c r="B856" s="118"/>
      <c r="C856" s="118"/>
      <c r="D856" s="118"/>
      <c r="E856" s="118"/>
      <c r="F856" s="118"/>
      <c r="G856" s="118"/>
      <c r="H856" s="118"/>
      <c r="I856" s="119"/>
      <c r="J856" s="118"/>
      <c r="K856" s="120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 ht="13.5" customHeight="1">
      <c r="A857" s="118"/>
      <c r="B857" s="118"/>
      <c r="C857" s="118"/>
      <c r="D857" s="118"/>
      <c r="E857" s="118"/>
      <c r="F857" s="118"/>
      <c r="G857" s="118"/>
      <c r="H857" s="118"/>
      <c r="I857" s="119"/>
      <c r="J857" s="118"/>
      <c r="K857" s="120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 ht="13.5" customHeight="1">
      <c r="A858" s="118"/>
      <c r="B858" s="118"/>
      <c r="C858" s="118"/>
      <c r="D858" s="118"/>
      <c r="E858" s="118"/>
      <c r="F858" s="118"/>
      <c r="G858" s="118"/>
      <c r="H858" s="118"/>
      <c r="I858" s="119"/>
      <c r="J858" s="118"/>
      <c r="K858" s="120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 ht="13.5" customHeight="1">
      <c r="A859" s="118"/>
      <c r="B859" s="118"/>
      <c r="C859" s="118"/>
      <c r="D859" s="118"/>
      <c r="E859" s="118"/>
      <c r="F859" s="118"/>
      <c r="G859" s="118"/>
      <c r="H859" s="118"/>
      <c r="I859" s="119"/>
      <c r="J859" s="118"/>
      <c r="K859" s="120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 ht="13.5" customHeight="1">
      <c r="A860" s="118"/>
      <c r="B860" s="118"/>
      <c r="C860" s="118"/>
      <c r="D860" s="118"/>
      <c r="E860" s="118"/>
      <c r="F860" s="118"/>
      <c r="G860" s="118"/>
      <c r="H860" s="118"/>
      <c r="I860" s="119"/>
      <c r="J860" s="118"/>
      <c r="K860" s="120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 ht="13.5" customHeight="1">
      <c r="A861" s="118"/>
      <c r="B861" s="118"/>
      <c r="C861" s="118"/>
      <c r="D861" s="118"/>
      <c r="E861" s="118"/>
      <c r="F861" s="118"/>
      <c r="G861" s="118"/>
      <c r="H861" s="118"/>
      <c r="I861" s="119"/>
      <c r="J861" s="118"/>
      <c r="K861" s="120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 ht="13.5" customHeight="1">
      <c r="A862" s="118"/>
      <c r="B862" s="118"/>
      <c r="C862" s="118"/>
      <c r="D862" s="118"/>
      <c r="E862" s="118"/>
      <c r="F862" s="118"/>
      <c r="G862" s="118"/>
      <c r="H862" s="118"/>
      <c r="I862" s="119"/>
      <c r="J862" s="118"/>
      <c r="K862" s="120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 ht="13.5" customHeight="1">
      <c r="A863" s="118"/>
      <c r="B863" s="118"/>
      <c r="C863" s="118"/>
      <c r="D863" s="118"/>
      <c r="E863" s="118"/>
      <c r="F863" s="118"/>
      <c r="G863" s="118"/>
      <c r="H863" s="118"/>
      <c r="I863" s="119"/>
      <c r="J863" s="118"/>
      <c r="K863" s="120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 ht="13.5" customHeight="1">
      <c r="A864" s="118"/>
      <c r="B864" s="118"/>
      <c r="C864" s="118"/>
      <c r="D864" s="118"/>
      <c r="E864" s="118"/>
      <c r="F864" s="118"/>
      <c r="G864" s="118"/>
      <c r="H864" s="118"/>
      <c r="I864" s="119"/>
      <c r="J864" s="118"/>
      <c r="K864" s="120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 ht="13.5" customHeight="1">
      <c r="A865" s="118"/>
      <c r="B865" s="118"/>
      <c r="C865" s="118"/>
      <c r="D865" s="118"/>
      <c r="E865" s="118"/>
      <c r="F865" s="118"/>
      <c r="G865" s="118"/>
      <c r="H865" s="118"/>
      <c r="I865" s="119"/>
      <c r="J865" s="118"/>
      <c r="K865" s="120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 ht="13.5" customHeight="1">
      <c r="A866" s="118"/>
      <c r="B866" s="118"/>
      <c r="C866" s="118"/>
      <c r="D866" s="118"/>
      <c r="E866" s="118"/>
      <c r="F866" s="118"/>
      <c r="G866" s="118"/>
      <c r="H866" s="118"/>
      <c r="I866" s="119"/>
      <c r="J866" s="118"/>
      <c r="K866" s="120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 ht="13.5" customHeight="1">
      <c r="A867" s="118"/>
      <c r="B867" s="118"/>
      <c r="C867" s="118"/>
      <c r="D867" s="118"/>
      <c r="E867" s="118"/>
      <c r="F867" s="118"/>
      <c r="G867" s="118"/>
      <c r="H867" s="118"/>
      <c r="I867" s="119"/>
      <c r="J867" s="118"/>
      <c r="K867" s="120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 ht="13.5" customHeight="1">
      <c r="A868" s="118"/>
      <c r="B868" s="118"/>
      <c r="C868" s="118"/>
      <c r="D868" s="118"/>
      <c r="E868" s="118"/>
      <c r="F868" s="118"/>
      <c r="G868" s="118"/>
      <c r="H868" s="118"/>
      <c r="I868" s="119"/>
      <c r="J868" s="118"/>
      <c r="K868" s="120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 ht="13.5" customHeight="1">
      <c r="A869" s="118"/>
      <c r="B869" s="118"/>
      <c r="C869" s="118"/>
      <c r="D869" s="118"/>
      <c r="E869" s="118"/>
      <c r="F869" s="118"/>
      <c r="G869" s="118"/>
      <c r="H869" s="118"/>
      <c r="I869" s="119"/>
      <c r="J869" s="118"/>
      <c r="K869" s="120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 ht="13.5" customHeight="1">
      <c r="A870" s="118"/>
      <c r="B870" s="118"/>
      <c r="C870" s="118"/>
      <c r="D870" s="118"/>
      <c r="E870" s="118"/>
      <c r="F870" s="118"/>
      <c r="G870" s="118"/>
      <c r="H870" s="118"/>
      <c r="I870" s="119"/>
      <c r="J870" s="118"/>
      <c r="K870" s="120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 ht="13.5" customHeight="1">
      <c r="A871" s="118"/>
      <c r="B871" s="118"/>
      <c r="C871" s="118"/>
      <c r="D871" s="118"/>
      <c r="E871" s="118"/>
      <c r="F871" s="118"/>
      <c r="G871" s="118"/>
      <c r="H871" s="118"/>
      <c r="I871" s="119"/>
      <c r="J871" s="118"/>
      <c r="K871" s="120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 ht="13.5" customHeight="1">
      <c r="A872" s="118"/>
      <c r="B872" s="118"/>
      <c r="C872" s="118"/>
      <c r="D872" s="118"/>
      <c r="E872" s="118"/>
      <c r="F872" s="118"/>
      <c r="G872" s="118"/>
      <c r="H872" s="118"/>
      <c r="I872" s="119"/>
      <c r="J872" s="118"/>
      <c r="K872" s="120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 ht="13.5" customHeight="1">
      <c r="A873" s="118"/>
      <c r="B873" s="118"/>
      <c r="C873" s="118"/>
      <c r="D873" s="118"/>
      <c r="E873" s="118"/>
      <c r="F873" s="118"/>
      <c r="G873" s="118"/>
      <c r="H873" s="118"/>
      <c r="I873" s="119"/>
      <c r="J873" s="118"/>
      <c r="K873" s="120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 ht="13.5" customHeight="1">
      <c r="A874" s="118"/>
      <c r="B874" s="118"/>
      <c r="C874" s="118"/>
      <c r="D874" s="118"/>
      <c r="E874" s="118"/>
      <c r="F874" s="118"/>
      <c r="G874" s="118"/>
      <c r="H874" s="118"/>
      <c r="I874" s="119"/>
      <c r="J874" s="118"/>
      <c r="K874" s="120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 ht="13.5" customHeight="1">
      <c r="A875" s="118"/>
      <c r="B875" s="118"/>
      <c r="C875" s="118"/>
      <c r="D875" s="118"/>
      <c r="E875" s="118"/>
      <c r="F875" s="118"/>
      <c r="G875" s="118"/>
      <c r="H875" s="118"/>
      <c r="I875" s="119"/>
      <c r="J875" s="118"/>
      <c r="K875" s="120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 ht="13.5" customHeight="1">
      <c r="A876" s="118"/>
      <c r="B876" s="118"/>
      <c r="C876" s="118"/>
      <c r="D876" s="118"/>
      <c r="E876" s="118"/>
      <c r="F876" s="118"/>
      <c r="G876" s="118"/>
      <c r="H876" s="118"/>
      <c r="I876" s="119"/>
      <c r="J876" s="118"/>
      <c r="K876" s="120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 ht="13.5" customHeight="1">
      <c r="A877" s="118"/>
      <c r="B877" s="118"/>
      <c r="C877" s="118"/>
      <c r="D877" s="118"/>
      <c r="E877" s="118"/>
      <c r="F877" s="118"/>
      <c r="G877" s="118"/>
      <c r="H877" s="118"/>
      <c r="I877" s="119"/>
      <c r="J877" s="118"/>
      <c r="K877" s="120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 ht="13.5" customHeight="1">
      <c r="A878" s="118"/>
      <c r="B878" s="118"/>
      <c r="C878" s="118"/>
      <c r="D878" s="118"/>
      <c r="E878" s="118"/>
      <c r="F878" s="118"/>
      <c r="G878" s="118"/>
      <c r="H878" s="118"/>
      <c r="I878" s="119"/>
      <c r="J878" s="118"/>
      <c r="K878" s="120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 ht="13.5" customHeight="1">
      <c r="A879" s="118"/>
      <c r="B879" s="118"/>
      <c r="C879" s="118"/>
      <c r="D879" s="118"/>
      <c r="E879" s="118"/>
      <c r="F879" s="118"/>
      <c r="G879" s="118"/>
      <c r="H879" s="118"/>
      <c r="I879" s="119"/>
      <c r="J879" s="118"/>
      <c r="K879" s="120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 ht="13.5" customHeight="1">
      <c r="A880" s="118"/>
      <c r="B880" s="118"/>
      <c r="C880" s="118"/>
      <c r="D880" s="118"/>
      <c r="E880" s="118"/>
      <c r="F880" s="118"/>
      <c r="G880" s="118"/>
      <c r="H880" s="118"/>
      <c r="I880" s="119"/>
      <c r="J880" s="118"/>
      <c r="K880" s="120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 ht="13.5" customHeight="1">
      <c r="A881" s="118"/>
      <c r="B881" s="118"/>
      <c r="C881" s="118"/>
      <c r="D881" s="118"/>
      <c r="E881" s="118"/>
      <c r="F881" s="118"/>
      <c r="G881" s="118"/>
      <c r="H881" s="118"/>
      <c r="I881" s="119"/>
      <c r="J881" s="118"/>
      <c r="K881" s="120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 ht="13.5" customHeight="1">
      <c r="A882" s="118"/>
      <c r="B882" s="118"/>
      <c r="C882" s="118"/>
      <c r="D882" s="118"/>
      <c r="E882" s="118"/>
      <c r="F882" s="118"/>
      <c r="G882" s="118"/>
      <c r="H882" s="118"/>
      <c r="I882" s="119"/>
      <c r="J882" s="118"/>
      <c r="K882" s="120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 ht="13.5" customHeight="1">
      <c r="A883" s="118"/>
      <c r="B883" s="118"/>
      <c r="C883" s="118"/>
      <c r="D883" s="118"/>
      <c r="E883" s="118"/>
      <c r="F883" s="118"/>
      <c r="G883" s="118"/>
      <c r="H883" s="118"/>
      <c r="I883" s="119"/>
      <c r="J883" s="118"/>
      <c r="K883" s="120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 ht="13.5" customHeight="1">
      <c r="A884" s="118"/>
      <c r="B884" s="118"/>
      <c r="C884" s="118"/>
      <c r="D884" s="118"/>
      <c r="E884" s="118"/>
      <c r="F884" s="118"/>
      <c r="G884" s="118"/>
      <c r="H884" s="118"/>
      <c r="I884" s="119"/>
      <c r="J884" s="118"/>
      <c r="K884" s="120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 ht="13.5" customHeight="1">
      <c r="A885" s="118"/>
      <c r="B885" s="118"/>
      <c r="C885" s="118"/>
      <c r="D885" s="118"/>
      <c r="E885" s="118"/>
      <c r="F885" s="118"/>
      <c r="G885" s="118"/>
      <c r="H885" s="118"/>
      <c r="I885" s="119"/>
      <c r="J885" s="118"/>
      <c r="K885" s="120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 ht="13.5" customHeight="1">
      <c r="A886" s="118"/>
      <c r="B886" s="118"/>
      <c r="C886" s="118"/>
      <c r="D886" s="118"/>
      <c r="E886" s="118"/>
      <c r="F886" s="118"/>
      <c r="G886" s="118"/>
      <c r="H886" s="118"/>
      <c r="I886" s="119"/>
      <c r="J886" s="118"/>
      <c r="K886" s="120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 ht="13.5" customHeight="1">
      <c r="A887" s="118"/>
      <c r="B887" s="118"/>
      <c r="C887" s="118"/>
      <c r="D887" s="118"/>
      <c r="E887" s="118"/>
      <c r="F887" s="118"/>
      <c r="G887" s="118"/>
      <c r="H887" s="118"/>
      <c r="I887" s="119"/>
      <c r="J887" s="118"/>
      <c r="K887" s="120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 ht="13.5" customHeight="1">
      <c r="A888" s="118"/>
      <c r="B888" s="118"/>
      <c r="C888" s="118"/>
      <c r="D888" s="118"/>
      <c r="E888" s="118"/>
      <c r="F888" s="118"/>
      <c r="G888" s="118"/>
      <c r="H888" s="118"/>
      <c r="I888" s="119"/>
      <c r="J888" s="118"/>
      <c r="K888" s="120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 ht="13.5" customHeight="1">
      <c r="A889" s="118"/>
      <c r="B889" s="118"/>
      <c r="C889" s="118"/>
      <c r="D889" s="118"/>
      <c r="E889" s="118"/>
      <c r="F889" s="118"/>
      <c r="G889" s="118"/>
      <c r="H889" s="118"/>
      <c r="I889" s="119"/>
      <c r="J889" s="118"/>
      <c r="K889" s="120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 ht="13.5" customHeight="1">
      <c r="A890" s="118"/>
      <c r="B890" s="118"/>
      <c r="C890" s="118"/>
      <c r="D890" s="118"/>
      <c r="E890" s="118"/>
      <c r="F890" s="118"/>
      <c r="G890" s="118"/>
      <c r="H890" s="118"/>
      <c r="I890" s="119"/>
      <c r="J890" s="118"/>
      <c r="K890" s="120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 ht="13.5" customHeight="1">
      <c r="A891" s="118"/>
      <c r="B891" s="118"/>
      <c r="C891" s="118"/>
      <c r="D891" s="118"/>
      <c r="E891" s="118"/>
      <c r="F891" s="118"/>
      <c r="G891" s="118"/>
      <c r="H891" s="118"/>
      <c r="I891" s="119"/>
      <c r="J891" s="118"/>
      <c r="K891" s="120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 ht="13.5" customHeight="1">
      <c r="A892" s="118"/>
      <c r="B892" s="118"/>
      <c r="C892" s="118"/>
      <c r="D892" s="118"/>
      <c r="E892" s="118"/>
      <c r="F892" s="118"/>
      <c r="G892" s="118"/>
      <c r="H892" s="118"/>
      <c r="I892" s="119"/>
      <c r="J892" s="118"/>
      <c r="K892" s="120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 ht="13.5" customHeight="1">
      <c r="A893" s="118"/>
      <c r="B893" s="118"/>
      <c r="C893" s="118"/>
      <c r="D893" s="118"/>
      <c r="E893" s="118"/>
      <c r="F893" s="118"/>
      <c r="G893" s="118"/>
      <c r="H893" s="118"/>
      <c r="I893" s="119"/>
      <c r="J893" s="118"/>
      <c r="K893" s="120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 ht="13.5" customHeight="1">
      <c r="A894" s="118"/>
      <c r="B894" s="118"/>
      <c r="C894" s="118"/>
      <c r="D894" s="118"/>
      <c r="E894" s="118"/>
      <c r="F894" s="118"/>
      <c r="G894" s="118"/>
      <c r="H894" s="118"/>
      <c r="I894" s="119"/>
      <c r="J894" s="118"/>
      <c r="K894" s="120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 ht="13.5" customHeight="1">
      <c r="A895" s="118"/>
      <c r="B895" s="118"/>
      <c r="C895" s="118"/>
      <c r="D895" s="118"/>
      <c r="E895" s="118"/>
      <c r="F895" s="118"/>
      <c r="G895" s="118"/>
      <c r="H895" s="118"/>
      <c r="I895" s="119"/>
      <c r="J895" s="118"/>
      <c r="K895" s="120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 ht="13.5" customHeight="1">
      <c r="A896" s="118"/>
      <c r="B896" s="118"/>
      <c r="C896" s="118"/>
      <c r="D896" s="118"/>
      <c r="E896" s="118"/>
      <c r="F896" s="118"/>
      <c r="G896" s="118"/>
      <c r="H896" s="118"/>
      <c r="I896" s="119"/>
      <c r="J896" s="118"/>
      <c r="K896" s="120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 ht="13.5" customHeight="1">
      <c r="A897" s="118"/>
      <c r="B897" s="118"/>
      <c r="C897" s="118"/>
      <c r="D897" s="118"/>
      <c r="E897" s="118"/>
      <c r="F897" s="118"/>
      <c r="G897" s="118"/>
      <c r="H897" s="118"/>
      <c r="I897" s="119"/>
      <c r="J897" s="118"/>
      <c r="K897" s="120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 ht="13.5" customHeight="1">
      <c r="A898" s="118"/>
      <c r="B898" s="118"/>
      <c r="C898" s="118"/>
      <c r="D898" s="118"/>
      <c r="E898" s="118"/>
      <c r="F898" s="118"/>
      <c r="G898" s="118"/>
      <c r="H898" s="118"/>
      <c r="I898" s="119"/>
      <c r="J898" s="118"/>
      <c r="K898" s="120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 ht="13.5" customHeight="1">
      <c r="A899" s="118"/>
      <c r="B899" s="118"/>
      <c r="C899" s="118"/>
      <c r="D899" s="118"/>
      <c r="E899" s="118"/>
      <c r="F899" s="118"/>
      <c r="G899" s="118"/>
      <c r="H899" s="118"/>
      <c r="I899" s="119"/>
      <c r="J899" s="118"/>
      <c r="K899" s="120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 ht="13.5" customHeight="1">
      <c r="A900" s="118"/>
      <c r="B900" s="118"/>
      <c r="C900" s="118"/>
      <c r="D900" s="118"/>
      <c r="E900" s="118"/>
      <c r="F900" s="118"/>
      <c r="G900" s="118"/>
      <c r="H900" s="118"/>
      <c r="I900" s="119"/>
      <c r="J900" s="118"/>
      <c r="K900" s="120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 ht="13.5" customHeight="1">
      <c r="A901" s="118"/>
      <c r="B901" s="118"/>
      <c r="C901" s="118"/>
      <c r="D901" s="118"/>
      <c r="E901" s="118"/>
      <c r="F901" s="118"/>
      <c r="G901" s="118"/>
      <c r="H901" s="118"/>
      <c r="I901" s="119"/>
      <c r="J901" s="118"/>
      <c r="K901" s="120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 ht="13.5" customHeight="1">
      <c r="A902" s="118"/>
      <c r="B902" s="118"/>
      <c r="C902" s="118"/>
      <c r="D902" s="118"/>
      <c r="E902" s="118"/>
      <c r="F902" s="118"/>
      <c r="G902" s="118"/>
      <c r="H902" s="118"/>
      <c r="I902" s="119"/>
      <c r="J902" s="118"/>
      <c r="K902" s="120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 ht="13.5" customHeight="1">
      <c r="A903" s="118"/>
      <c r="B903" s="118"/>
      <c r="C903" s="118"/>
      <c r="D903" s="118"/>
      <c r="E903" s="118"/>
      <c r="F903" s="118"/>
      <c r="G903" s="118"/>
      <c r="H903" s="118"/>
      <c r="I903" s="119"/>
      <c r="J903" s="118"/>
      <c r="K903" s="120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 ht="13.5" customHeight="1">
      <c r="A904" s="118"/>
      <c r="B904" s="118"/>
      <c r="C904" s="118"/>
      <c r="D904" s="118"/>
      <c r="E904" s="118"/>
      <c r="F904" s="118"/>
      <c r="G904" s="118"/>
      <c r="H904" s="118"/>
      <c r="I904" s="119"/>
      <c r="J904" s="118"/>
      <c r="K904" s="120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 ht="13.5" customHeight="1">
      <c r="A905" s="118"/>
      <c r="B905" s="118"/>
      <c r="C905" s="118"/>
      <c r="D905" s="118"/>
      <c r="E905" s="118"/>
      <c r="F905" s="118"/>
      <c r="G905" s="118"/>
      <c r="H905" s="118"/>
      <c r="I905" s="119"/>
      <c r="J905" s="118"/>
      <c r="K905" s="120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 ht="13.5" customHeight="1">
      <c r="A906" s="118"/>
      <c r="B906" s="118"/>
      <c r="C906" s="118"/>
      <c r="D906" s="118"/>
      <c r="E906" s="118"/>
      <c r="F906" s="118"/>
      <c r="G906" s="118"/>
      <c r="H906" s="118"/>
      <c r="I906" s="119"/>
      <c r="J906" s="118"/>
      <c r="K906" s="120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 ht="13.5" customHeight="1">
      <c r="A907" s="118"/>
      <c r="B907" s="118"/>
      <c r="C907" s="118"/>
      <c r="D907" s="118"/>
      <c r="E907" s="118"/>
      <c r="F907" s="118"/>
      <c r="G907" s="118"/>
      <c r="H907" s="118"/>
      <c r="I907" s="119"/>
      <c r="J907" s="118"/>
      <c r="K907" s="120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 ht="13.5" customHeight="1">
      <c r="A908" s="118"/>
      <c r="B908" s="118"/>
      <c r="C908" s="118"/>
      <c r="D908" s="118"/>
      <c r="E908" s="118"/>
      <c r="F908" s="118"/>
      <c r="G908" s="118"/>
      <c r="H908" s="118"/>
      <c r="I908" s="119"/>
      <c r="J908" s="118"/>
      <c r="K908" s="120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 ht="13.5" customHeight="1">
      <c r="A909" s="118"/>
      <c r="B909" s="118"/>
      <c r="C909" s="118"/>
      <c r="D909" s="118"/>
      <c r="E909" s="118"/>
      <c r="F909" s="118"/>
      <c r="G909" s="118"/>
      <c r="H909" s="118"/>
      <c r="I909" s="119"/>
      <c r="J909" s="118"/>
      <c r="K909" s="120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 ht="13.5" customHeight="1">
      <c r="A910" s="118"/>
      <c r="B910" s="118"/>
      <c r="C910" s="118"/>
      <c r="D910" s="118"/>
      <c r="E910" s="118"/>
      <c r="F910" s="118"/>
      <c r="G910" s="118"/>
      <c r="H910" s="118"/>
      <c r="I910" s="119"/>
      <c r="J910" s="118"/>
      <c r="K910" s="120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 ht="13.5" customHeight="1">
      <c r="A911" s="118"/>
      <c r="B911" s="118"/>
      <c r="C911" s="118"/>
      <c r="D911" s="118"/>
      <c r="E911" s="118"/>
      <c r="F911" s="118"/>
      <c r="G911" s="118"/>
      <c r="H911" s="118"/>
      <c r="I911" s="119"/>
      <c r="J911" s="118"/>
      <c r="K911" s="120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 ht="13.5" customHeight="1">
      <c r="A912" s="118"/>
      <c r="B912" s="118"/>
      <c r="C912" s="118"/>
      <c r="D912" s="118"/>
      <c r="E912" s="118"/>
      <c r="F912" s="118"/>
      <c r="G912" s="118"/>
      <c r="H912" s="118"/>
      <c r="I912" s="119"/>
      <c r="J912" s="118"/>
      <c r="K912" s="120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 ht="13.5" customHeight="1">
      <c r="A913" s="118"/>
      <c r="B913" s="118"/>
      <c r="C913" s="118"/>
      <c r="D913" s="118"/>
      <c r="E913" s="118"/>
      <c r="F913" s="118"/>
      <c r="G913" s="118"/>
      <c r="H913" s="118"/>
      <c r="I913" s="119"/>
      <c r="J913" s="118"/>
      <c r="K913" s="120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 ht="13.5" customHeight="1">
      <c r="A914" s="118"/>
      <c r="B914" s="118"/>
      <c r="C914" s="118"/>
      <c r="D914" s="118"/>
      <c r="E914" s="118"/>
      <c r="F914" s="118"/>
      <c r="G914" s="118"/>
      <c r="H914" s="118"/>
      <c r="I914" s="119"/>
      <c r="J914" s="118"/>
      <c r="K914" s="120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 ht="13.5" customHeight="1">
      <c r="A915" s="118"/>
      <c r="B915" s="118"/>
      <c r="C915" s="118"/>
      <c r="D915" s="118"/>
      <c r="E915" s="118"/>
      <c r="F915" s="118"/>
      <c r="G915" s="118"/>
      <c r="H915" s="118"/>
      <c r="I915" s="119"/>
      <c r="J915" s="118"/>
      <c r="K915" s="120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 ht="13.5" customHeight="1">
      <c r="A916" s="118"/>
      <c r="B916" s="118"/>
      <c r="C916" s="118"/>
      <c r="D916" s="118"/>
      <c r="E916" s="118"/>
      <c r="F916" s="118"/>
      <c r="G916" s="118"/>
      <c r="H916" s="118"/>
      <c r="I916" s="119"/>
      <c r="J916" s="118"/>
      <c r="K916" s="120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 ht="13.5" customHeight="1">
      <c r="A917" s="118"/>
      <c r="B917" s="118"/>
      <c r="C917" s="118"/>
      <c r="D917" s="118"/>
      <c r="E917" s="118"/>
      <c r="F917" s="118"/>
      <c r="G917" s="118"/>
      <c r="H917" s="118"/>
      <c r="I917" s="119"/>
      <c r="J917" s="118"/>
      <c r="K917" s="120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 ht="13.5" customHeight="1">
      <c r="A918" s="118"/>
      <c r="B918" s="118"/>
      <c r="C918" s="118"/>
      <c r="D918" s="118"/>
      <c r="E918" s="118"/>
      <c r="F918" s="118"/>
      <c r="G918" s="118"/>
      <c r="H918" s="118"/>
      <c r="I918" s="119"/>
      <c r="J918" s="118"/>
      <c r="K918" s="120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 ht="13.5" customHeight="1">
      <c r="A919" s="118"/>
      <c r="B919" s="118"/>
      <c r="C919" s="118"/>
      <c r="D919" s="118"/>
      <c r="E919" s="118"/>
      <c r="F919" s="118"/>
      <c r="G919" s="118"/>
      <c r="H919" s="118"/>
      <c r="I919" s="119"/>
      <c r="J919" s="118"/>
      <c r="K919" s="120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 ht="13.5" customHeight="1">
      <c r="A920" s="118"/>
      <c r="B920" s="118"/>
      <c r="C920" s="118"/>
      <c r="D920" s="118"/>
      <c r="E920" s="118"/>
      <c r="F920" s="118"/>
      <c r="G920" s="118"/>
      <c r="H920" s="118"/>
      <c r="I920" s="119"/>
      <c r="J920" s="118"/>
      <c r="K920" s="120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 ht="13.5" customHeight="1">
      <c r="A921" s="118"/>
      <c r="B921" s="118"/>
      <c r="C921" s="118"/>
      <c r="D921" s="118"/>
      <c r="E921" s="118"/>
      <c r="F921" s="118"/>
      <c r="G921" s="118"/>
      <c r="H921" s="118"/>
      <c r="I921" s="119"/>
      <c r="J921" s="118"/>
      <c r="K921" s="120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 ht="13.5" customHeight="1">
      <c r="A922" s="118"/>
      <c r="B922" s="118"/>
      <c r="C922" s="118"/>
      <c r="D922" s="118"/>
      <c r="E922" s="118"/>
      <c r="F922" s="118"/>
      <c r="G922" s="118"/>
      <c r="H922" s="118"/>
      <c r="I922" s="119"/>
      <c r="J922" s="118"/>
      <c r="K922" s="120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 ht="13.5" customHeight="1">
      <c r="A923" s="118"/>
      <c r="B923" s="118"/>
      <c r="C923" s="118"/>
      <c r="D923" s="118"/>
      <c r="E923" s="118"/>
      <c r="F923" s="118"/>
      <c r="G923" s="118"/>
      <c r="H923" s="118"/>
      <c r="I923" s="119"/>
      <c r="J923" s="118"/>
      <c r="K923" s="120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 ht="13.5" customHeight="1">
      <c r="A924" s="118"/>
      <c r="B924" s="118"/>
      <c r="C924" s="118"/>
      <c r="D924" s="118"/>
      <c r="E924" s="118"/>
      <c r="F924" s="118"/>
      <c r="G924" s="118"/>
      <c r="H924" s="118"/>
      <c r="I924" s="119"/>
      <c r="J924" s="118"/>
      <c r="K924" s="120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 ht="13.5" customHeight="1">
      <c r="A925" s="118"/>
      <c r="B925" s="118"/>
      <c r="C925" s="118"/>
      <c r="D925" s="118"/>
      <c r="E925" s="118"/>
      <c r="F925" s="118"/>
      <c r="G925" s="118"/>
      <c r="H925" s="118"/>
      <c r="I925" s="119"/>
      <c r="J925" s="118"/>
      <c r="K925" s="120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 ht="13.5" customHeight="1">
      <c r="A926" s="118"/>
      <c r="B926" s="118"/>
      <c r="C926" s="118"/>
      <c r="D926" s="118"/>
      <c r="E926" s="118"/>
      <c r="F926" s="118"/>
      <c r="G926" s="118"/>
      <c r="H926" s="118"/>
      <c r="I926" s="119"/>
      <c r="J926" s="118"/>
      <c r="K926" s="120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 ht="13.5" customHeight="1">
      <c r="A927" s="118"/>
      <c r="B927" s="118"/>
      <c r="C927" s="118"/>
      <c r="D927" s="118"/>
      <c r="E927" s="118"/>
      <c r="F927" s="118"/>
      <c r="G927" s="118"/>
      <c r="H927" s="118"/>
      <c r="I927" s="119"/>
      <c r="J927" s="118"/>
      <c r="K927" s="120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 ht="13.5" customHeight="1">
      <c r="A928" s="118"/>
      <c r="B928" s="118"/>
      <c r="C928" s="118"/>
      <c r="D928" s="118"/>
      <c r="E928" s="118"/>
      <c r="F928" s="118"/>
      <c r="G928" s="118"/>
      <c r="H928" s="118"/>
      <c r="I928" s="119"/>
      <c r="J928" s="118"/>
      <c r="K928" s="120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 ht="13.5" customHeight="1">
      <c r="A929" s="118"/>
      <c r="B929" s="118"/>
      <c r="C929" s="118"/>
      <c r="D929" s="118"/>
      <c r="E929" s="118"/>
      <c r="F929" s="118"/>
      <c r="G929" s="118"/>
      <c r="H929" s="118"/>
      <c r="I929" s="119"/>
      <c r="J929" s="118"/>
      <c r="K929" s="120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 ht="13.5" customHeight="1">
      <c r="A930" s="118"/>
      <c r="B930" s="118"/>
      <c r="C930" s="118"/>
      <c r="D930" s="118"/>
      <c r="E930" s="118"/>
      <c r="F930" s="118"/>
      <c r="G930" s="118"/>
      <c r="H930" s="118"/>
      <c r="I930" s="119"/>
      <c r="J930" s="118"/>
      <c r="K930" s="120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 ht="13.5" customHeight="1">
      <c r="A931" s="118"/>
      <c r="B931" s="118"/>
      <c r="C931" s="118"/>
      <c r="D931" s="118"/>
      <c r="E931" s="118"/>
      <c r="F931" s="118"/>
      <c r="G931" s="118"/>
      <c r="H931" s="118"/>
      <c r="I931" s="119"/>
      <c r="J931" s="118"/>
      <c r="K931" s="120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 ht="13.5" customHeight="1">
      <c r="A932" s="118"/>
      <c r="B932" s="118"/>
      <c r="C932" s="118"/>
      <c r="D932" s="118"/>
      <c r="E932" s="118"/>
      <c r="F932" s="118"/>
      <c r="G932" s="118"/>
      <c r="H932" s="118"/>
      <c r="I932" s="119"/>
      <c r="J932" s="118"/>
      <c r="K932" s="120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 ht="13.5" customHeight="1">
      <c r="A933" s="118"/>
      <c r="B933" s="118"/>
      <c r="C933" s="118"/>
      <c r="D933" s="118"/>
      <c r="E933" s="118"/>
      <c r="F933" s="118"/>
      <c r="G933" s="118"/>
      <c r="H933" s="118"/>
      <c r="I933" s="119"/>
      <c r="J933" s="118"/>
      <c r="K933" s="120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 ht="13.5" customHeight="1">
      <c r="A934" s="118"/>
      <c r="B934" s="118"/>
      <c r="C934" s="118"/>
      <c r="D934" s="118"/>
      <c r="E934" s="118"/>
      <c r="F934" s="118"/>
      <c r="G934" s="118"/>
      <c r="H934" s="118"/>
      <c r="I934" s="119"/>
      <c r="J934" s="118"/>
      <c r="K934" s="120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 ht="13.5" customHeight="1">
      <c r="A935" s="118"/>
      <c r="B935" s="118"/>
      <c r="C935" s="118"/>
      <c r="D935" s="118"/>
      <c r="E935" s="118"/>
      <c r="F935" s="118"/>
      <c r="G935" s="118"/>
      <c r="H935" s="118"/>
      <c r="I935" s="119"/>
      <c r="J935" s="118"/>
      <c r="K935" s="120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 ht="13.5" customHeight="1">
      <c r="A936" s="118"/>
      <c r="B936" s="118"/>
      <c r="C936" s="118"/>
      <c r="D936" s="118"/>
      <c r="E936" s="118"/>
      <c r="F936" s="118"/>
      <c r="G936" s="118"/>
      <c r="H936" s="118"/>
      <c r="I936" s="119"/>
      <c r="J936" s="118"/>
      <c r="K936" s="120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 ht="13.5" customHeight="1">
      <c r="A937" s="118"/>
      <c r="B937" s="118"/>
      <c r="C937" s="118"/>
      <c r="D937" s="118"/>
      <c r="E937" s="118"/>
      <c r="F937" s="118"/>
      <c r="G937" s="118"/>
      <c r="H937" s="118"/>
      <c r="I937" s="119"/>
      <c r="J937" s="118"/>
      <c r="K937" s="120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 ht="13.5" customHeight="1">
      <c r="A938" s="118"/>
      <c r="B938" s="118"/>
      <c r="C938" s="118"/>
      <c r="D938" s="118"/>
      <c r="E938" s="118"/>
      <c r="F938" s="118"/>
      <c r="G938" s="118"/>
      <c r="H938" s="118"/>
      <c r="I938" s="119"/>
      <c r="J938" s="118"/>
      <c r="K938" s="120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 ht="13.5" customHeight="1">
      <c r="A939" s="118"/>
      <c r="B939" s="118"/>
      <c r="C939" s="118"/>
      <c r="D939" s="118"/>
      <c r="E939" s="118"/>
      <c r="F939" s="118"/>
      <c r="G939" s="118"/>
      <c r="H939" s="118"/>
      <c r="I939" s="119"/>
      <c r="J939" s="118"/>
      <c r="K939" s="120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 ht="13.5" customHeight="1">
      <c r="A940" s="118"/>
      <c r="B940" s="118"/>
      <c r="C940" s="118"/>
      <c r="D940" s="118"/>
      <c r="E940" s="118"/>
      <c r="F940" s="118"/>
      <c r="G940" s="118"/>
      <c r="H940" s="118"/>
      <c r="I940" s="119"/>
      <c r="J940" s="118"/>
      <c r="K940" s="120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 ht="13.5" customHeight="1">
      <c r="A941" s="118"/>
      <c r="B941" s="118"/>
      <c r="C941" s="118"/>
      <c r="D941" s="118"/>
      <c r="E941" s="118"/>
      <c r="F941" s="118"/>
      <c r="G941" s="118"/>
      <c r="H941" s="118"/>
      <c r="I941" s="119"/>
      <c r="J941" s="118"/>
      <c r="K941" s="120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 ht="13.5" customHeight="1">
      <c r="A942" s="118"/>
      <c r="B942" s="118"/>
      <c r="C942" s="118"/>
      <c r="D942" s="118"/>
      <c r="E942" s="118"/>
      <c r="F942" s="118"/>
      <c r="G942" s="118"/>
      <c r="H942" s="118"/>
      <c r="I942" s="119"/>
      <c r="J942" s="118"/>
      <c r="K942" s="120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 ht="13.5" customHeight="1">
      <c r="A943" s="118"/>
      <c r="B943" s="118"/>
      <c r="C943" s="118"/>
      <c r="D943" s="118"/>
      <c r="E943" s="118"/>
      <c r="F943" s="118"/>
      <c r="G943" s="118"/>
      <c r="H943" s="118"/>
      <c r="I943" s="119"/>
      <c r="J943" s="118"/>
      <c r="K943" s="120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 ht="13.5" customHeight="1">
      <c r="A944" s="118"/>
      <c r="B944" s="118"/>
      <c r="C944" s="118"/>
      <c r="D944" s="118"/>
      <c r="E944" s="118"/>
      <c r="F944" s="118"/>
      <c r="G944" s="118"/>
      <c r="H944" s="118"/>
      <c r="I944" s="119"/>
      <c r="J944" s="118"/>
      <c r="K944" s="120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 ht="13.5" customHeight="1">
      <c r="A945" s="118"/>
      <c r="B945" s="118"/>
      <c r="C945" s="118"/>
      <c r="D945" s="118"/>
      <c r="E945" s="118"/>
      <c r="F945" s="118"/>
      <c r="G945" s="118"/>
      <c r="H945" s="118"/>
      <c r="I945" s="119"/>
      <c r="J945" s="118"/>
      <c r="K945" s="120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 ht="13.5" customHeight="1">
      <c r="A946" s="118"/>
      <c r="B946" s="118"/>
      <c r="C946" s="118"/>
      <c r="D946" s="118"/>
      <c r="E946" s="118"/>
      <c r="F946" s="118"/>
      <c r="G946" s="118"/>
      <c r="H946" s="118"/>
      <c r="I946" s="119"/>
      <c r="J946" s="118"/>
      <c r="K946" s="120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 ht="13.5" customHeight="1">
      <c r="A947" s="118"/>
      <c r="B947" s="118"/>
      <c r="C947" s="118"/>
      <c r="D947" s="118"/>
      <c r="E947" s="118"/>
      <c r="F947" s="118"/>
      <c r="G947" s="118"/>
      <c r="H947" s="118"/>
      <c r="I947" s="119"/>
      <c r="J947" s="118"/>
      <c r="K947" s="120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 ht="13.5" customHeight="1">
      <c r="A948" s="118"/>
      <c r="B948" s="118"/>
      <c r="C948" s="118"/>
      <c r="D948" s="118"/>
      <c r="E948" s="118"/>
      <c r="F948" s="118"/>
      <c r="G948" s="118"/>
      <c r="H948" s="118"/>
      <c r="I948" s="119"/>
      <c r="J948" s="118"/>
      <c r="K948" s="120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 ht="13.5" customHeight="1">
      <c r="A949" s="118"/>
      <c r="B949" s="118"/>
      <c r="C949" s="118"/>
      <c r="D949" s="118"/>
      <c r="E949" s="118"/>
      <c r="F949" s="118"/>
      <c r="G949" s="118"/>
      <c r="H949" s="118"/>
      <c r="I949" s="119"/>
      <c r="J949" s="118"/>
      <c r="K949" s="120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 ht="13.5" customHeight="1">
      <c r="A950" s="118"/>
      <c r="B950" s="118"/>
      <c r="C950" s="118"/>
      <c r="D950" s="118"/>
      <c r="E950" s="118"/>
      <c r="F950" s="118"/>
      <c r="G950" s="118"/>
      <c r="H950" s="118"/>
      <c r="I950" s="119"/>
      <c r="J950" s="118"/>
      <c r="K950" s="120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 ht="13.5" customHeight="1">
      <c r="A951" s="118"/>
      <c r="B951" s="118"/>
      <c r="C951" s="118"/>
      <c r="D951" s="118"/>
      <c r="E951" s="118"/>
      <c r="F951" s="118"/>
      <c r="G951" s="118"/>
      <c r="H951" s="118"/>
      <c r="I951" s="119"/>
      <c r="J951" s="118"/>
      <c r="K951" s="120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 ht="13.5" customHeight="1">
      <c r="A952" s="118"/>
      <c r="B952" s="118"/>
      <c r="C952" s="118"/>
      <c r="D952" s="118"/>
      <c r="E952" s="118"/>
      <c r="F952" s="118"/>
      <c r="G952" s="118"/>
      <c r="H952" s="118"/>
      <c r="I952" s="119"/>
      <c r="J952" s="118"/>
      <c r="K952" s="120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 ht="13.5" customHeight="1">
      <c r="A953" s="118"/>
      <c r="B953" s="118"/>
      <c r="C953" s="118"/>
      <c r="D953" s="118"/>
      <c r="E953" s="118"/>
      <c r="F953" s="118"/>
      <c r="G953" s="118"/>
      <c r="H953" s="118"/>
      <c r="I953" s="119"/>
      <c r="J953" s="118"/>
      <c r="K953" s="120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 ht="13.5" customHeight="1">
      <c r="A954" s="118"/>
      <c r="B954" s="118"/>
      <c r="C954" s="118"/>
      <c r="D954" s="118"/>
      <c r="E954" s="118"/>
      <c r="F954" s="118"/>
      <c r="G954" s="118"/>
      <c r="H954" s="118"/>
      <c r="I954" s="119"/>
      <c r="J954" s="118"/>
      <c r="K954" s="120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 ht="13.5" customHeight="1">
      <c r="A955" s="118"/>
      <c r="B955" s="118"/>
      <c r="C955" s="118"/>
      <c r="D955" s="118"/>
      <c r="E955" s="118"/>
      <c r="F955" s="118"/>
      <c r="G955" s="118"/>
      <c r="H955" s="118"/>
      <c r="I955" s="119"/>
      <c r="J955" s="118"/>
      <c r="K955" s="120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 ht="13.5" customHeight="1">
      <c r="A956" s="118"/>
      <c r="B956" s="118"/>
      <c r="C956" s="118"/>
      <c r="D956" s="118"/>
      <c r="E956" s="118"/>
      <c r="F956" s="118"/>
      <c r="G956" s="118"/>
      <c r="H956" s="118"/>
      <c r="I956" s="119"/>
      <c r="J956" s="118"/>
      <c r="K956" s="120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 ht="13.5" customHeight="1">
      <c r="A957" s="118"/>
      <c r="B957" s="118"/>
      <c r="C957" s="118"/>
      <c r="D957" s="118"/>
      <c r="E957" s="118"/>
      <c r="F957" s="118"/>
      <c r="G957" s="118"/>
      <c r="H957" s="118"/>
      <c r="I957" s="119"/>
      <c r="J957" s="118"/>
      <c r="K957" s="120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 ht="13.5" customHeight="1">
      <c r="A958" s="118"/>
      <c r="B958" s="118"/>
      <c r="C958" s="118"/>
      <c r="D958" s="118"/>
      <c r="E958" s="118"/>
      <c r="F958" s="118"/>
      <c r="G958" s="118"/>
      <c r="H958" s="118"/>
      <c r="I958" s="119"/>
      <c r="J958" s="118"/>
      <c r="K958" s="120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 ht="13.5" customHeight="1">
      <c r="A959" s="118"/>
      <c r="B959" s="118"/>
      <c r="C959" s="118"/>
      <c r="D959" s="118"/>
      <c r="E959" s="118"/>
      <c r="F959" s="118"/>
      <c r="G959" s="118"/>
      <c r="H959" s="118"/>
      <c r="I959" s="119"/>
      <c r="J959" s="118"/>
      <c r="K959" s="120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 ht="13.5" customHeight="1">
      <c r="A960" s="118"/>
      <c r="B960" s="118"/>
      <c r="C960" s="118"/>
      <c r="D960" s="118"/>
      <c r="E960" s="118"/>
      <c r="F960" s="118"/>
      <c r="G960" s="118"/>
      <c r="H960" s="118"/>
      <c r="I960" s="119"/>
      <c r="J960" s="118"/>
      <c r="K960" s="120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 ht="13.5" customHeight="1">
      <c r="A961" s="118"/>
      <c r="B961" s="118"/>
      <c r="C961" s="118"/>
      <c r="D961" s="118"/>
      <c r="E961" s="118"/>
      <c r="F961" s="118"/>
      <c r="G961" s="118"/>
      <c r="H961" s="118"/>
      <c r="I961" s="119"/>
      <c r="J961" s="118"/>
      <c r="K961" s="120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 ht="13.5" customHeight="1">
      <c r="A962" s="118"/>
      <c r="B962" s="118"/>
      <c r="C962" s="118"/>
      <c r="D962" s="118"/>
      <c r="E962" s="118"/>
      <c r="F962" s="118"/>
      <c r="G962" s="118"/>
      <c r="H962" s="118"/>
      <c r="I962" s="119"/>
      <c r="J962" s="118"/>
      <c r="K962" s="120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 ht="13.5" customHeight="1">
      <c r="A963" s="118"/>
      <c r="B963" s="118"/>
      <c r="C963" s="118"/>
      <c r="D963" s="118"/>
      <c r="E963" s="118"/>
      <c r="F963" s="118"/>
      <c r="G963" s="118"/>
      <c r="H963" s="118"/>
      <c r="I963" s="119"/>
      <c r="J963" s="118"/>
      <c r="K963" s="120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 ht="13.5" customHeight="1">
      <c r="A964" s="118"/>
      <c r="B964" s="118"/>
      <c r="C964" s="118"/>
      <c r="D964" s="118"/>
      <c r="E964" s="118"/>
      <c r="F964" s="118"/>
      <c r="G964" s="118"/>
      <c r="H964" s="118"/>
      <c r="I964" s="119"/>
      <c r="J964" s="118"/>
      <c r="K964" s="120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 ht="13.5" customHeight="1">
      <c r="A965" s="118"/>
      <c r="B965" s="118"/>
      <c r="C965" s="118"/>
      <c r="D965" s="118"/>
      <c r="E965" s="118"/>
      <c r="F965" s="118"/>
      <c r="G965" s="118"/>
      <c r="H965" s="118"/>
      <c r="I965" s="119"/>
      <c r="J965" s="118"/>
      <c r="K965" s="120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 ht="13.5" customHeight="1">
      <c r="A966" s="118"/>
      <c r="B966" s="118"/>
      <c r="C966" s="118"/>
      <c r="D966" s="118"/>
      <c r="E966" s="118"/>
      <c r="F966" s="118"/>
      <c r="G966" s="118"/>
      <c r="H966" s="118"/>
      <c r="I966" s="119"/>
      <c r="J966" s="118"/>
      <c r="K966" s="120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 ht="13.5" customHeight="1">
      <c r="A967" s="118"/>
      <c r="B967" s="118"/>
      <c r="C967" s="118"/>
      <c r="D967" s="118"/>
      <c r="E967" s="118"/>
      <c r="F967" s="118"/>
      <c r="G967" s="118"/>
      <c r="H967" s="118"/>
      <c r="I967" s="119"/>
      <c r="J967" s="118"/>
      <c r="K967" s="120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 ht="13.5" customHeight="1">
      <c r="A968" s="118"/>
      <c r="B968" s="118"/>
      <c r="C968" s="118"/>
      <c r="D968" s="118"/>
      <c r="E968" s="118"/>
      <c r="F968" s="118"/>
      <c r="G968" s="118"/>
      <c r="H968" s="118"/>
      <c r="I968" s="119"/>
      <c r="J968" s="118"/>
      <c r="K968" s="120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 ht="13.5" customHeight="1">
      <c r="A969" s="118"/>
      <c r="B969" s="118"/>
      <c r="C969" s="118"/>
      <c r="D969" s="118"/>
      <c r="E969" s="118"/>
      <c r="F969" s="118"/>
      <c r="G969" s="118"/>
      <c r="H969" s="118"/>
      <c r="I969" s="119"/>
      <c r="J969" s="118"/>
      <c r="K969" s="120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 ht="13.5" customHeight="1">
      <c r="A970" s="118"/>
      <c r="B970" s="118"/>
      <c r="C970" s="118"/>
      <c r="D970" s="118"/>
      <c r="E970" s="118"/>
      <c r="F970" s="118"/>
      <c r="G970" s="118"/>
      <c r="H970" s="118"/>
      <c r="I970" s="119"/>
      <c r="J970" s="118"/>
      <c r="K970" s="120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 ht="13.5" customHeight="1">
      <c r="A971" s="118"/>
      <c r="B971" s="118"/>
      <c r="C971" s="118"/>
      <c r="D971" s="118"/>
      <c r="E971" s="118"/>
      <c r="F971" s="118"/>
      <c r="G971" s="118"/>
      <c r="H971" s="118"/>
      <c r="I971" s="119"/>
      <c r="J971" s="118"/>
      <c r="K971" s="120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 ht="13.5" customHeight="1">
      <c r="A972" s="118"/>
      <c r="B972" s="118"/>
      <c r="C972" s="118"/>
      <c r="D972" s="118"/>
      <c r="E972" s="118"/>
      <c r="F972" s="118"/>
      <c r="G972" s="118"/>
      <c r="H972" s="118"/>
      <c r="I972" s="119"/>
      <c r="J972" s="118"/>
      <c r="K972" s="120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 ht="13.5" customHeight="1">
      <c r="A973" s="118"/>
      <c r="B973" s="118"/>
      <c r="C973" s="118"/>
      <c r="D973" s="118"/>
      <c r="E973" s="118"/>
      <c r="F973" s="118"/>
      <c r="G973" s="118"/>
      <c r="H973" s="118"/>
      <c r="I973" s="119"/>
      <c r="J973" s="118"/>
      <c r="K973" s="120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 ht="13.5" customHeight="1">
      <c r="A974" s="118"/>
      <c r="B974" s="118"/>
      <c r="C974" s="118"/>
      <c r="D974" s="118"/>
      <c r="E974" s="118"/>
      <c r="F974" s="118"/>
      <c r="G974" s="118"/>
      <c r="H974" s="118"/>
      <c r="I974" s="119"/>
      <c r="J974" s="118"/>
      <c r="K974" s="120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 ht="13.5" customHeight="1">
      <c r="A975" s="118"/>
      <c r="B975" s="118"/>
      <c r="C975" s="118"/>
      <c r="D975" s="118"/>
      <c r="E975" s="118"/>
      <c r="F975" s="118"/>
      <c r="G975" s="118"/>
      <c r="H975" s="118"/>
      <c r="I975" s="119"/>
      <c r="J975" s="118"/>
      <c r="K975" s="120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 ht="13.5" customHeight="1">
      <c r="A976" s="118"/>
      <c r="B976" s="118"/>
      <c r="C976" s="118"/>
      <c r="D976" s="118"/>
      <c r="E976" s="118"/>
      <c r="F976" s="118"/>
      <c r="G976" s="118"/>
      <c r="H976" s="118"/>
      <c r="I976" s="119"/>
      <c r="J976" s="118"/>
      <c r="K976" s="120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 ht="13.5" customHeight="1">
      <c r="A977" s="118"/>
      <c r="B977" s="118"/>
      <c r="C977" s="118"/>
      <c r="D977" s="118"/>
      <c r="E977" s="118"/>
      <c r="F977" s="118"/>
      <c r="G977" s="118"/>
      <c r="H977" s="118"/>
      <c r="I977" s="119"/>
      <c r="J977" s="118"/>
      <c r="K977" s="120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 ht="13.5" customHeight="1">
      <c r="A978" s="118"/>
      <c r="B978" s="118"/>
      <c r="C978" s="118"/>
      <c r="D978" s="118"/>
      <c r="E978" s="118"/>
      <c r="F978" s="118"/>
      <c r="G978" s="118"/>
      <c r="H978" s="118"/>
      <c r="I978" s="119"/>
      <c r="J978" s="118"/>
      <c r="K978" s="120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 ht="13.5" customHeight="1">
      <c r="A979" s="118"/>
      <c r="B979" s="118"/>
      <c r="C979" s="118"/>
      <c r="D979" s="118"/>
      <c r="E979" s="118"/>
      <c r="F979" s="118"/>
      <c r="G979" s="118"/>
      <c r="H979" s="118"/>
      <c r="I979" s="119"/>
      <c r="J979" s="118"/>
      <c r="K979" s="120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 ht="13.5" customHeight="1">
      <c r="A980" s="118"/>
      <c r="B980" s="118"/>
      <c r="C980" s="118"/>
      <c r="D980" s="118"/>
      <c r="E980" s="118"/>
      <c r="F980" s="118"/>
      <c r="G980" s="118"/>
      <c r="H980" s="118"/>
      <c r="I980" s="119"/>
      <c r="J980" s="118"/>
      <c r="K980" s="120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 ht="13.5" customHeight="1">
      <c r="A981" s="118"/>
      <c r="B981" s="118"/>
      <c r="C981" s="118"/>
      <c r="D981" s="118"/>
      <c r="E981" s="118"/>
      <c r="F981" s="118"/>
      <c r="G981" s="118"/>
      <c r="H981" s="118"/>
      <c r="I981" s="119"/>
      <c r="J981" s="118"/>
      <c r="K981" s="120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 ht="13.5" customHeight="1">
      <c r="A982" s="118"/>
      <c r="B982" s="118"/>
      <c r="C982" s="118"/>
      <c r="D982" s="118"/>
      <c r="E982" s="118"/>
      <c r="F982" s="118"/>
      <c r="G982" s="118"/>
      <c r="H982" s="118"/>
      <c r="I982" s="119"/>
      <c r="J982" s="118"/>
      <c r="K982" s="120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 ht="13.5" customHeight="1">
      <c r="A983" s="118"/>
      <c r="B983" s="118"/>
      <c r="C983" s="118"/>
      <c r="D983" s="118"/>
      <c r="E983" s="118"/>
      <c r="F983" s="118"/>
      <c r="G983" s="118"/>
      <c r="H983" s="118"/>
      <c r="I983" s="119"/>
      <c r="J983" s="118"/>
      <c r="K983" s="120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 ht="13.5" customHeight="1">
      <c r="A984" s="118"/>
      <c r="B984" s="118"/>
      <c r="C984" s="118"/>
      <c r="D984" s="118"/>
      <c r="E984" s="118"/>
      <c r="F984" s="118"/>
      <c r="G984" s="118"/>
      <c r="H984" s="118"/>
      <c r="I984" s="119"/>
      <c r="J984" s="118"/>
      <c r="K984" s="120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 ht="13.5" customHeight="1">
      <c r="A985" s="118"/>
      <c r="B985" s="118"/>
      <c r="C985" s="118"/>
      <c r="D985" s="118"/>
      <c r="E985" s="118"/>
      <c r="F985" s="118"/>
      <c r="G985" s="118"/>
      <c r="H985" s="118"/>
      <c r="I985" s="119"/>
      <c r="J985" s="118"/>
      <c r="K985" s="120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 ht="13.5" customHeight="1">
      <c r="A986" s="118"/>
      <c r="B986" s="118"/>
      <c r="C986" s="118"/>
      <c r="D986" s="118"/>
      <c r="E986" s="118"/>
      <c r="F986" s="118"/>
      <c r="G986" s="118"/>
      <c r="H986" s="118"/>
      <c r="I986" s="119"/>
      <c r="J986" s="118"/>
      <c r="K986" s="120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 ht="13.5" customHeight="1">
      <c r="A987" s="118"/>
      <c r="B987" s="118"/>
      <c r="C987" s="118"/>
      <c r="D987" s="118"/>
      <c r="E987" s="118"/>
      <c r="F987" s="118"/>
      <c r="G987" s="118"/>
      <c r="H987" s="118"/>
      <c r="I987" s="119"/>
      <c r="J987" s="118"/>
      <c r="K987" s="120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 ht="13.5" customHeight="1">
      <c r="A988" s="118"/>
      <c r="B988" s="118"/>
      <c r="C988" s="118"/>
      <c r="D988" s="118"/>
      <c r="E988" s="118"/>
      <c r="F988" s="118"/>
      <c r="G988" s="118"/>
      <c r="H988" s="118"/>
      <c r="I988" s="119"/>
      <c r="J988" s="118"/>
      <c r="K988" s="120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 ht="13.5" customHeight="1">
      <c r="A989" s="118"/>
      <c r="B989" s="118"/>
      <c r="C989" s="118"/>
      <c r="D989" s="118"/>
      <c r="E989" s="118"/>
      <c r="F989" s="118"/>
      <c r="G989" s="118"/>
      <c r="H989" s="118"/>
      <c r="I989" s="119"/>
      <c r="J989" s="118"/>
      <c r="K989" s="120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 ht="13.5" customHeight="1">
      <c r="A990" s="118"/>
      <c r="B990" s="118"/>
      <c r="C990" s="118"/>
      <c r="D990" s="118"/>
      <c r="E990" s="118"/>
      <c r="F990" s="118"/>
      <c r="G990" s="118"/>
      <c r="H990" s="118"/>
      <c r="I990" s="119"/>
      <c r="J990" s="118"/>
      <c r="K990" s="120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 ht="13.5" customHeight="1">
      <c r="A991" s="118"/>
      <c r="B991" s="118"/>
      <c r="C991" s="118"/>
      <c r="D991" s="118"/>
      <c r="E991" s="118"/>
      <c r="F991" s="118"/>
      <c r="G991" s="118"/>
      <c r="H991" s="118"/>
      <c r="I991" s="119"/>
      <c r="J991" s="118"/>
      <c r="K991" s="120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 ht="13.5" customHeight="1">
      <c r="A992" s="118"/>
      <c r="B992" s="118"/>
      <c r="C992" s="118"/>
      <c r="D992" s="118"/>
      <c r="E992" s="118"/>
      <c r="F992" s="118"/>
      <c r="G992" s="118"/>
      <c r="H992" s="118"/>
      <c r="I992" s="119"/>
      <c r="J992" s="118"/>
      <c r="K992" s="120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 ht="13.5" customHeight="1">
      <c r="A993" s="118"/>
      <c r="B993" s="118"/>
      <c r="C993" s="118"/>
      <c r="D993" s="118"/>
      <c r="E993" s="118"/>
      <c r="F993" s="118"/>
      <c r="G993" s="118"/>
      <c r="H993" s="118"/>
      <c r="I993" s="119"/>
      <c r="J993" s="118"/>
      <c r="K993" s="120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 ht="13.5" customHeight="1">
      <c r="A994" s="118"/>
      <c r="B994" s="118"/>
      <c r="C994" s="118"/>
      <c r="D994" s="118"/>
      <c r="E994" s="118"/>
      <c r="F994" s="118"/>
      <c r="G994" s="118"/>
      <c r="H994" s="118"/>
      <c r="I994" s="119"/>
      <c r="J994" s="118"/>
      <c r="K994" s="120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 ht="13.5" customHeight="1">
      <c r="A995" s="118"/>
      <c r="B995" s="118"/>
      <c r="C995" s="118"/>
      <c r="D995" s="118"/>
      <c r="E995" s="118"/>
      <c r="F995" s="118"/>
      <c r="G995" s="118"/>
      <c r="H995" s="118"/>
      <c r="I995" s="119"/>
      <c r="J995" s="118"/>
      <c r="K995" s="120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 ht="13.5" customHeight="1">
      <c r="A996" s="118"/>
      <c r="B996" s="118"/>
      <c r="C996" s="118"/>
      <c r="D996" s="118"/>
      <c r="E996" s="118"/>
      <c r="F996" s="118"/>
      <c r="G996" s="118"/>
      <c r="H996" s="118"/>
      <c r="I996" s="119"/>
      <c r="J996" s="118"/>
      <c r="K996" s="120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 ht="13.5" customHeight="1">
      <c r="A997" s="118"/>
      <c r="B997" s="118"/>
      <c r="C997" s="118"/>
      <c r="D997" s="118"/>
      <c r="E997" s="118"/>
      <c r="F997" s="118"/>
      <c r="G997" s="118"/>
      <c r="H997" s="118"/>
      <c r="I997" s="119"/>
      <c r="J997" s="118"/>
      <c r="K997" s="120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 ht="13.5" customHeight="1">
      <c r="A998" s="118"/>
      <c r="B998" s="118"/>
      <c r="C998" s="118"/>
      <c r="D998" s="118"/>
      <c r="E998" s="118"/>
      <c r="F998" s="118"/>
      <c r="G998" s="118"/>
      <c r="H998" s="118"/>
      <c r="I998" s="119"/>
      <c r="J998" s="118"/>
      <c r="K998" s="120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 ht="13.5" customHeight="1">
      <c r="A999" s="118"/>
      <c r="B999" s="118"/>
      <c r="C999" s="118"/>
      <c r="D999" s="118"/>
      <c r="E999" s="118"/>
      <c r="F999" s="118"/>
      <c r="G999" s="118"/>
      <c r="H999" s="118"/>
      <c r="I999" s="119"/>
      <c r="J999" s="118"/>
      <c r="K999" s="120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 ht="13.5" customHeight="1">
      <c r="A1000" s="118"/>
      <c r="B1000" s="118"/>
      <c r="C1000" s="118"/>
      <c r="D1000" s="118"/>
      <c r="E1000" s="118"/>
      <c r="F1000" s="118"/>
      <c r="G1000" s="118"/>
      <c r="H1000" s="118"/>
      <c r="I1000" s="119"/>
      <c r="J1000" s="118"/>
      <c r="K1000" s="120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</sheetData>
  <mergeCells count="2">
    <mergeCell ref="A422:B429"/>
    <mergeCell ref="C422:D429"/>
  </mergeCells>
  <conditionalFormatting sqref="A2:H21 A22:J22 A23:H83 A84:A231 A233:G243 A252:A318 A323:A352 A353:J353 A354:A414 B84:H92 B113:B129 B135:H183 B186:B215 B226:I231 B252:G270 B282:B303 B332:J352 B354:I357 B358:H359 B360:I373 B411:I411 B412:B414 C125:G129 C187:D215 C281:J287 C301:D303 C413:J414 E288:E303 F301:F303 G288:H303 H113:H129 H186:H215 H233:H270 I2:I15 I17:I21 I23 I25:I79 I81:I83 I84:I92 I125:I129 I135:I158 I174:I175 I177:I183 I187:J195 I196:I215 I233:J243 I252:I270 I301:I303 I358 J2:J21 J23:J112 J125:J185 J196:J231 J252:J272 J288:J318 J354:J411 K32:K43 K87:K95 K112:K127 K140:K153 K155:K177 K190:K223">
    <cfRule type="expression" dxfId="0" priority="1">
      <formula>ISEVEN(ROW())</formula>
    </cfRule>
  </conditionalFormatting>
  <conditionalFormatting sqref="A112:J112">
    <cfRule type="expression" dxfId="0" priority="2">
      <formula>ISEVEN(ROW())</formula>
    </cfRule>
  </conditionalFormatting>
  <conditionalFormatting sqref="A111:H111 A112:A124 J111">
    <cfRule type="expression" dxfId="0" priority="3">
      <formula>ISEVEN(ROW())</formula>
    </cfRule>
  </conditionalFormatting>
  <conditionalFormatting sqref="A110:J110">
    <cfRule type="expression" dxfId="0" priority="4">
      <formula>ISEVEN(ROW())</formula>
    </cfRule>
  </conditionalFormatting>
  <conditionalFormatting sqref="A109:J109 C108:J108">
    <cfRule type="expression" dxfId="0" priority="5">
      <formula>ISEVEN(ROW())</formula>
    </cfRule>
  </conditionalFormatting>
  <conditionalFormatting sqref="A106:J107 A108:B108">
    <cfRule type="expression" dxfId="0" priority="6">
      <formula>ISEVEN(ROW())</formula>
    </cfRule>
  </conditionalFormatting>
  <conditionalFormatting sqref="A105:E105 G105:H105 J105">
    <cfRule type="expression" dxfId="0" priority="7">
      <formula>ISEVEN(ROW())</formula>
    </cfRule>
  </conditionalFormatting>
  <conditionalFormatting sqref="A103:H104 J103:J104">
    <cfRule type="expression" dxfId="0" priority="8">
      <formula>ISEVEN(ROW())</formula>
    </cfRule>
  </conditionalFormatting>
  <conditionalFormatting sqref="A102:E102 G102:H102 J102">
    <cfRule type="expression" dxfId="0" priority="9">
      <formula>ISEVEN(ROW())</formula>
    </cfRule>
  </conditionalFormatting>
  <conditionalFormatting sqref="A100:H101 J100:J101">
    <cfRule type="expression" dxfId="0" priority="10">
      <formula>ISEVEN(ROW())</formula>
    </cfRule>
  </conditionalFormatting>
  <conditionalFormatting sqref="A99:H99 J99">
    <cfRule type="expression" dxfId="0" priority="11">
      <formula>ISEVEN(ROW())</formula>
    </cfRule>
  </conditionalFormatting>
  <conditionalFormatting sqref="A97:H98 J97:J98">
    <cfRule type="expression" dxfId="0" priority="12">
      <formula>ISEVEN(ROW())</formula>
    </cfRule>
  </conditionalFormatting>
  <conditionalFormatting sqref="A96:E96 G96:H96 J96">
    <cfRule type="expression" dxfId="0" priority="13">
      <formula>ISEVEN(ROW())</formula>
    </cfRule>
  </conditionalFormatting>
  <conditionalFormatting sqref="A94:H95 J94:J95">
    <cfRule type="expression" dxfId="0" priority="14">
      <formula>ISEVEN(ROW())</formula>
    </cfRule>
  </conditionalFormatting>
  <conditionalFormatting sqref="A93:E93 G93:H93 J93">
    <cfRule type="expression" dxfId="0" priority="15">
      <formula>ISEVEN(ROW())</formula>
    </cfRule>
  </conditionalFormatting>
  <conditionalFormatting sqref="F102">
    <cfRule type="expression" dxfId="0" priority="16">
      <formula>ISEVEN(ROW())</formula>
    </cfRule>
  </conditionalFormatting>
  <conditionalFormatting sqref="F105">
    <cfRule type="expression" dxfId="0" priority="17">
      <formula>ISEVEN(ROW())</formula>
    </cfRule>
  </conditionalFormatting>
  <conditionalFormatting sqref="I103:I104">
    <cfRule type="expression" dxfId="0" priority="18">
      <formula>ISEVEN(ROW())</formula>
    </cfRule>
  </conditionalFormatting>
  <conditionalFormatting sqref="I97:I98">
    <cfRule type="expression" dxfId="0" priority="19">
      <formula>ISEVEN(ROW())</formula>
    </cfRule>
  </conditionalFormatting>
  <conditionalFormatting sqref="I100:I101">
    <cfRule type="expression" dxfId="0" priority="20">
      <formula>ISEVEN(ROW())</formula>
    </cfRule>
  </conditionalFormatting>
  <conditionalFormatting sqref="F93">
    <cfRule type="expression" dxfId="0" priority="21">
      <formula>ISEVEN(ROW())</formula>
    </cfRule>
  </conditionalFormatting>
  <conditionalFormatting sqref="F96">
    <cfRule type="expression" dxfId="0" priority="22">
      <formula>ISEVEN(ROW())</formula>
    </cfRule>
  </conditionalFormatting>
  <conditionalFormatting sqref="I94:I95">
    <cfRule type="expression" dxfId="0" priority="23">
      <formula>ISEVEN(ROW())</formula>
    </cfRule>
  </conditionalFormatting>
  <conditionalFormatting sqref="I93">
    <cfRule type="expression" dxfId="0" priority="24">
      <formula>ISEVEN(ROW())</formula>
    </cfRule>
  </conditionalFormatting>
  <conditionalFormatting sqref="A130:F130 H130:J130">
    <cfRule type="expression" dxfId="0" priority="25">
      <formula>ISEVEN(ROW())</formula>
    </cfRule>
  </conditionalFormatting>
  <conditionalFormatting sqref="A131:F131 H131:I131">
    <cfRule type="expression" dxfId="0" priority="26">
      <formula>ISEVEN(ROW())</formula>
    </cfRule>
  </conditionalFormatting>
  <conditionalFormatting sqref="A132:F132 A133:E134 H132:I134">
    <cfRule type="expression" dxfId="0" priority="27">
      <formula>ISEVEN(ROW())</formula>
    </cfRule>
  </conditionalFormatting>
  <conditionalFormatting sqref="G130">
    <cfRule type="expression" dxfId="0" priority="28">
      <formula>ISEVEN(ROW())</formula>
    </cfRule>
  </conditionalFormatting>
  <conditionalFormatting sqref="G131">
    <cfRule type="expression" dxfId="0" priority="29">
      <formula>ISEVEN(ROW())</formula>
    </cfRule>
  </conditionalFormatting>
  <conditionalFormatting sqref="G132:G134">
    <cfRule type="expression" dxfId="0" priority="30">
      <formula>ISEVEN(ROW())</formula>
    </cfRule>
  </conditionalFormatting>
  <conditionalFormatting sqref="J131">
    <cfRule type="expression" dxfId="0" priority="31">
      <formula>ISEVEN(ROW())</formula>
    </cfRule>
  </conditionalFormatting>
  <conditionalFormatting sqref="J132:J134">
    <cfRule type="expression" dxfId="0" priority="32">
      <formula>ISEVEN(ROW())</formula>
    </cfRule>
  </conditionalFormatting>
  <conditionalFormatting sqref="J132:J134">
    <cfRule type="expression" dxfId="0" priority="33">
      <formula>ISEVEN(ROW())</formula>
    </cfRule>
  </conditionalFormatting>
  <conditionalFormatting sqref="A184:J184">
    <cfRule type="expression" dxfId="0" priority="34">
      <formula>ISEVEN(ROW())</formula>
    </cfRule>
  </conditionalFormatting>
  <conditionalFormatting sqref="A185:J185">
    <cfRule type="expression" dxfId="0" priority="35">
      <formula>ISEVEN(ROW())</formula>
    </cfRule>
  </conditionalFormatting>
  <conditionalFormatting sqref="A216:G216 A225:E225 G225:H225 I216:J216 J225">
    <cfRule type="expression" dxfId="0" priority="36">
      <formula>ISEVEN(ROW())</formula>
    </cfRule>
  </conditionalFormatting>
  <conditionalFormatting sqref="H216">
    <cfRule type="expression" dxfId="0" priority="37">
      <formula>ISEVEN(ROW())</formula>
    </cfRule>
  </conditionalFormatting>
  <conditionalFormatting sqref="A223:E223 G223:J223">
    <cfRule type="expression" dxfId="0" priority="38">
      <formula>ISEVEN(ROW())</formula>
    </cfRule>
  </conditionalFormatting>
  <conditionalFormatting sqref="A222:E222 G222:J222">
    <cfRule type="expression" dxfId="0" priority="39">
      <formula>ISEVEN(ROW())</formula>
    </cfRule>
  </conditionalFormatting>
  <conditionalFormatting sqref="A221:E221 G221:J221">
    <cfRule type="expression" dxfId="0" priority="40">
      <formula>ISEVEN(ROW())</formula>
    </cfRule>
  </conditionalFormatting>
  <conditionalFormatting sqref="A220:E220 G220:J220">
    <cfRule type="expression" dxfId="0" priority="41">
      <formula>ISEVEN(ROW())</formula>
    </cfRule>
  </conditionalFormatting>
  <conditionalFormatting sqref="A219:E219 G219:J219">
    <cfRule type="expression" dxfId="0" priority="42">
      <formula>ISEVEN(ROW())</formula>
    </cfRule>
  </conditionalFormatting>
  <conditionalFormatting sqref="A218:E218 G218:J218">
    <cfRule type="expression" dxfId="0" priority="43">
      <formula>ISEVEN(ROW())</formula>
    </cfRule>
  </conditionalFormatting>
  <conditionalFormatting sqref="A217:J217">
    <cfRule type="expression" dxfId="0" priority="44">
      <formula>ISEVEN(ROW())</formula>
    </cfRule>
  </conditionalFormatting>
  <conditionalFormatting sqref="A224:E224 G224:J224">
    <cfRule type="expression" dxfId="0" priority="45">
      <formula>ISEVEN(ROW())</formula>
    </cfRule>
  </conditionalFormatting>
  <conditionalFormatting sqref="F218">
    <cfRule type="expression" dxfId="0" priority="46">
      <formula>ISEVEN(ROW())</formula>
    </cfRule>
  </conditionalFormatting>
  <conditionalFormatting sqref="F219">
    <cfRule type="expression" dxfId="0" priority="47">
      <formula>ISEVEN(ROW())</formula>
    </cfRule>
  </conditionalFormatting>
  <conditionalFormatting sqref="F220">
    <cfRule type="expression" dxfId="0" priority="48">
      <formula>ISEVEN(ROW())</formula>
    </cfRule>
  </conditionalFormatting>
  <conditionalFormatting sqref="F221">
    <cfRule type="expression" dxfId="0" priority="49">
      <formula>ISEVEN(ROW())</formula>
    </cfRule>
  </conditionalFormatting>
  <conditionalFormatting sqref="F222">
    <cfRule type="expression" dxfId="0" priority="50">
      <formula>ISEVEN(ROW())</formula>
    </cfRule>
  </conditionalFormatting>
  <conditionalFormatting sqref="F223">
    <cfRule type="expression" dxfId="0" priority="51">
      <formula>ISEVEN(ROW())</formula>
    </cfRule>
  </conditionalFormatting>
  <conditionalFormatting sqref="F224">
    <cfRule type="expression" dxfId="0" priority="52">
      <formula>ISEVEN(ROW())</formula>
    </cfRule>
  </conditionalFormatting>
  <conditionalFormatting sqref="F225">
    <cfRule type="expression" dxfId="0" priority="53">
      <formula>ISEVEN(ROW())</formula>
    </cfRule>
  </conditionalFormatting>
  <conditionalFormatting sqref="I225">
    <cfRule type="expression" dxfId="0" priority="54">
      <formula>ISEVEN(ROW())</formula>
    </cfRule>
  </conditionalFormatting>
  <conditionalFormatting sqref="A272:J272 A273:B281">
    <cfRule type="expression" dxfId="0" priority="55">
      <formula>ISEVEN(ROW())</formula>
    </cfRule>
  </conditionalFormatting>
  <conditionalFormatting sqref="A271:J271">
    <cfRule type="expression" dxfId="0" priority="56">
      <formula>ISEVEN(ROW())</formula>
    </cfRule>
  </conditionalFormatting>
  <conditionalFormatting sqref="A304:E305 G304:J304 G305:H305 I305:I314 J305">
    <cfRule type="expression" dxfId="0" priority="57">
      <formula>ISEVEN(ROW())</formula>
    </cfRule>
  </conditionalFormatting>
  <conditionalFormatting sqref="A306:E307 G306:H307 J306:J307">
    <cfRule type="expression" dxfId="0" priority="58">
      <formula>ISEVEN(ROW())</formula>
    </cfRule>
  </conditionalFormatting>
  <conditionalFormatting sqref="A308:H309 J308:J309">
    <cfRule type="expression" dxfId="0" priority="59">
      <formula>ISEVEN(ROW())</formula>
    </cfRule>
  </conditionalFormatting>
  <conditionalFormatting sqref="A310:H311 J310:J311">
    <cfRule type="expression" dxfId="0" priority="60">
      <formula>ISEVEN(ROW())</formula>
    </cfRule>
  </conditionalFormatting>
  <conditionalFormatting sqref="A312:H313 J312:J313">
    <cfRule type="expression" dxfId="0" priority="61">
      <formula>ISEVEN(ROW())</formula>
    </cfRule>
  </conditionalFormatting>
  <conditionalFormatting sqref="A314:H314 A315:B318 A323:B331 H315:H318 J314:J318">
    <cfRule type="expression" dxfId="0" priority="62">
      <formula>ISEVEN(ROW())</formula>
    </cfRule>
  </conditionalFormatting>
  <conditionalFormatting sqref="F304:F307">
    <cfRule type="expression" dxfId="0" priority="63">
      <formula>ISEVEN(ROW())</formula>
    </cfRule>
  </conditionalFormatting>
  <conditionalFormatting sqref="A374:J375">
    <cfRule type="expression" dxfId="0" priority="64">
      <formula>ISEVEN(ROW())</formula>
    </cfRule>
  </conditionalFormatting>
  <conditionalFormatting sqref="A376:J376">
    <cfRule type="expression" dxfId="0" priority="65">
      <formula>ISEVEN(ROW())</formula>
    </cfRule>
  </conditionalFormatting>
  <conditionalFormatting sqref="A377:J377">
    <cfRule type="expression" dxfId="0" priority="66">
      <formula>ISEVEN(ROW())</formula>
    </cfRule>
  </conditionalFormatting>
  <conditionalFormatting sqref="A378:J378">
    <cfRule type="expression" dxfId="0" priority="67">
      <formula>ISEVEN(ROW())</formula>
    </cfRule>
  </conditionalFormatting>
  <conditionalFormatting sqref="A379:J379">
    <cfRule type="expression" dxfId="0" priority="68">
      <formula>ISEVEN(ROW())</formula>
    </cfRule>
  </conditionalFormatting>
  <conditionalFormatting sqref="A380:J380">
    <cfRule type="expression" dxfId="0" priority="69">
      <formula>ISEVEN(ROW())</formula>
    </cfRule>
  </conditionalFormatting>
  <conditionalFormatting sqref="A381:J381">
    <cfRule type="expression" dxfId="0" priority="70">
      <formula>ISEVEN(ROW())</formula>
    </cfRule>
  </conditionalFormatting>
  <conditionalFormatting sqref="A382:J382">
    <cfRule type="expression" dxfId="0" priority="71">
      <formula>ISEVEN(ROW())</formula>
    </cfRule>
  </conditionalFormatting>
  <conditionalFormatting sqref="A383:J410">
    <cfRule type="expression" dxfId="0" priority="72">
      <formula>ISEVEN(ROW())</formula>
    </cfRule>
  </conditionalFormatting>
  <conditionalFormatting sqref="J93">
    <cfRule type="expression" dxfId="0" priority="73">
      <formula>ISEVEN(ROW())</formula>
    </cfRule>
  </conditionalFormatting>
  <conditionalFormatting sqref="J94:J95">
    <cfRule type="expression" dxfId="0" priority="74">
      <formula>ISEVEN(ROW())</formula>
    </cfRule>
  </conditionalFormatting>
  <conditionalFormatting sqref="J96">
    <cfRule type="expression" dxfId="0" priority="75">
      <formula>ISEVEN(ROW())</formula>
    </cfRule>
  </conditionalFormatting>
  <conditionalFormatting sqref="J97:J98">
    <cfRule type="expression" dxfId="0" priority="76">
      <formula>ISEVEN(ROW())</formula>
    </cfRule>
  </conditionalFormatting>
  <conditionalFormatting sqref="J99">
    <cfRule type="expression" dxfId="0" priority="77">
      <formula>ISEVEN(ROW())</formula>
    </cfRule>
  </conditionalFormatting>
  <conditionalFormatting sqref="J100:J101">
    <cfRule type="expression" dxfId="0" priority="78">
      <formula>ISEVEN(ROW())</formula>
    </cfRule>
  </conditionalFormatting>
  <conditionalFormatting sqref="J135">
    <cfRule type="expression" dxfId="0" priority="79">
      <formula>ISEVEN(ROW())</formula>
    </cfRule>
  </conditionalFormatting>
  <conditionalFormatting sqref="J136">
    <cfRule type="expression" dxfId="0" priority="80">
      <formula>ISEVEN(ROW())</formula>
    </cfRule>
  </conditionalFormatting>
  <conditionalFormatting sqref="J137:J138">
    <cfRule type="expression" dxfId="0" priority="81">
      <formula>ISEVEN(ROW())</formula>
    </cfRule>
  </conditionalFormatting>
  <conditionalFormatting sqref="J139">
    <cfRule type="expression" dxfId="0" priority="82">
      <formula>ISEVEN(ROW())</formula>
    </cfRule>
  </conditionalFormatting>
  <conditionalFormatting sqref="J140:J141">
    <cfRule type="expression" dxfId="0" priority="83">
      <formula>ISEVEN(ROW())</formula>
    </cfRule>
  </conditionalFormatting>
  <conditionalFormatting sqref="J142:J143">
    <cfRule type="expression" dxfId="0" priority="84">
      <formula>ISEVEN(ROW())</formula>
    </cfRule>
  </conditionalFormatting>
  <conditionalFormatting sqref="J144:J145">
    <cfRule type="expression" dxfId="0" priority="85">
      <formula>ISEVEN(ROW())</formula>
    </cfRule>
  </conditionalFormatting>
  <conditionalFormatting sqref="J146:J147">
    <cfRule type="expression" dxfId="0" priority="86">
      <formula>ISEVEN(ROW())</formula>
    </cfRule>
  </conditionalFormatting>
  <conditionalFormatting sqref="J148">
    <cfRule type="expression" dxfId="0" priority="87">
      <formula>ISEVEN(ROW())</formula>
    </cfRule>
  </conditionalFormatting>
  <conditionalFormatting sqref="J154">
    <cfRule type="expression" dxfId="0" priority="88">
      <formula>ISEVEN(ROW())</formula>
    </cfRule>
  </conditionalFormatting>
  <conditionalFormatting sqref="J156:J157">
    <cfRule type="expression" dxfId="0" priority="89">
      <formula>ISEVEN(ROW())</formula>
    </cfRule>
  </conditionalFormatting>
  <conditionalFormatting sqref="J159">
    <cfRule type="expression" dxfId="0" priority="90">
      <formula>ISEVEN(ROW())</formula>
    </cfRule>
  </conditionalFormatting>
  <conditionalFormatting sqref="J160:J161">
    <cfRule type="expression" dxfId="0" priority="91">
      <formula>ISEVEN(ROW())</formula>
    </cfRule>
  </conditionalFormatting>
  <conditionalFormatting sqref="J162:J163">
    <cfRule type="expression" dxfId="0" priority="92">
      <formula>ISEVEN(ROW())</formula>
    </cfRule>
  </conditionalFormatting>
  <conditionalFormatting sqref="J164:J165">
    <cfRule type="expression" dxfId="0" priority="93">
      <formula>ISEVEN(ROW())</formula>
    </cfRule>
  </conditionalFormatting>
  <conditionalFormatting sqref="J166:J167">
    <cfRule type="expression" dxfId="0" priority="94">
      <formula>ISEVEN(ROW())</formula>
    </cfRule>
  </conditionalFormatting>
  <conditionalFormatting sqref="J168:J176">
    <cfRule type="expression" dxfId="0" priority="95">
      <formula>ISEVEN(ROW())</formula>
    </cfRule>
  </conditionalFormatting>
  <conditionalFormatting sqref="J177">
    <cfRule type="expression" dxfId="0" priority="96">
      <formula>ISEVEN(ROW())</formula>
    </cfRule>
  </conditionalFormatting>
  <conditionalFormatting sqref="J178">
    <cfRule type="expression" dxfId="0" priority="97">
      <formula>ISEVEN(ROW())</formula>
    </cfRule>
  </conditionalFormatting>
  <conditionalFormatting sqref="J179:J180">
    <cfRule type="expression" dxfId="0" priority="98">
      <formula>ISEVEN(ROW())</formula>
    </cfRule>
  </conditionalFormatting>
  <conditionalFormatting sqref="J181">
    <cfRule type="expression" dxfId="0" priority="99">
      <formula>ISEVEN(ROW())</formula>
    </cfRule>
  </conditionalFormatting>
  <conditionalFormatting sqref="J182">
    <cfRule type="expression" dxfId="0" priority="100">
      <formula>ISEVEN(ROW())</formula>
    </cfRule>
  </conditionalFormatting>
  <conditionalFormatting sqref="J183">
    <cfRule type="expression" dxfId="0" priority="101">
      <formula>ISEVEN(ROW())</formula>
    </cfRule>
  </conditionalFormatting>
  <conditionalFormatting sqref="J184">
    <cfRule type="expression" dxfId="0" priority="102">
      <formula>ISEVEN(ROW())</formula>
    </cfRule>
  </conditionalFormatting>
  <conditionalFormatting sqref="J185">
    <cfRule type="expression" dxfId="0" priority="103">
      <formula>ISEVEN(ROW())</formula>
    </cfRule>
  </conditionalFormatting>
  <conditionalFormatting sqref="J216">
    <cfRule type="expression" dxfId="0" priority="104">
      <formula>ISEVEN(ROW())</formula>
    </cfRule>
  </conditionalFormatting>
  <conditionalFormatting sqref="J414">
    <cfRule type="expression" dxfId="0" priority="105">
      <formula>ISEVEN(ROW())</formula>
    </cfRule>
  </conditionalFormatting>
  <conditionalFormatting sqref="J413">
    <cfRule type="expression" dxfId="0" priority="106">
      <formula>ISEVEN(ROW())</formula>
    </cfRule>
  </conditionalFormatting>
  <conditionalFormatting sqref="J411">
    <cfRule type="expression" dxfId="0" priority="107">
      <formula>ISEVEN(ROW())</formula>
    </cfRule>
  </conditionalFormatting>
  <conditionalFormatting sqref="J383:J410">
    <cfRule type="expression" dxfId="0" priority="108">
      <formula>ISEVEN(ROW())</formula>
    </cfRule>
  </conditionalFormatting>
  <conditionalFormatting sqref="J382">
    <cfRule type="expression" dxfId="0" priority="109">
      <formula>ISEVEN(ROW())</formula>
    </cfRule>
  </conditionalFormatting>
  <conditionalFormatting sqref="J381">
    <cfRule type="expression" dxfId="0" priority="110">
      <formula>ISEVEN(ROW())</formula>
    </cfRule>
  </conditionalFormatting>
  <conditionalFormatting sqref="J380">
    <cfRule type="expression" dxfId="0" priority="111">
      <formula>ISEVEN(ROW())</formula>
    </cfRule>
  </conditionalFormatting>
  <conditionalFormatting sqref="J379">
    <cfRule type="expression" dxfId="0" priority="112">
      <formula>ISEVEN(ROW())</formula>
    </cfRule>
  </conditionalFormatting>
  <conditionalFormatting sqref="J378">
    <cfRule type="expression" dxfId="0" priority="113">
      <formula>ISEVEN(ROW())</formula>
    </cfRule>
  </conditionalFormatting>
  <conditionalFormatting sqref="J377">
    <cfRule type="expression" dxfId="0" priority="114">
      <formula>ISEVEN(ROW())</formula>
    </cfRule>
  </conditionalFormatting>
  <conditionalFormatting sqref="J376">
    <cfRule type="expression" dxfId="0" priority="115">
      <formula>ISEVEN(ROW())</formula>
    </cfRule>
  </conditionalFormatting>
  <conditionalFormatting sqref="J375">
    <cfRule type="expression" dxfId="0" priority="116">
      <formula>ISEVEN(ROW())</formula>
    </cfRule>
  </conditionalFormatting>
  <conditionalFormatting sqref="J374">
    <cfRule type="expression" dxfId="0" priority="117">
      <formula>ISEVEN(ROW())</formula>
    </cfRule>
  </conditionalFormatting>
  <conditionalFormatting sqref="J1">
    <cfRule type="expression" dxfId="0" priority="118">
      <formula>ISEVEN(ROW())</formula>
    </cfRule>
  </conditionalFormatting>
  <conditionalFormatting sqref="J1">
    <cfRule type="expression" dxfId="0" priority="119">
      <formula>ISEVEN(ROW())</formula>
    </cfRule>
  </conditionalFormatting>
  <conditionalFormatting sqref="J360">
    <cfRule type="expression" dxfId="0" priority="120">
      <formula>ISEVEN(ROW())</formula>
    </cfRule>
  </conditionalFormatting>
  <conditionalFormatting sqref="J355:J359">
    <cfRule type="expression" dxfId="0" priority="121">
      <formula>ISEVEN(ROW())</formula>
    </cfRule>
  </conditionalFormatting>
  <conditionalFormatting sqref="J354">
    <cfRule type="expression" dxfId="0" priority="122">
      <formula>ISEVEN(ROW())</formula>
    </cfRule>
  </conditionalFormatting>
  <conditionalFormatting sqref="J339:J353">
    <cfRule type="expression" dxfId="0" priority="123">
      <formula>ISEVEN(ROW())</formula>
    </cfRule>
  </conditionalFormatting>
  <conditionalFormatting sqref="J338">
    <cfRule type="expression" dxfId="0" priority="124">
      <formula>ISEVEN(ROW())</formula>
    </cfRule>
  </conditionalFormatting>
  <conditionalFormatting sqref="J336:J337">
    <cfRule type="expression" dxfId="0" priority="125">
      <formula>ISEVEN(ROW())</formula>
    </cfRule>
  </conditionalFormatting>
  <conditionalFormatting sqref="J335">
    <cfRule type="expression" dxfId="0" priority="126">
      <formula>ISEVEN(ROW())</formula>
    </cfRule>
  </conditionalFormatting>
  <conditionalFormatting sqref="J334">
    <cfRule type="expression" dxfId="0" priority="127">
      <formula>ISEVEN(ROW())</formula>
    </cfRule>
  </conditionalFormatting>
  <conditionalFormatting sqref="J333">
    <cfRule type="expression" dxfId="0" priority="128">
      <formula>ISEVEN(ROW())</formula>
    </cfRule>
  </conditionalFormatting>
  <conditionalFormatting sqref="J332">
    <cfRule type="expression" dxfId="0" priority="129">
      <formula>ISEVEN(ROW())</formula>
    </cfRule>
  </conditionalFormatting>
  <conditionalFormatting sqref="J314:J318">
    <cfRule type="expression" dxfId="0" priority="130">
      <formula>ISEVEN(ROW())</formula>
    </cfRule>
  </conditionalFormatting>
  <conditionalFormatting sqref="J313">
    <cfRule type="expression" dxfId="0" priority="131">
      <formula>ISEVEN(ROW())</formula>
    </cfRule>
  </conditionalFormatting>
  <conditionalFormatting sqref="J312">
    <cfRule type="expression" dxfId="0" priority="132">
      <formula>ISEVEN(ROW())</formula>
    </cfRule>
  </conditionalFormatting>
  <conditionalFormatting sqref="J311">
    <cfRule type="expression" dxfId="0" priority="133">
      <formula>ISEVEN(ROW())</formula>
    </cfRule>
  </conditionalFormatting>
  <conditionalFormatting sqref="J310">
    <cfRule type="expression" dxfId="0" priority="134">
      <formula>ISEVEN(ROW())</formula>
    </cfRule>
  </conditionalFormatting>
  <conditionalFormatting sqref="J309">
    <cfRule type="expression" dxfId="0" priority="135">
      <formula>ISEVEN(ROW())</formula>
    </cfRule>
  </conditionalFormatting>
  <conditionalFormatting sqref="J308">
    <cfRule type="expression" dxfId="0" priority="136">
      <formula>ISEVEN(ROW())</formula>
    </cfRule>
  </conditionalFormatting>
  <conditionalFormatting sqref="J307">
    <cfRule type="expression" dxfId="0" priority="137">
      <formula>ISEVEN(ROW())</formula>
    </cfRule>
  </conditionalFormatting>
  <conditionalFormatting sqref="J306">
    <cfRule type="expression" dxfId="0" priority="138">
      <formula>ISEVEN(ROW())</formula>
    </cfRule>
  </conditionalFormatting>
  <conditionalFormatting sqref="J305">
    <cfRule type="expression" dxfId="0" priority="139">
      <formula>ISEVEN(ROW())</formula>
    </cfRule>
  </conditionalFormatting>
  <conditionalFormatting sqref="J304">
    <cfRule type="expression" dxfId="0" priority="140">
      <formula>ISEVEN(ROW())</formula>
    </cfRule>
  </conditionalFormatting>
  <conditionalFormatting sqref="J303">
    <cfRule type="expression" dxfId="0" priority="141">
      <formula>ISEVEN(ROW())</formula>
    </cfRule>
  </conditionalFormatting>
  <conditionalFormatting sqref="J302">
    <cfRule type="expression" dxfId="0" priority="142">
      <formula>ISEVEN(ROW())</formula>
    </cfRule>
  </conditionalFormatting>
  <conditionalFormatting sqref="J301">
    <cfRule type="expression" dxfId="0" priority="143">
      <formula>ISEVEN(ROW())</formula>
    </cfRule>
  </conditionalFormatting>
  <conditionalFormatting sqref="J287:J300">
    <cfRule type="expression" dxfId="0" priority="144">
      <formula>ISEVEN(ROW())</formula>
    </cfRule>
  </conditionalFormatting>
  <conditionalFormatting sqref="J284:J286">
    <cfRule type="expression" dxfId="0" priority="145">
      <formula>ISEVEN(ROW())</formula>
    </cfRule>
  </conditionalFormatting>
  <conditionalFormatting sqref="J283">
    <cfRule type="expression" dxfId="0" priority="146">
      <formula>ISEVEN(ROW())</formula>
    </cfRule>
  </conditionalFormatting>
  <conditionalFormatting sqref="J282">
    <cfRule type="expression" dxfId="0" priority="147">
      <formula>ISEVEN(ROW())</formula>
    </cfRule>
  </conditionalFormatting>
  <conditionalFormatting sqref="J281">
    <cfRule type="expression" dxfId="0" priority="148">
      <formula>ISEVEN(ROW())</formula>
    </cfRule>
  </conditionalFormatting>
  <conditionalFormatting sqref="J272">
    <cfRule type="expression" dxfId="0" priority="149">
      <formula>ISEVEN(ROW())</formula>
    </cfRule>
  </conditionalFormatting>
  <conditionalFormatting sqref="J271">
    <cfRule type="expression" dxfId="0" priority="150">
      <formula>ISEVEN(ROW())</formula>
    </cfRule>
  </conditionalFormatting>
  <conditionalFormatting sqref="J270">
    <cfRule type="expression" dxfId="0" priority="151">
      <formula>ISEVEN(ROW())</formula>
    </cfRule>
  </conditionalFormatting>
  <conditionalFormatting sqref="J269">
    <cfRule type="expression" dxfId="0" priority="152">
      <formula>ISEVEN(ROW())</formula>
    </cfRule>
  </conditionalFormatting>
  <conditionalFormatting sqref="J267:J268">
    <cfRule type="expression" dxfId="0" priority="153">
      <formula>ISEVEN(ROW())</formula>
    </cfRule>
  </conditionalFormatting>
  <conditionalFormatting sqref="J266">
    <cfRule type="expression" dxfId="0" priority="154">
      <formula>ISEVEN(ROW())</formula>
    </cfRule>
  </conditionalFormatting>
  <conditionalFormatting sqref="J265">
    <cfRule type="expression" dxfId="0" priority="155">
      <formula>ISEVEN(ROW())</formula>
    </cfRule>
  </conditionalFormatting>
  <conditionalFormatting sqref="J264">
    <cfRule type="expression" dxfId="0" priority="156">
      <formula>ISEVEN(ROW())</formula>
    </cfRule>
  </conditionalFormatting>
  <conditionalFormatting sqref="J263">
    <cfRule type="expression" dxfId="0" priority="157">
      <formula>ISEVEN(ROW())</formula>
    </cfRule>
  </conditionalFormatting>
  <conditionalFormatting sqref="J262">
    <cfRule type="expression" dxfId="0" priority="158">
      <formula>ISEVEN(ROW())</formula>
    </cfRule>
  </conditionalFormatting>
  <conditionalFormatting sqref="J217">
    <cfRule type="expression" dxfId="0" priority="159">
      <formula>ISEVEN(ROW())</formula>
    </cfRule>
  </conditionalFormatting>
  <conditionalFormatting sqref="J218">
    <cfRule type="expression" dxfId="0" priority="160">
      <formula>ISEVEN(ROW())</formula>
    </cfRule>
  </conditionalFormatting>
  <conditionalFormatting sqref="J219">
    <cfRule type="expression" dxfId="0" priority="161">
      <formula>ISEVEN(ROW())</formula>
    </cfRule>
  </conditionalFormatting>
  <conditionalFormatting sqref="J220">
    <cfRule type="expression" dxfId="0" priority="162">
      <formula>ISEVEN(ROW())</formula>
    </cfRule>
  </conditionalFormatting>
  <conditionalFormatting sqref="J221">
    <cfRule type="expression" dxfId="0" priority="163">
      <formula>ISEVEN(ROW())</formula>
    </cfRule>
  </conditionalFormatting>
  <conditionalFormatting sqref="J222">
    <cfRule type="expression" dxfId="0" priority="164">
      <formula>ISEVEN(ROW())</formula>
    </cfRule>
  </conditionalFormatting>
  <conditionalFormatting sqref="J223">
    <cfRule type="expression" dxfId="0" priority="165">
      <formula>ISEVEN(ROW())</formula>
    </cfRule>
  </conditionalFormatting>
  <conditionalFormatting sqref="J224">
    <cfRule type="expression" dxfId="0" priority="166">
      <formula>ISEVEN(ROW())</formula>
    </cfRule>
  </conditionalFormatting>
  <conditionalFormatting sqref="J225">
    <cfRule type="expression" dxfId="0" priority="167">
      <formula>ISEVEN(ROW())</formula>
    </cfRule>
  </conditionalFormatting>
  <conditionalFormatting sqref="J226">
    <cfRule type="expression" dxfId="0" priority="168">
      <formula>ISEVEN(ROW())</formula>
    </cfRule>
  </conditionalFormatting>
  <conditionalFormatting sqref="J227">
    <cfRule type="expression" dxfId="0" priority="169">
      <formula>ISEVEN(ROW())</formula>
    </cfRule>
  </conditionalFormatting>
  <conditionalFormatting sqref="J228:J230">
    <cfRule type="expression" dxfId="0" priority="170">
      <formula>ISEVEN(ROW())</formula>
    </cfRule>
  </conditionalFormatting>
  <conditionalFormatting sqref="J231">
    <cfRule type="expression" dxfId="0" priority="171">
      <formula>ISEVEN(ROW())</formula>
    </cfRule>
  </conditionalFormatting>
  <conditionalFormatting sqref="J233">
    <cfRule type="expression" dxfId="0" priority="172">
      <formula>ISEVEN(ROW())</formula>
    </cfRule>
  </conditionalFormatting>
  <conditionalFormatting sqref="J234">
    <cfRule type="expression" dxfId="0" priority="173">
      <formula>ISEVEN(ROW())</formula>
    </cfRule>
  </conditionalFormatting>
  <conditionalFormatting sqref="J235">
    <cfRule type="expression" dxfId="0" priority="174">
      <formula>ISEVEN(ROW())</formula>
    </cfRule>
  </conditionalFormatting>
  <conditionalFormatting sqref="J236">
    <cfRule type="expression" dxfId="0" priority="175">
      <formula>ISEVEN(ROW())</formula>
    </cfRule>
  </conditionalFormatting>
  <conditionalFormatting sqref="J237">
    <cfRule type="expression" dxfId="0" priority="176">
      <formula>ISEVEN(ROW())</formula>
    </cfRule>
  </conditionalFormatting>
  <conditionalFormatting sqref="J238">
    <cfRule type="expression" dxfId="0" priority="177">
      <formula>ISEVEN(ROW())</formula>
    </cfRule>
  </conditionalFormatting>
  <conditionalFormatting sqref="J239:J241">
    <cfRule type="expression" dxfId="0" priority="178">
      <formula>ISEVEN(ROW())</formula>
    </cfRule>
  </conditionalFormatting>
  <conditionalFormatting sqref="J242">
    <cfRule type="expression" dxfId="0" priority="179">
      <formula>ISEVEN(ROW())</formula>
    </cfRule>
  </conditionalFormatting>
  <conditionalFormatting sqref="J243">
    <cfRule type="expression" dxfId="0" priority="180">
      <formula>ISEVEN(ROW())</formula>
    </cfRule>
  </conditionalFormatting>
  <conditionalFormatting sqref="J252">
    <cfRule type="expression" dxfId="0" priority="181">
      <formula>ISEVEN(ROW())</formula>
    </cfRule>
  </conditionalFormatting>
  <conditionalFormatting sqref="J253">
    <cfRule type="expression" dxfId="0" priority="182">
      <formula>ISEVEN(ROW())</formula>
    </cfRule>
  </conditionalFormatting>
  <conditionalFormatting sqref="J254">
    <cfRule type="expression" dxfId="0" priority="183">
      <formula>ISEVEN(ROW())</formula>
    </cfRule>
  </conditionalFormatting>
  <conditionalFormatting sqref="J255">
    <cfRule type="expression" dxfId="0" priority="184">
      <formula>ISEVEN(ROW())</formula>
    </cfRule>
  </conditionalFormatting>
  <conditionalFormatting sqref="J261">
    <cfRule type="expression" dxfId="0" priority="185">
      <formula>ISEVEN(ROW())</formula>
    </cfRule>
  </conditionalFormatting>
  <conditionalFormatting sqref="J260">
    <cfRule type="expression" dxfId="0" priority="186">
      <formula>ISEVEN(ROW())</formula>
    </cfRule>
  </conditionalFormatting>
  <conditionalFormatting sqref="J259">
    <cfRule type="expression" dxfId="0" priority="187">
      <formula>ISEVEN(ROW())</formula>
    </cfRule>
  </conditionalFormatting>
  <conditionalFormatting sqref="J258">
    <cfRule type="expression" dxfId="0" priority="188">
      <formula>ISEVEN(ROW())</formula>
    </cfRule>
  </conditionalFormatting>
  <conditionalFormatting sqref="J257">
    <cfRule type="expression" dxfId="0" priority="189">
      <formula>ISEVEN(ROW())</formula>
    </cfRule>
  </conditionalFormatting>
  <conditionalFormatting sqref="J256">
    <cfRule type="expression" dxfId="0" priority="190">
      <formula>ISEVEN(ROW())</formula>
    </cfRule>
  </conditionalFormatting>
  <conditionalFormatting sqref="E113 J113:J124">
    <cfRule type="expression" dxfId="0" priority="191">
      <formula>ISEVEN(ROW())</formula>
    </cfRule>
  </conditionalFormatting>
  <conditionalFormatting sqref="A244:B251 J244">
    <cfRule type="expression" dxfId="0" priority="192">
      <formula>ISEVEN(ROW())</formula>
    </cfRule>
  </conditionalFormatting>
  <conditionalFormatting sqref="J244">
    <cfRule type="expression" dxfId="0" priority="193">
      <formula>ISEVEN(ROW())</formula>
    </cfRule>
  </conditionalFormatting>
  <conditionalFormatting sqref="C244:G244 I244">
    <cfRule type="expression" dxfId="0" priority="194">
      <formula>ISEVEN(ROW())</formula>
    </cfRule>
  </conditionalFormatting>
  <conditionalFormatting sqref="C323:J323 C324:I324 C329:E329 G329 I329 J324:J331">
    <cfRule type="expression" dxfId="0" priority="195">
      <formula>ISEVEN(ROW())</formula>
    </cfRule>
  </conditionalFormatting>
  <conditionalFormatting sqref="C330:E331 G330:G331 I330:I331">
    <cfRule type="expression" dxfId="0" priority="196">
      <formula>ISEVEN(ROW())</formula>
    </cfRule>
  </conditionalFormatting>
  <conditionalFormatting sqref="C327:E327 G327 I327">
    <cfRule type="expression" dxfId="0" priority="197">
      <formula>ISEVEN(ROW())</formula>
    </cfRule>
  </conditionalFormatting>
  <conditionalFormatting sqref="C328:E328 G328 I328">
    <cfRule type="expression" dxfId="0" priority="198">
      <formula>ISEVEN(ROW())</formula>
    </cfRule>
  </conditionalFormatting>
  <conditionalFormatting sqref="C325:E325 G325:I325 H326:H331">
    <cfRule type="expression" dxfId="0" priority="199">
      <formula>ISEVEN(ROW())</formula>
    </cfRule>
  </conditionalFormatting>
  <conditionalFormatting sqref="C326:E326 G326 I326">
    <cfRule type="expression" dxfId="0" priority="200">
      <formula>ISEVEN(ROW())</formula>
    </cfRule>
  </conditionalFormatting>
  <conditionalFormatting sqref="F325:F326">
    <cfRule type="expression" dxfId="0" priority="201">
      <formula>ISEVEN(ROW())</formula>
    </cfRule>
  </conditionalFormatting>
  <conditionalFormatting sqref="F327">
    <cfRule type="expression" dxfId="0" priority="202">
      <formula>ISEVEN(ROW())</formula>
    </cfRule>
  </conditionalFormatting>
  <conditionalFormatting sqref="F328">
    <cfRule type="expression" dxfId="0" priority="203">
      <formula>ISEVEN(ROW())</formula>
    </cfRule>
  </conditionalFormatting>
  <conditionalFormatting sqref="F330:F331">
    <cfRule type="expression" dxfId="0" priority="204">
      <formula>ISEVEN(ROW())</formula>
    </cfRule>
  </conditionalFormatting>
  <conditionalFormatting sqref="F329">
    <cfRule type="expression" dxfId="0" priority="205">
      <formula>ISEVEN(ROW())</formula>
    </cfRule>
  </conditionalFormatting>
  <conditionalFormatting sqref="C273:G273 E274:E280 G274:G280 I273:J273 J274:J280">
    <cfRule type="expression" dxfId="0" priority="206">
      <formula>ISEVEN(ROW())</formula>
    </cfRule>
  </conditionalFormatting>
  <conditionalFormatting sqref="H273:H280">
    <cfRule type="expression" dxfId="0" priority="207">
      <formula>ISEVEN(ROW())</formula>
    </cfRule>
  </conditionalFormatting>
  <conditionalFormatting sqref="C186:G186 E187:E215 G187:G215 I186:J186">
    <cfRule type="expression" dxfId="0" priority="208">
      <formula>ISEVEN(ROW())</formula>
    </cfRule>
  </conditionalFormatting>
  <conditionalFormatting sqref="C245:G247 I245:J247">
    <cfRule type="expression" dxfId="0" priority="209">
      <formula>ISEVEN(ROW())</formula>
    </cfRule>
  </conditionalFormatting>
  <conditionalFormatting sqref="C113">
    <cfRule type="expression" dxfId="0" priority="210">
      <formula>ISEVEN(ROW())</formula>
    </cfRule>
  </conditionalFormatting>
  <conditionalFormatting sqref="D113">
    <cfRule type="expression" dxfId="0" priority="211">
      <formula>ISEVEN(ROW())</formula>
    </cfRule>
  </conditionalFormatting>
  <conditionalFormatting sqref="F113">
    <cfRule type="expression" dxfId="0" priority="212">
      <formula>ISEVEN(ROW())</formula>
    </cfRule>
  </conditionalFormatting>
  <conditionalFormatting sqref="G113:G124">
    <cfRule type="expression" dxfId="0" priority="213">
      <formula>ISEVEN(ROW())</formula>
    </cfRule>
  </conditionalFormatting>
  <conditionalFormatting sqref="F187">
    <cfRule type="expression" dxfId="0" priority="214">
      <formula>ISEVEN(ROW())</formula>
    </cfRule>
  </conditionalFormatting>
  <conditionalFormatting sqref="F188">
    <cfRule type="expression" dxfId="0" priority="215">
      <formula>ISEVEN(ROW())</formula>
    </cfRule>
  </conditionalFormatting>
  <conditionalFormatting sqref="F189">
    <cfRule type="expression" dxfId="0" priority="216">
      <formula>ISEVEN(ROW())</formula>
    </cfRule>
  </conditionalFormatting>
  <conditionalFormatting sqref="F190:F193">
    <cfRule type="expression" dxfId="0" priority="217">
      <formula>ISEVEN(ROW())</formula>
    </cfRule>
  </conditionalFormatting>
  <conditionalFormatting sqref="C274:D280">
    <cfRule type="expression" dxfId="0" priority="218">
      <formula>ISEVEN(ROW())</formula>
    </cfRule>
  </conditionalFormatting>
  <conditionalFormatting sqref="I274:I275">
    <cfRule type="expression" dxfId="0" priority="219">
      <formula>ISEVEN(ROW())</formula>
    </cfRule>
  </conditionalFormatting>
  <conditionalFormatting sqref="F274:F280">
    <cfRule type="expression" dxfId="0" priority="220">
      <formula>ISEVEN(ROW())</formula>
    </cfRule>
  </conditionalFormatting>
  <conditionalFormatting sqref="C288:D288">
    <cfRule type="expression" dxfId="0" priority="221">
      <formula>ISEVEN(ROW())</formula>
    </cfRule>
  </conditionalFormatting>
  <conditionalFormatting sqref="I288">
    <cfRule type="expression" dxfId="0" priority="222">
      <formula>ISEVEN(ROW())</formula>
    </cfRule>
  </conditionalFormatting>
  <conditionalFormatting sqref="F288">
    <cfRule type="expression" dxfId="0" priority="223">
      <formula>ISEVEN(ROW())</formula>
    </cfRule>
  </conditionalFormatting>
  <conditionalFormatting sqref="I16">
    <cfRule type="expression" dxfId="0" priority="224">
      <formula>ISEVEN(ROW())</formula>
    </cfRule>
  </conditionalFormatting>
  <conditionalFormatting sqref="I113:I124">
    <cfRule type="expression" dxfId="0" priority="225">
      <formula>ISEVEN(ROW())</formula>
    </cfRule>
  </conditionalFormatting>
  <conditionalFormatting sqref="C289:C300">
    <cfRule type="expression" dxfId="0" priority="226">
      <formula>ISEVEN(ROW())</formula>
    </cfRule>
  </conditionalFormatting>
  <conditionalFormatting sqref="D289:D300">
    <cfRule type="expression" dxfId="0" priority="227">
      <formula>ISEVEN(ROW())</formula>
    </cfRule>
  </conditionalFormatting>
  <conditionalFormatting sqref="F289:F293 F295:F300">
    <cfRule type="expression" dxfId="0" priority="228">
      <formula>ISEVEN(ROW())</formula>
    </cfRule>
  </conditionalFormatting>
  <conditionalFormatting sqref="F294">
    <cfRule type="expression" dxfId="0" priority="229">
      <formula>ISEVEN(ROW())</formula>
    </cfRule>
  </conditionalFormatting>
  <conditionalFormatting sqref="I289:I300">
    <cfRule type="expression" dxfId="0" priority="230">
      <formula>ISEVEN(ROW())</formula>
    </cfRule>
  </conditionalFormatting>
  <conditionalFormatting sqref="C315:C318">
    <cfRule type="expression" dxfId="0" priority="231">
      <formula>ISEVEN(ROW())</formula>
    </cfRule>
  </conditionalFormatting>
  <conditionalFormatting sqref="D315:D318">
    <cfRule type="expression" dxfId="0" priority="232">
      <formula>ISEVEN(ROW())</formula>
    </cfRule>
  </conditionalFormatting>
  <conditionalFormatting sqref="E315:E318 G315:G318">
    <cfRule type="expression" dxfId="0" priority="233">
      <formula>ISEVEN(ROW())</formula>
    </cfRule>
  </conditionalFormatting>
  <conditionalFormatting sqref="F315:F318">
    <cfRule type="expression" dxfId="0" priority="234">
      <formula>ISEVEN(ROW())</formula>
    </cfRule>
  </conditionalFormatting>
  <conditionalFormatting sqref="I315:I318">
    <cfRule type="expression" dxfId="0" priority="235">
      <formula>ISEVEN(ROW())</formula>
    </cfRule>
  </conditionalFormatting>
  <conditionalFormatting sqref="I80">
    <cfRule type="expression" dxfId="0" priority="236">
      <formula>ISEVEN(ROW())</formula>
    </cfRule>
  </conditionalFormatting>
  <conditionalFormatting sqref="F133:F134">
    <cfRule type="expression" dxfId="0" priority="237">
      <formula>ISEVEN(ROW())</formula>
    </cfRule>
  </conditionalFormatting>
  <conditionalFormatting sqref="C114:C124">
    <cfRule type="expression" dxfId="0" priority="238">
      <formula>ISEVEN(ROW())</formula>
    </cfRule>
  </conditionalFormatting>
  <conditionalFormatting sqref="D114:E124">
    <cfRule type="expression" dxfId="0" priority="239">
      <formula>ISEVEN(ROW())</formula>
    </cfRule>
  </conditionalFormatting>
  <conditionalFormatting sqref="F114">
    <cfRule type="expression" dxfId="0" priority="240">
      <formula>ISEVEN(ROW())</formula>
    </cfRule>
  </conditionalFormatting>
  <conditionalFormatting sqref="F115">
    <cfRule type="expression" dxfId="0" priority="241">
      <formula>ISEVEN(ROW())</formula>
    </cfRule>
  </conditionalFormatting>
  <conditionalFormatting sqref="F116:F124">
    <cfRule type="expression" dxfId="0" priority="242">
      <formula>ISEVEN(ROW())</formula>
    </cfRule>
  </conditionalFormatting>
  <conditionalFormatting sqref="K1">
    <cfRule type="expression" dxfId="0" priority="243">
      <formula>ISEVEN(ROW())</formula>
    </cfRule>
  </conditionalFormatting>
  <conditionalFormatting sqref="K1">
    <cfRule type="expression" dxfId="0" priority="244">
      <formula>ISEVEN(ROW())</formula>
    </cfRule>
  </conditionalFormatting>
  <conditionalFormatting sqref="K2:K15 K18:K30 K45:K54 K56:K64 K66:K74 K76:K85 K97:K110 K129:K138 K179:K188 K225:K231 K233:K236 K238:K253 K255:K263 K265:K273 K275:K290 K292:K303 K305:K313 K315:K331 K333:K360 K362:K379 K381:K414">
    <cfRule type="expression" dxfId="0" priority="245">
      <formula>ISEVEN(ROW())</formula>
    </cfRule>
  </conditionalFormatting>
  <conditionalFormatting sqref="K16 K31 K44 K55 K65 K75 K86 K96 K111 K128 K139 K154 K178 K189 K224 K237 K254 K264 K274 K291 K304 K314 K332 K361 K380">
    <cfRule type="expression" dxfId="0" priority="246">
      <formula>ISEVEN(ROW())</formula>
    </cfRule>
  </conditionalFormatting>
  <conditionalFormatting sqref="K17">
    <cfRule type="expression" dxfId="0" priority="247">
      <formula>ISEVEN(ROW())</formula>
    </cfRule>
  </conditionalFormatting>
  <conditionalFormatting sqref="C412:J412">
    <cfRule type="expression" dxfId="0" priority="248">
      <formula>ISEVEN(ROW())</formula>
    </cfRule>
  </conditionalFormatting>
  <conditionalFormatting sqref="A232:J232">
    <cfRule type="expression" dxfId="0" priority="249">
      <formula>ISEVEN(ROW())</formula>
    </cfRule>
  </conditionalFormatting>
  <conditionalFormatting sqref="J232">
    <cfRule type="expression" dxfId="0" priority="250">
      <formula>ISEVEN(ROW())</formula>
    </cfRule>
  </conditionalFormatting>
  <conditionalFormatting sqref="K232">
    <cfRule type="expression" dxfId="0" priority="251">
      <formula>ISEVEN(ROW())</formula>
    </cfRule>
  </conditionalFormatting>
  <conditionalFormatting sqref="I276:I280">
    <cfRule type="expression" dxfId="0" priority="252">
      <formula>ISEVEN(ROW())</formula>
    </cfRule>
  </conditionalFormatting>
  <conditionalFormatting sqref="I96">
    <cfRule type="expression" dxfId="0" priority="253">
      <formula>ISEVEN(ROW())</formula>
    </cfRule>
  </conditionalFormatting>
  <conditionalFormatting sqref="I99">
    <cfRule type="expression" dxfId="0" priority="254">
      <formula>ISEVEN(ROW())</formula>
    </cfRule>
  </conditionalFormatting>
  <conditionalFormatting sqref="I102">
    <cfRule type="expression" dxfId="0" priority="255">
      <formula>ISEVEN(ROW())</formula>
    </cfRule>
  </conditionalFormatting>
  <conditionalFormatting sqref="I105">
    <cfRule type="expression" dxfId="0" priority="256">
      <formula>ISEVEN(ROW())</formula>
    </cfRule>
  </conditionalFormatting>
  <conditionalFormatting sqref="I111">
    <cfRule type="expression" dxfId="0" priority="257">
      <formula>ISEVEN(ROW())</formula>
    </cfRule>
  </conditionalFormatting>
  <conditionalFormatting sqref="I159">
    <cfRule type="expression" dxfId="0" priority="258">
      <formula>ISEVEN(ROW())</formula>
    </cfRule>
  </conditionalFormatting>
  <conditionalFormatting sqref="I160:I161">
    <cfRule type="expression" dxfId="0" priority="259">
      <formula>ISEVEN(ROW())</formula>
    </cfRule>
  </conditionalFormatting>
  <conditionalFormatting sqref="I162:I163">
    <cfRule type="expression" dxfId="0" priority="260">
      <formula>ISEVEN(ROW())</formula>
    </cfRule>
  </conditionalFormatting>
  <conditionalFormatting sqref="I164:I165">
    <cfRule type="expression" dxfId="0" priority="261">
      <formula>ISEVEN(ROW())</formula>
    </cfRule>
  </conditionalFormatting>
  <conditionalFormatting sqref="I166:I167">
    <cfRule type="expression" dxfId="0" priority="262">
      <formula>ISEVEN(ROW())</formula>
    </cfRule>
  </conditionalFormatting>
  <conditionalFormatting sqref="I168:I169 I171:I176">
    <cfRule type="expression" dxfId="0" priority="263">
      <formula>ISEVEN(ROW())</formula>
    </cfRule>
  </conditionalFormatting>
  <conditionalFormatting sqref="A319:A322 J319:J322">
    <cfRule type="expression" dxfId="0" priority="264">
      <formula>ISEVEN(ROW())</formula>
    </cfRule>
  </conditionalFormatting>
  <conditionalFormatting sqref="A319:B322 H319:H322 J319:J322">
    <cfRule type="expression" dxfId="0" priority="265">
      <formula>ISEVEN(ROW())</formula>
    </cfRule>
  </conditionalFormatting>
  <conditionalFormatting sqref="J319:J322">
    <cfRule type="expression" dxfId="0" priority="266">
      <formula>ISEVEN(ROW())</formula>
    </cfRule>
  </conditionalFormatting>
  <conditionalFormatting sqref="C319:C322">
    <cfRule type="expression" dxfId="0" priority="267">
      <formula>ISEVEN(ROW())</formula>
    </cfRule>
  </conditionalFormatting>
  <conditionalFormatting sqref="D319:D322">
    <cfRule type="expression" dxfId="0" priority="268">
      <formula>ISEVEN(ROW())</formula>
    </cfRule>
  </conditionalFormatting>
  <conditionalFormatting sqref="E319:E322 G319:G322">
    <cfRule type="expression" dxfId="0" priority="269">
      <formula>ISEVEN(ROW())</formula>
    </cfRule>
  </conditionalFormatting>
  <conditionalFormatting sqref="F319:F322">
    <cfRule type="expression" dxfId="0" priority="270">
      <formula>ISEVEN(ROW())</formula>
    </cfRule>
  </conditionalFormatting>
  <conditionalFormatting sqref="I319:I322">
    <cfRule type="expression" dxfId="0" priority="271">
      <formula>ISEVEN(ROW())</formula>
    </cfRule>
  </conditionalFormatting>
  <conditionalFormatting sqref="C248:G251">
    <cfRule type="expression" dxfId="0" priority="272">
      <formula>ISEVEN(ROW())</formula>
    </cfRule>
  </conditionalFormatting>
  <conditionalFormatting sqref="I248:I251">
    <cfRule type="expression" dxfId="0" priority="273">
      <formula>ISEVEN(ROW())</formula>
    </cfRule>
  </conditionalFormatting>
  <conditionalFormatting sqref="J141">
    <cfRule type="expression" dxfId="0" priority="274">
      <formula>ISEVEN(ROW())</formula>
    </cfRule>
  </conditionalFormatting>
  <conditionalFormatting sqref="J143">
    <cfRule type="expression" dxfId="0" priority="275">
      <formula>ISEVEN(ROW())</formula>
    </cfRule>
  </conditionalFormatting>
  <conditionalFormatting sqref="J145">
    <cfRule type="expression" dxfId="0" priority="276">
      <formula>ISEVEN(ROW())</formula>
    </cfRule>
  </conditionalFormatting>
  <conditionalFormatting sqref="J147">
    <cfRule type="expression" dxfId="0" priority="277">
      <formula>ISEVEN(ROW())</formula>
    </cfRule>
  </conditionalFormatting>
  <conditionalFormatting sqref="J149:J153">
    <cfRule type="expression" dxfId="0" priority="278">
      <formula>ISEVEN(ROW())</formula>
    </cfRule>
  </conditionalFormatting>
  <conditionalFormatting sqref="J150">
    <cfRule type="expression" dxfId="0" priority="279">
      <formula>ISEVEN(ROW())</formula>
    </cfRule>
  </conditionalFormatting>
  <conditionalFormatting sqref="J151">
    <cfRule type="expression" dxfId="0" priority="280">
      <formula>ISEVEN(ROW())</formula>
    </cfRule>
  </conditionalFormatting>
  <conditionalFormatting sqref="J152">
    <cfRule type="expression" dxfId="0" priority="281">
      <formula>ISEVEN(ROW())</formula>
    </cfRule>
  </conditionalFormatting>
  <conditionalFormatting sqref="J248:J251">
    <cfRule type="expression" dxfId="0" priority="282">
      <formula>ISEVEN(ROW())</formula>
    </cfRule>
  </conditionalFormatting>
  <conditionalFormatting sqref="J248:J251">
    <cfRule type="expression" dxfId="0" priority="283">
      <formula>ISEVEN(ROW())</formula>
    </cfRule>
  </conditionalFormatting>
  <conditionalFormatting sqref="J248:J251">
    <cfRule type="expression" dxfId="0" priority="284">
      <formula>ISEVEN(ROW())</formula>
    </cfRule>
  </conditionalFormatting>
  <conditionalFormatting sqref="I170">
    <cfRule type="expression" dxfId="0" priority="285">
      <formula>ISEVEN(ROW())</formula>
    </cfRule>
  </conditionalFormatting>
  <conditionalFormatting sqref="J163">
    <cfRule type="expression" dxfId="0" priority="286">
      <formula>ISEVEN(ROW())</formula>
    </cfRule>
  </conditionalFormatting>
  <conditionalFormatting sqref="J165">
    <cfRule type="expression" dxfId="0" priority="287">
      <formula>ISEVEN(ROW())</formula>
    </cfRule>
  </conditionalFormatting>
  <conditionalFormatting sqref="J167">
    <cfRule type="expression" dxfId="0" priority="288">
      <formula>ISEVEN(ROW())</formula>
    </cfRule>
  </conditionalFormatting>
  <conditionalFormatting sqref="J169">
    <cfRule type="expression" dxfId="0" priority="289">
      <formula>ISEVEN(ROW())</formula>
    </cfRule>
  </conditionalFormatting>
  <conditionalFormatting sqref="J170">
    <cfRule type="expression" dxfId="0" priority="290">
      <formula>ISEVEN(ROW())</formula>
    </cfRule>
  </conditionalFormatting>
  <conditionalFormatting sqref="J171">
    <cfRule type="expression" dxfId="0" priority="291">
      <formula>ISEVEN(ROW())</formula>
    </cfRule>
  </conditionalFormatting>
  <conditionalFormatting sqref="J172">
    <cfRule type="expression" dxfId="0" priority="292">
      <formula>ISEVEN(ROW())</formula>
    </cfRule>
  </conditionalFormatting>
  <conditionalFormatting sqref="J173:J175">
    <cfRule type="expression" dxfId="0" priority="293">
      <formula>ISEVEN(ROW())</formula>
    </cfRule>
  </conditionalFormatting>
  <conditionalFormatting sqref="J176">
    <cfRule type="expression" dxfId="0" priority="294">
      <formula>ISEVEN(ROW())</formula>
    </cfRule>
  </conditionalFormatting>
  <conditionalFormatting sqref="F194:F215">
    <cfRule type="expression" dxfId="0" priority="295">
      <formula>ISEVEN(ROW())</formula>
    </cfRule>
  </conditionalFormatting>
  <conditionalFormatting sqref="E174 G174">
    <cfRule type="expression" dxfId="0" priority="296">
      <formula>ISEVEN(ROW())</formula>
    </cfRule>
  </conditionalFormatting>
  <conditionalFormatting sqref="F174">
    <cfRule type="expression" dxfId="0" priority="297">
      <formula>ISEVEN(ROW())</formula>
    </cfRule>
  </conditionalFormatting>
  <conditionalFormatting sqref="E175:G175">
    <cfRule type="expression" dxfId="0" priority="298">
      <formula>ISEVEN(ROW())</formula>
    </cfRule>
  </conditionalFormatting>
  <conditionalFormatting sqref="I29">
    <cfRule type="expression" dxfId="0" priority="299">
      <formula>ISEVEN(ROW())</formula>
    </cfRule>
  </conditionalFormatting>
  <dataValidations>
    <dataValidation type="list" allowBlank="1" showDropDown="1" sqref="G2:G414">
      <formula1>"43101.0,1-N,0-1,0-N"</formula1>
    </dataValidation>
    <dataValidation type="list" allowBlank="1" showDropDown="1" sqref="E2:E414">
      <formula1>"E,G,CE,CG,A"</formula1>
    </dataValidation>
  </dataValidations>
  <hyperlinks>
    <hyperlink r:id="rId1" ref="I13"/>
    <hyperlink r:id="rId2" ref="I55"/>
    <hyperlink r:id="rId3" ref="I84"/>
    <hyperlink r:id="rId4" ref="I199"/>
    <hyperlink r:id="rId5" ref="I223"/>
    <hyperlink r:id="rId6" ref="I234"/>
    <hyperlink r:id="rId7" ref="I239"/>
    <hyperlink r:id="rId8" ref="I294"/>
    <hyperlink r:id="rId9" ref="I309"/>
    <hyperlink r:id="rId10" ref="I380"/>
  </hyperlinks>
  <printOptions/>
  <pageMargins bottom="0.7875" footer="0.0" header="0.0" left="0.511805555555556" right="0.511805555555556" top="0.7875"/>
  <pageSetup fitToHeight="0" paperSize="9"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.29"/>
    <col customWidth="1" min="2" max="2" width="4.43"/>
    <col customWidth="1" min="3" max="3" width="27.43"/>
    <col customWidth="1" min="4" max="4" width="39.71"/>
    <col customWidth="1" min="5" max="5" width="3.43"/>
    <col customWidth="1" min="6" max="6" width="7.43"/>
    <col customWidth="1" min="7" max="7" width="11.0"/>
    <col customWidth="1" min="8" max="8" width="5.57"/>
    <col customWidth="1" min="9" max="9" width="45.86"/>
    <col customWidth="1" min="10" max="10" width="13.43"/>
    <col customWidth="1" min="11" max="26" width="8.71"/>
  </cols>
  <sheetData>
    <row r="1" ht="12.75" customHeight="1">
      <c r="A1" s="121" t="s">
        <v>0</v>
      </c>
      <c r="B1" s="122" t="s">
        <v>1</v>
      </c>
      <c r="C1" s="121" t="s">
        <v>2</v>
      </c>
      <c r="D1" s="123" t="s">
        <v>3</v>
      </c>
      <c r="E1" s="121" t="s">
        <v>4</v>
      </c>
      <c r="F1" s="121" t="s">
        <v>5</v>
      </c>
      <c r="G1" s="121" t="s">
        <v>6</v>
      </c>
      <c r="H1" s="121" t="s">
        <v>7</v>
      </c>
      <c r="I1" s="121" t="s">
        <v>8</v>
      </c>
      <c r="J1" s="122" t="s">
        <v>9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2.75" customHeight="1">
      <c r="A2" s="7">
        <f t="shared" ref="A2:A21" si="1">ROW()-1</f>
        <v>1</v>
      </c>
      <c r="B2" s="8" t="str">
        <f t="shared" ref="B2:B21" si="2">CONCATENATE("D",IF(A2&lt;=9,0,),A2)</f>
        <v>D01</v>
      </c>
      <c r="C2" s="124" t="s">
        <v>1207</v>
      </c>
      <c r="D2" s="124" t="s">
        <v>12</v>
      </c>
      <c r="E2" s="125" t="s">
        <v>13</v>
      </c>
      <c r="F2" s="126" t="s">
        <v>14</v>
      </c>
      <c r="G2" s="127" t="s">
        <v>15</v>
      </c>
      <c r="H2" s="126" t="s">
        <v>1208</v>
      </c>
      <c r="I2" s="124" t="s">
        <v>1209</v>
      </c>
      <c r="J2" s="126" t="s">
        <v>16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2.75" customHeight="1">
      <c r="A3" s="15">
        <f t="shared" si="1"/>
        <v>2</v>
      </c>
      <c r="B3" s="16" t="str">
        <f t="shared" si="2"/>
        <v>D02</v>
      </c>
      <c r="C3" s="128" t="s">
        <v>1210</v>
      </c>
      <c r="D3" s="129" t="s">
        <v>1211</v>
      </c>
      <c r="E3" s="91" t="s">
        <v>23</v>
      </c>
      <c r="F3" s="130" t="s">
        <v>19</v>
      </c>
      <c r="G3" s="131" t="s">
        <v>15</v>
      </c>
      <c r="H3" s="130" t="str">
        <f t="shared" ref="H3:H16" si="3">B$2</f>
        <v>D01</v>
      </c>
      <c r="I3" s="132" t="s">
        <v>1212</v>
      </c>
      <c r="J3" s="130" t="s">
        <v>16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2.75" customHeight="1">
      <c r="A4" s="15">
        <f t="shared" si="1"/>
        <v>3</v>
      </c>
      <c r="B4" s="16" t="str">
        <f t="shared" si="2"/>
        <v>D03</v>
      </c>
      <c r="C4" s="128" t="s">
        <v>1213</v>
      </c>
      <c r="D4" s="132" t="s">
        <v>1214</v>
      </c>
      <c r="E4" s="91" t="s">
        <v>23</v>
      </c>
      <c r="F4" s="130" t="s">
        <v>417</v>
      </c>
      <c r="G4" s="131" t="s">
        <v>15</v>
      </c>
      <c r="H4" s="130" t="str">
        <f t="shared" si="3"/>
        <v>D01</v>
      </c>
      <c r="I4" s="132"/>
      <c r="J4" s="130" t="s">
        <v>16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2.75" customHeight="1">
      <c r="A5" s="15">
        <f t="shared" si="1"/>
        <v>4</v>
      </c>
      <c r="B5" s="16" t="str">
        <f t="shared" si="2"/>
        <v>D04</v>
      </c>
      <c r="C5" s="128" t="s">
        <v>1215</v>
      </c>
      <c r="D5" s="132" t="s">
        <v>1216</v>
      </c>
      <c r="E5" s="91" t="s">
        <v>13</v>
      </c>
      <c r="F5" s="130" t="s">
        <v>1217</v>
      </c>
      <c r="G5" s="131" t="s">
        <v>15</v>
      </c>
      <c r="H5" s="130" t="str">
        <f t="shared" si="3"/>
        <v>D01</v>
      </c>
      <c r="I5" s="132"/>
      <c r="J5" s="130" t="s">
        <v>16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2.75" customHeight="1">
      <c r="A6" s="15">
        <f t="shared" si="1"/>
        <v>5</v>
      </c>
      <c r="B6" s="16" t="str">
        <f t="shared" si="2"/>
        <v>D05</v>
      </c>
      <c r="C6" s="128" t="s">
        <v>1218</v>
      </c>
      <c r="D6" s="18" t="s">
        <v>57</v>
      </c>
      <c r="E6" s="16" t="s">
        <v>23</v>
      </c>
      <c r="F6" s="16" t="s">
        <v>58</v>
      </c>
      <c r="G6" s="19" t="s">
        <v>29</v>
      </c>
      <c r="H6" s="130" t="str">
        <f t="shared" si="3"/>
        <v>D01</v>
      </c>
      <c r="I6" s="132"/>
      <c r="J6" s="130" t="s">
        <v>61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2.75" customHeight="1">
      <c r="A7" s="15">
        <f t="shared" si="1"/>
        <v>6</v>
      </c>
      <c r="B7" s="16" t="str">
        <f t="shared" si="2"/>
        <v>D06</v>
      </c>
      <c r="C7" s="128" t="s">
        <v>1219</v>
      </c>
      <c r="D7" s="132" t="s">
        <v>1220</v>
      </c>
      <c r="E7" s="91" t="s">
        <v>23</v>
      </c>
      <c r="F7" s="130" t="s">
        <v>1221</v>
      </c>
      <c r="G7" s="131" t="s">
        <v>29</v>
      </c>
      <c r="H7" s="130" t="str">
        <f t="shared" si="3"/>
        <v>D01</v>
      </c>
      <c r="I7" s="132"/>
      <c r="J7" s="130" t="s">
        <v>16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2.75" customHeight="1">
      <c r="A8" s="15">
        <f t="shared" si="1"/>
        <v>7</v>
      </c>
      <c r="B8" s="16" t="str">
        <f t="shared" si="2"/>
        <v>D07</v>
      </c>
      <c r="C8" s="128" t="s">
        <v>1222</v>
      </c>
      <c r="D8" s="132" t="s">
        <v>1223</v>
      </c>
      <c r="E8" s="91" t="s">
        <v>23</v>
      </c>
      <c r="F8" s="130" t="s">
        <v>1224</v>
      </c>
      <c r="G8" s="131" t="s">
        <v>29</v>
      </c>
      <c r="H8" s="130" t="str">
        <f t="shared" si="3"/>
        <v>D01</v>
      </c>
      <c r="I8" s="132"/>
      <c r="J8" s="130" t="s">
        <v>16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2.75" customHeight="1">
      <c r="A9" s="15">
        <f t="shared" si="1"/>
        <v>8</v>
      </c>
      <c r="B9" s="16" t="str">
        <f t="shared" si="2"/>
        <v>D08</v>
      </c>
      <c r="C9" s="128" t="s">
        <v>1225</v>
      </c>
      <c r="D9" s="132" t="s">
        <v>1226</v>
      </c>
      <c r="E9" s="91" t="s">
        <v>23</v>
      </c>
      <c r="F9" s="130" t="s">
        <v>1227</v>
      </c>
      <c r="G9" s="131" t="s">
        <v>29</v>
      </c>
      <c r="H9" s="130" t="str">
        <f t="shared" si="3"/>
        <v>D01</v>
      </c>
      <c r="I9" s="132"/>
      <c r="J9" s="130" t="s">
        <v>16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2.75" customHeight="1">
      <c r="A10" s="15">
        <f t="shared" si="1"/>
        <v>9</v>
      </c>
      <c r="B10" s="16" t="str">
        <f t="shared" si="2"/>
        <v>D09</v>
      </c>
      <c r="C10" s="128" t="s">
        <v>1228</v>
      </c>
      <c r="D10" s="132" t="s">
        <v>1229</v>
      </c>
      <c r="E10" s="91" t="s">
        <v>23</v>
      </c>
      <c r="F10" s="130" t="s">
        <v>1224</v>
      </c>
      <c r="G10" s="131" t="s">
        <v>29</v>
      </c>
      <c r="H10" s="130" t="str">
        <f t="shared" si="3"/>
        <v>D01</v>
      </c>
      <c r="I10" s="132"/>
      <c r="J10" s="130" t="s">
        <v>16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2.75" customHeight="1">
      <c r="A11" s="15">
        <f t="shared" si="1"/>
        <v>10</v>
      </c>
      <c r="B11" s="16" t="str">
        <f t="shared" si="2"/>
        <v>D10</v>
      </c>
      <c r="C11" s="128" t="s">
        <v>1230</v>
      </c>
      <c r="D11" s="132" t="s">
        <v>1231</v>
      </c>
      <c r="E11" s="91" t="s">
        <v>23</v>
      </c>
      <c r="F11" s="130" t="s">
        <v>1227</v>
      </c>
      <c r="G11" s="131" t="s">
        <v>29</v>
      </c>
      <c r="H11" s="130" t="str">
        <f t="shared" si="3"/>
        <v>D01</v>
      </c>
      <c r="I11" s="132"/>
      <c r="J11" s="130" t="s">
        <v>16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2.75" customHeight="1">
      <c r="A12" s="15">
        <f t="shared" si="1"/>
        <v>11</v>
      </c>
      <c r="B12" s="16" t="str">
        <f t="shared" si="2"/>
        <v>D11</v>
      </c>
      <c r="C12" s="128" t="s">
        <v>1232</v>
      </c>
      <c r="D12" s="132" t="s">
        <v>1233</v>
      </c>
      <c r="E12" s="91" t="s">
        <v>23</v>
      </c>
      <c r="F12" s="130" t="s">
        <v>1224</v>
      </c>
      <c r="G12" s="131" t="s">
        <v>29</v>
      </c>
      <c r="H12" s="130" t="str">
        <f t="shared" si="3"/>
        <v>D01</v>
      </c>
      <c r="I12" s="132" t="s">
        <v>1234</v>
      </c>
      <c r="J12" s="130" t="s">
        <v>16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2.75" customHeight="1">
      <c r="A13" s="15">
        <f t="shared" si="1"/>
        <v>12</v>
      </c>
      <c r="B13" s="16" t="str">
        <f t="shared" si="2"/>
        <v>D12</v>
      </c>
      <c r="C13" s="128" t="s">
        <v>1235</v>
      </c>
      <c r="D13" s="132" t="s">
        <v>1236</v>
      </c>
      <c r="E13" s="91" t="s">
        <v>23</v>
      </c>
      <c r="F13" s="130" t="s">
        <v>1217</v>
      </c>
      <c r="G13" s="131" t="s">
        <v>29</v>
      </c>
      <c r="H13" s="130" t="str">
        <f t="shared" si="3"/>
        <v>D01</v>
      </c>
      <c r="I13" s="132" t="s">
        <v>1234</v>
      </c>
      <c r="J13" s="130" t="s">
        <v>16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2.75" customHeight="1">
      <c r="A14" s="15">
        <f t="shared" si="1"/>
        <v>13</v>
      </c>
      <c r="B14" s="16" t="str">
        <f t="shared" si="2"/>
        <v>D13</v>
      </c>
      <c r="C14" s="51" t="s">
        <v>1237</v>
      </c>
      <c r="D14" s="133" t="s">
        <v>1238</v>
      </c>
      <c r="E14" s="91" t="s">
        <v>23</v>
      </c>
      <c r="F14" s="91" t="s">
        <v>1239</v>
      </c>
      <c r="G14" s="134" t="s">
        <v>29</v>
      </c>
      <c r="H14" s="91" t="str">
        <f t="shared" si="3"/>
        <v>D01</v>
      </c>
      <c r="I14" s="135" t="s">
        <v>1240</v>
      </c>
      <c r="J14" s="91" t="s">
        <v>1241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2.75" customHeight="1">
      <c r="A15" s="15">
        <f t="shared" si="1"/>
        <v>14</v>
      </c>
      <c r="B15" s="16" t="str">
        <f t="shared" si="2"/>
        <v>D14</v>
      </c>
      <c r="C15" s="51" t="s">
        <v>1242</v>
      </c>
      <c r="D15" s="133" t="s">
        <v>1243</v>
      </c>
      <c r="E15" s="91" t="s">
        <v>23</v>
      </c>
      <c r="F15" s="91" t="s">
        <v>1239</v>
      </c>
      <c r="G15" s="134" t="s">
        <v>29</v>
      </c>
      <c r="H15" s="91" t="str">
        <f t="shared" si="3"/>
        <v>D01</v>
      </c>
      <c r="I15" s="135"/>
      <c r="J15" s="91" t="s">
        <v>1241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2.75" customHeight="1">
      <c r="A16" s="7">
        <f t="shared" si="1"/>
        <v>15</v>
      </c>
      <c r="B16" s="8" t="str">
        <f t="shared" si="2"/>
        <v>D15</v>
      </c>
      <c r="C16" s="136" t="s">
        <v>1244</v>
      </c>
      <c r="D16" s="124" t="s">
        <v>1245</v>
      </c>
      <c r="E16" s="125" t="s">
        <v>23</v>
      </c>
      <c r="F16" s="126" t="s">
        <v>14</v>
      </c>
      <c r="G16" s="127" t="s">
        <v>15</v>
      </c>
      <c r="H16" s="126" t="str">
        <f t="shared" si="3"/>
        <v>D01</v>
      </c>
      <c r="I16" s="124"/>
      <c r="J16" s="126" t="s">
        <v>16</v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2.75" customHeight="1">
      <c r="A17" s="15">
        <f t="shared" si="1"/>
        <v>16</v>
      </c>
      <c r="B17" s="16" t="str">
        <f t="shared" si="2"/>
        <v>D16</v>
      </c>
      <c r="C17" s="128" t="s">
        <v>1246</v>
      </c>
      <c r="D17" s="132" t="s">
        <v>1247</v>
      </c>
      <c r="E17" s="91" t="s">
        <v>23</v>
      </c>
      <c r="F17" s="130" t="s">
        <v>417</v>
      </c>
      <c r="G17" s="131" t="s">
        <v>29</v>
      </c>
      <c r="H17" s="130" t="str">
        <f t="shared" ref="H17:H18" si="4">B$16</f>
        <v>D15</v>
      </c>
      <c r="I17" s="132"/>
      <c r="J17" s="130" t="s">
        <v>16</v>
      </c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2.75" customHeight="1">
      <c r="A18" s="15">
        <f t="shared" si="1"/>
        <v>17</v>
      </c>
      <c r="B18" s="16" t="str">
        <f t="shared" si="2"/>
        <v>D17</v>
      </c>
      <c r="C18" s="128" t="s">
        <v>1248</v>
      </c>
      <c r="D18" s="132" t="s">
        <v>1249</v>
      </c>
      <c r="E18" s="91" t="s">
        <v>23</v>
      </c>
      <c r="F18" s="130" t="s">
        <v>1221</v>
      </c>
      <c r="G18" s="131" t="s">
        <v>29</v>
      </c>
      <c r="H18" s="130" t="str">
        <f t="shared" si="4"/>
        <v>D15</v>
      </c>
      <c r="I18" s="132"/>
      <c r="J18" s="130" t="s">
        <v>16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2.75" customHeight="1">
      <c r="A19" s="7">
        <f t="shared" si="1"/>
        <v>18</v>
      </c>
      <c r="B19" s="8" t="str">
        <f t="shared" si="2"/>
        <v>D18</v>
      </c>
      <c r="C19" s="136" t="s">
        <v>1250</v>
      </c>
      <c r="D19" s="124"/>
      <c r="E19" s="125" t="s">
        <v>23</v>
      </c>
      <c r="F19" s="126" t="s">
        <v>14</v>
      </c>
      <c r="G19" s="127" t="s">
        <v>15</v>
      </c>
      <c r="H19" s="126" t="str">
        <f>B$2</f>
        <v>D01</v>
      </c>
      <c r="I19" s="124"/>
      <c r="J19" s="126" t="s">
        <v>16</v>
      </c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2.75" customHeight="1">
      <c r="A20" s="15">
        <f t="shared" si="1"/>
        <v>19</v>
      </c>
      <c r="B20" s="16" t="str">
        <f t="shared" si="2"/>
        <v>D19</v>
      </c>
      <c r="C20" s="128" t="s">
        <v>1251</v>
      </c>
      <c r="D20" s="132" t="s">
        <v>1252</v>
      </c>
      <c r="E20" s="91" t="s">
        <v>23</v>
      </c>
      <c r="F20" s="130" t="s">
        <v>784</v>
      </c>
      <c r="G20" s="131" t="s">
        <v>15</v>
      </c>
      <c r="H20" s="130" t="str">
        <f t="shared" ref="H20:H21" si="5">B$19</f>
        <v>D18</v>
      </c>
      <c r="I20" s="132"/>
      <c r="J20" s="130" t="s">
        <v>16</v>
      </c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2.75" customHeight="1">
      <c r="A21" s="15">
        <f t="shared" si="1"/>
        <v>20</v>
      </c>
      <c r="B21" s="16" t="str">
        <f t="shared" si="2"/>
        <v>D20</v>
      </c>
      <c r="C21" s="128" t="s">
        <v>1253</v>
      </c>
      <c r="D21" s="132" t="s">
        <v>1254</v>
      </c>
      <c r="E21" s="91" t="s">
        <v>23</v>
      </c>
      <c r="F21" s="130" t="s">
        <v>1239</v>
      </c>
      <c r="G21" s="131" t="s">
        <v>15</v>
      </c>
      <c r="H21" s="130" t="str">
        <f t="shared" si="5"/>
        <v>D18</v>
      </c>
      <c r="I21" s="132"/>
      <c r="J21" s="130" t="s">
        <v>16</v>
      </c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2.75" customHeight="1">
      <c r="A22" s="6"/>
      <c r="B22" s="6"/>
      <c r="C22" s="6"/>
      <c r="D22" s="6"/>
      <c r="E22" s="6"/>
      <c r="F22" s="6"/>
      <c r="G22" s="137"/>
      <c r="H22" s="6"/>
      <c r="I22" s="6"/>
      <c r="J22" s="10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2.75" customHeight="1">
      <c r="A23" s="6"/>
      <c r="B23" s="6"/>
      <c r="C23" s="6"/>
      <c r="D23" s="6"/>
      <c r="E23" s="6"/>
      <c r="F23" s="6"/>
      <c r="G23" s="137"/>
      <c r="H23" s="6"/>
      <c r="I23" s="6"/>
      <c r="J23" s="10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2.75" customHeight="1">
      <c r="A24" s="6"/>
      <c r="B24" s="6"/>
      <c r="C24" s="6"/>
      <c r="D24" s="6"/>
      <c r="E24" s="6"/>
      <c r="F24" s="6"/>
      <c r="G24" s="137"/>
      <c r="H24" s="6"/>
      <c r="I24" s="6"/>
      <c r="J24" s="10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2.75" customHeight="1">
      <c r="A25" s="6"/>
      <c r="B25" s="6"/>
      <c r="C25" s="6"/>
      <c r="D25" s="6"/>
      <c r="E25" s="6"/>
      <c r="F25" s="6"/>
      <c r="G25" s="137"/>
      <c r="H25" s="6"/>
      <c r="I25" s="6"/>
      <c r="J25" s="10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2.75" customHeight="1">
      <c r="A26" s="6"/>
      <c r="B26" s="6"/>
      <c r="C26" s="6"/>
      <c r="D26" s="6"/>
      <c r="E26" s="6"/>
      <c r="F26" s="6"/>
      <c r="G26" s="137"/>
      <c r="H26" s="6"/>
      <c r="I26" s="6"/>
      <c r="J26" s="10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2.75" customHeight="1">
      <c r="A27" s="6"/>
      <c r="B27" s="6"/>
      <c r="C27" s="6"/>
      <c r="D27" s="6"/>
      <c r="E27" s="6"/>
      <c r="F27" s="6"/>
      <c r="G27" s="137"/>
      <c r="H27" s="6"/>
      <c r="I27" s="6"/>
      <c r="J27" s="10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2.75" customHeight="1">
      <c r="A28" s="6"/>
      <c r="B28" s="6"/>
      <c r="C28" s="6"/>
      <c r="D28" s="6"/>
      <c r="E28" s="6"/>
      <c r="F28" s="6"/>
      <c r="G28" s="137"/>
      <c r="H28" s="6"/>
      <c r="I28" s="6"/>
      <c r="J28" s="10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2.75" customHeight="1">
      <c r="A29" s="6"/>
      <c r="B29" s="6"/>
      <c r="C29" s="6"/>
      <c r="D29" s="6"/>
      <c r="E29" s="6"/>
      <c r="F29" s="6"/>
      <c r="G29" s="137"/>
      <c r="H29" s="6"/>
      <c r="I29" s="6"/>
      <c r="J29" s="10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2.75" customHeight="1">
      <c r="A30" s="6"/>
      <c r="B30" s="6"/>
      <c r="C30" s="6"/>
      <c r="D30" s="6"/>
      <c r="E30" s="6"/>
      <c r="F30" s="6"/>
      <c r="G30" s="137"/>
      <c r="H30" s="6"/>
      <c r="I30" s="6"/>
      <c r="J30" s="10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2.75" customHeight="1">
      <c r="A31" s="6"/>
      <c r="B31" s="6"/>
      <c r="C31" s="6"/>
      <c r="D31" s="6"/>
      <c r="E31" s="6"/>
      <c r="F31" s="6"/>
      <c r="G31" s="137"/>
      <c r="H31" s="6"/>
      <c r="I31" s="6"/>
      <c r="J31" s="10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2.75" customHeight="1">
      <c r="A32" s="6"/>
      <c r="B32" s="6"/>
      <c r="C32" s="6"/>
      <c r="D32" s="6"/>
      <c r="E32" s="6"/>
      <c r="F32" s="6"/>
      <c r="G32" s="137"/>
      <c r="H32" s="6"/>
      <c r="I32" s="6"/>
      <c r="J32" s="10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2.75" customHeight="1">
      <c r="A33" s="6"/>
      <c r="B33" s="6"/>
      <c r="C33" s="6"/>
      <c r="D33" s="6"/>
      <c r="E33" s="6"/>
      <c r="F33" s="6"/>
      <c r="G33" s="137"/>
      <c r="H33" s="6"/>
      <c r="I33" s="6"/>
      <c r="J33" s="10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2.75" customHeight="1">
      <c r="A34" s="6"/>
      <c r="B34" s="6"/>
      <c r="C34" s="6"/>
      <c r="D34" s="6"/>
      <c r="E34" s="6"/>
      <c r="F34" s="6"/>
      <c r="G34" s="137"/>
      <c r="H34" s="6"/>
      <c r="I34" s="6"/>
      <c r="J34" s="10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2.75" customHeight="1">
      <c r="A35" s="6"/>
      <c r="B35" s="6"/>
      <c r="C35" s="6"/>
      <c r="D35" s="6"/>
      <c r="E35" s="6"/>
      <c r="F35" s="6"/>
      <c r="G35" s="137"/>
      <c r="H35" s="6"/>
      <c r="I35" s="6"/>
      <c r="J35" s="10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2.75" customHeight="1">
      <c r="A36" s="6"/>
      <c r="B36" s="6"/>
      <c r="C36" s="6"/>
      <c r="D36" s="6"/>
      <c r="E36" s="6"/>
      <c r="F36" s="6"/>
      <c r="G36" s="137"/>
      <c r="H36" s="6"/>
      <c r="I36" s="6"/>
      <c r="J36" s="10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2.75" customHeight="1">
      <c r="A37" s="6"/>
      <c r="B37" s="6"/>
      <c r="C37" s="6"/>
      <c r="D37" s="6"/>
      <c r="E37" s="6"/>
      <c r="F37" s="6"/>
      <c r="G37" s="137"/>
      <c r="H37" s="6"/>
      <c r="I37" s="6"/>
      <c r="J37" s="10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2.75" customHeight="1">
      <c r="A38" s="6"/>
      <c r="B38" s="6"/>
      <c r="C38" s="6"/>
      <c r="D38" s="6"/>
      <c r="E38" s="6"/>
      <c r="F38" s="6"/>
      <c r="G38" s="137"/>
      <c r="H38" s="6"/>
      <c r="I38" s="6"/>
      <c r="J38" s="10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2.75" customHeight="1">
      <c r="A39" s="6"/>
      <c r="B39" s="6"/>
      <c r="C39" s="6"/>
      <c r="D39" s="6"/>
      <c r="E39" s="6"/>
      <c r="F39" s="6"/>
      <c r="G39" s="137"/>
      <c r="H39" s="6"/>
      <c r="I39" s="6"/>
      <c r="J39" s="10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2.75" customHeight="1">
      <c r="A40" s="6"/>
      <c r="B40" s="6"/>
      <c r="C40" s="6"/>
      <c r="D40" s="6"/>
      <c r="E40" s="6"/>
      <c r="F40" s="6"/>
      <c r="G40" s="137"/>
      <c r="H40" s="6"/>
      <c r="I40" s="6"/>
      <c r="J40" s="10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2.75" customHeight="1">
      <c r="A41" s="6"/>
      <c r="B41" s="6"/>
      <c r="C41" s="6"/>
      <c r="D41" s="6"/>
      <c r="E41" s="6"/>
      <c r="F41" s="6"/>
      <c r="G41" s="137"/>
      <c r="H41" s="6"/>
      <c r="I41" s="6"/>
      <c r="J41" s="105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2.75" customHeight="1">
      <c r="A42" s="6"/>
      <c r="B42" s="6"/>
      <c r="C42" s="6"/>
      <c r="D42" s="6"/>
      <c r="E42" s="6"/>
      <c r="F42" s="6"/>
      <c r="G42" s="137"/>
      <c r="H42" s="6"/>
      <c r="I42" s="6"/>
      <c r="J42" s="105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2.75" customHeight="1">
      <c r="A43" s="6"/>
      <c r="B43" s="6"/>
      <c r="C43" s="6"/>
      <c r="D43" s="6"/>
      <c r="E43" s="6"/>
      <c r="F43" s="6"/>
      <c r="G43" s="137"/>
      <c r="H43" s="6"/>
      <c r="I43" s="6"/>
      <c r="J43" s="105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2.75" customHeight="1">
      <c r="A44" s="6"/>
      <c r="B44" s="6"/>
      <c r="C44" s="6"/>
      <c r="D44" s="6"/>
      <c r="E44" s="6"/>
      <c r="F44" s="6"/>
      <c r="G44" s="137"/>
      <c r="H44" s="6"/>
      <c r="I44" s="6"/>
      <c r="J44" s="105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2.75" customHeight="1">
      <c r="A45" s="6"/>
      <c r="B45" s="6"/>
      <c r="C45" s="6"/>
      <c r="D45" s="6"/>
      <c r="E45" s="6"/>
      <c r="F45" s="6"/>
      <c r="G45" s="137"/>
      <c r="H45" s="6"/>
      <c r="I45" s="6"/>
      <c r="J45" s="10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2.75" customHeight="1">
      <c r="A46" s="6"/>
      <c r="B46" s="6"/>
      <c r="C46" s="6"/>
      <c r="D46" s="6"/>
      <c r="E46" s="6"/>
      <c r="F46" s="6"/>
      <c r="G46" s="137"/>
      <c r="H46" s="6"/>
      <c r="I46" s="6"/>
      <c r="J46" s="105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2.75" customHeight="1">
      <c r="A47" s="6"/>
      <c r="B47" s="6"/>
      <c r="C47" s="6"/>
      <c r="D47" s="6"/>
      <c r="E47" s="6"/>
      <c r="F47" s="6"/>
      <c r="G47" s="137"/>
      <c r="H47" s="6"/>
      <c r="I47" s="6"/>
      <c r="J47" s="105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2.75" customHeight="1">
      <c r="A48" s="6"/>
      <c r="B48" s="6"/>
      <c r="C48" s="6"/>
      <c r="D48" s="6"/>
      <c r="E48" s="6"/>
      <c r="F48" s="6"/>
      <c r="G48" s="137"/>
      <c r="H48" s="6"/>
      <c r="I48" s="6"/>
      <c r="J48" s="105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2.75" customHeight="1">
      <c r="A49" s="6"/>
      <c r="B49" s="6"/>
      <c r="C49" s="6"/>
      <c r="D49" s="6"/>
      <c r="E49" s="6"/>
      <c r="F49" s="6"/>
      <c r="G49" s="137"/>
      <c r="H49" s="6"/>
      <c r="I49" s="6"/>
      <c r="J49" s="105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2.75" customHeight="1">
      <c r="A50" s="6"/>
      <c r="B50" s="6"/>
      <c r="C50" s="6"/>
      <c r="D50" s="6"/>
      <c r="E50" s="6"/>
      <c r="F50" s="6"/>
      <c r="G50" s="137"/>
      <c r="H50" s="6"/>
      <c r="I50" s="6"/>
      <c r="J50" s="105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2.75" customHeight="1">
      <c r="A51" s="6"/>
      <c r="B51" s="6"/>
      <c r="C51" s="6"/>
      <c r="D51" s="6"/>
      <c r="E51" s="6"/>
      <c r="F51" s="6"/>
      <c r="G51" s="137"/>
      <c r="H51" s="6"/>
      <c r="I51" s="6"/>
      <c r="J51" s="105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2.75" customHeight="1">
      <c r="A52" s="6"/>
      <c r="B52" s="6"/>
      <c r="C52" s="6"/>
      <c r="D52" s="6"/>
      <c r="E52" s="6"/>
      <c r="F52" s="6"/>
      <c r="G52" s="137"/>
      <c r="H52" s="6"/>
      <c r="I52" s="6"/>
      <c r="J52" s="105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2.75" customHeight="1">
      <c r="A53" s="6"/>
      <c r="B53" s="6"/>
      <c r="C53" s="6"/>
      <c r="D53" s="6"/>
      <c r="E53" s="6"/>
      <c r="F53" s="6"/>
      <c r="G53" s="137"/>
      <c r="H53" s="6"/>
      <c r="I53" s="6"/>
      <c r="J53" s="105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2.75" customHeight="1">
      <c r="A54" s="6"/>
      <c r="B54" s="6"/>
      <c r="C54" s="6"/>
      <c r="D54" s="6"/>
      <c r="E54" s="6"/>
      <c r="F54" s="6"/>
      <c r="G54" s="137"/>
      <c r="H54" s="6"/>
      <c r="I54" s="6"/>
      <c r="J54" s="105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2.75" customHeight="1">
      <c r="A55" s="6"/>
      <c r="B55" s="6"/>
      <c r="C55" s="6"/>
      <c r="D55" s="6"/>
      <c r="E55" s="6"/>
      <c r="F55" s="6"/>
      <c r="G55" s="137"/>
      <c r="H55" s="6"/>
      <c r="I55" s="6"/>
      <c r="J55" s="10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2.75" customHeight="1">
      <c r="A56" s="6"/>
      <c r="B56" s="6"/>
      <c r="C56" s="6"/>
      <c r="D56" s="6"/>
      <c r="E56" s="6"/>
      <c r="F56" s="6"/>
      <c r="G56" s="137"/>
      <c r="H56" s="6"/>
      <c r="I56" s="6"/>
      <c r="J56" s="105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2.75" customHeight="1">
      <c r="A57" s="6"/>
      <c r="B57" s="6"/>
      <c r="C57" s="6"/>
      <c r="D57" s="6"/>
      <c r="E57" s="6"/>
      <c r="F57" s="6"/>
      <c r="G57" s="137"/>
      <c r="H57" s="6"/>
      <c r="I57" s="6"/>
      <c r="J57" s="105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2.75" customHeight="1">
      <c r="A58" s="6"/>
      <c r="B58" s="6"/>
      <c r="C58" s="6"/>
      <c r="D58" s="6"/>
      <c r="E58" s="6"/>
      <c r="F58" s="6"/>
      <c r="G58" s="137"/>
      <c r="H58" s="6"/>
      <c r="I58" s="6"/>
      <c r="J58" s="105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2.75" customHeight="1">
      <c r="A59" s="6"/>
      <c r="B59" s="6"/>
      <c r="C59" s="6"/>
      <c r="D59" s="6"/>
      <c r="E59" s="6"/>
      <c r="F59" s="6"/>
      <c r="G59" s="137"/>
      <c r="H59" s="6"/>
      <c r="I59" s="6"/>
      <c r="J59" s="105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2.75" customHeight="1">
      <c r="A60" s="6"/>
      <c r="B60" s="6"/>
      <c r="C60" s="6"/>
      <c r="D60" s="6"/>
      <c r="E60" s="6"/>
      <c r="F60" s="6"/>
      <c r="G60" s="137"/>
      <c r="H60" s="6"/>
      <c r="I60" s="6"/>
      <c r="J60" s="105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2.75" customHeight="1">
      <c r="A61" s="6"/>
      <c r="B61" s="6"/>
      <c r="C61" s="6"/>
      <c r="D61" s="6"/>
      <c r="E61" s="6"/>
      <c r="F61" s="6"/>
      <c r="G61" s="137"/>
      <c r="H61" s="6"/>
      <c r="I61" s="6"/>
      <c r="J61" s="105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2.75" customHeight="1">
      <c r="A62" s="6"/>
      <c r="B62" s="6"/>
      <c r="C62" s="6"/>
      <c r="D62" s="6"/>
      <c r="E62" s="6"/>
      <c r="F62" s="6"/>
      <c r="G62" s="137"/>
      <c r="H62" s="6"/>
      <c r="I62" s="6"/>
      <c r="J62" s="105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2.75" customHeight="1">
      <c r="A63" s="6"/>
      <c r="B63" s="6"/>
      <c r="C63" s="6"/>
      <c r="D63" s="6"/>
      <c r="E63" s="6"/>
      <c r="F63" s="6"/>
      <c r="G63" s="137"/>
      <c r="H63" s="6"/>
      <c r="I63" s="6"/>
      <c r="J63" s="105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2.75" customHeight="1">
      <c r="A64" s="6"/>
      <c r="B64" s="6"/>
      <c r="C64" s="6"/>
      <c r="D64" s="6"/>
      <c r="E64" s="6"/>
      <c r="F64" s="6"/>
      <c r="G64" s="137"/>
      <c r="H64" s="6"/>
      <c r="I64" s="6"/>
      <c r="J64" s="105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2.75" customHeight="1">
      <c r="A65" s="6"/>
      <c r="B65" s="6"/>
      <c r="C65" s="6"/>
      <c r="D65" s="6"/>
      <c r="E65" s="6"/>
      <c r="F65" s="6"/>
      <c r="G65" s="137"/>
      <c r="H65" s="6"/>
      <c r="I65" s="6"/>
      <c r="J65" s="10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2.75" customHeight="1">
      <c r="A66" s="6"/>
      <c r="B66" s="6"/>
      <c r="C66" s="6"/>
      <c r="D66" s="6"/>
      <c r="E66" s="6"/>
      <c r="F66" s="6"/>
      <c r="G66" s="137"/>
      <c r="H66" s="6"/>
      <c r="I66" s="6"/>
      <c r="J66" s="105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2.75" customHeight="1">
      <c r="A67" s="6"/>
      <c r="B67" s="6"/>
      <c r="C67" s="6"/>
      <c r="D67" s="6"/>
      <c r="E67" s="6"/>
      <c r="F67" s="6"/>
      <c r="G67" s="137"/>
      <c r="H67" s="6"/>
      <c r="I67" s="6"/>
      <c r="J67" s="105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2.75" customHeight="1">
      <c r="A68" s="6"/>
      <c r="B68" s="6"/>
      <c r="C68" s="6"/>
      <c r="D68" s="6"/>
      <c r="E68" s="6"/>
      <c r="F68" s="6"/>
      <c r="G68" s="137"/>
      <c r="H68" s="6"/>
      <c r="I68" s="6"/>
      <c r="J68" s="105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2.75" customHeight="1">
      <c r="A69" s="6"/>
      <c r="B69" s="6"/>
      <c r="C69" s="6"/>
      <c r="D69" s="6"/>
      <c r="E69" s="6"/>
      <c r="F69" s="6"/>
      <c r="G69" s="137"/>
      <c r="H69" s="6"/>
      <c r="I69" s="6"/>
      <c r="J69" s="105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2.75" customHeight="1">
      <c r="A70" s="6"/>
      <c r="B70" s="6"/>
      <c r="C70" s="6"/>
      <c r="D70" s="6"/>
      <c r="E70" s="6"/>
      <c r="F70" s="6"/>
      <c r="G70" s="137"/>
      <c r="H70" s="6"/>
      <c r="I70" s="6"/>
      <c r="J70" s="105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2.75" customHeight="1">
      <c r="A71" s="6"/>
      <c r="B71" s="6"/>
      <c r="C71" s="6"/>
      <c r="D71" s="6"/>
      <c r="E71" s="6"/>
      <c r="F71" s="6"/>
      <c r="G71" s="137"/>
      <c r="H71" s="6"/>
      <c r="I71" s="6"/>
      <c r="J71" s="105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2.75" customHeight="1">
      <c r="A72" s="6"/>
      <c r="B72" s="6"/>
      <c r="C72" s="6"/>
      <c r="D72" s="6"/>
      <c r="E72" s="6"/>
      <c r="F72" s="6"/>
      <c r="G72" s="137"/>
      <c r="H72" s="6"/>
      <c r="I72" s="6"/>
      <c r="J72" s="105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2.75" customHeight="1">
      <c r="A73" s="6"/>
      <c r="B73" s="6"/>
      <c r="C73" s="6"/>
      <c r="D73" s="6"/>
      <c r="E73" s="6"/>
      <c r="F73" s="6"/>
      <c r="G73" s="137"/>
      <c r="H73" s="6"/>
      <c r="I73" s="6"/>
      <c r="J73" s="105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2.75" customHeight="1">
      <c r="A74" s="6"/>
      <c r="B74" s="6"/>
      <c r="C74" s="6"/>
      <c r="D74" s="6"/>
      <c r="E74" s="6"/>
      <c r="F74" s="6"/>
      <c r="G74" s="137"/>
      <c r="H74" s="6"/>
      <c r="I74" s="6"/>
      <c r="J74" s="105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2.75" customHeight="1">
      <c r="A75" s="6"/>
      <c r="B75" s="6"/>
      <c r="C75" s="6"/>
      <c r="D75" s="6"/>
      <c r="E75" s="6"/>
      <c r="F75" s="6"/>
      <c r="G75" s="137"/>
      <c r="H75" s="6"/>
      <c r="I75" s="6"/>
      <c r="J75" s="10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2.75" customHeight="1">
      <c r="A76" s="6"/>
      <c r="B76" s="6"/>
      <c r="C76" s="6"/>
      <c r="D76" s="6"/>
      <c r="E76" s="6"/>
      <c r="F76" s="6"/>
      <c r="G76" s="137"/>
      <c r="H76" s="6"/>
      <c r="I76" s="6"/>
      <c r="J76" s="10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2.75" customHeight="1">
      <c r="A77" s="6"/>
      <c r="B77" s="6"/>
      <c r="C77" s="6"/>
      <c r="D77" s="6"/>
      <c r="E77" s="6"/>
      <c r="F77" s="6"/>
      <c r="G77" s="137"/>
      <c r="H77" s="6"/>
      <c r="I77" s="6"/>
      <c r="J77" s="105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2.75" customHeight="1">
      <c r="A78" s="6"/>
      <c r="B78" s="6"/>
      <c r="C78" s="6"/>
      <c r="D78" s="6"/>
      <c r="E78" s="6"/>
      <c r="F78" s="6"/>
      <c r="G78" s="137"/>
      <c r="H78" s="6"/>
      <c r="I78" s="6"/>
      <c r="J78" s="105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2.75" customHeight="1">
      <c r="A79" s="6"/>
      <c r="B79" s="6"/>
      <c r="C79" s="6"/>
      <c r="D79" s="6"/>
      <c r="E79" s="6"/>
      <c r="F79" s="6"/>
      <c r="G79" s="137"/>
      <c r="H79" s="6"/>
      <c r="I79" s="6"/>
      <c r="J79" s="105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2.75" customHeight="1">
      <c r="A80" s="6"/>
      <c r="B80" s="6"/>
      <c r="C80" s="6"/>
      <c r="D80" s="6"/>
      <c r="E80" s="6"/>
      <c r="F80" s="6"/>
      <c r="G80" s="137"/>
      <c r="H80" s="6"/>
      <c r="I80" s="6"/>
      <c r="J80" s="105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2.75" customHeight="1">
      <c r="A81" s="6"/>
      <c r="B81" s="6"/>
      <c r="C81" s="6"/>
      <c r="D81" s="6"/>
      <c r="E81" s="6"/>
      <c r="F81" s="6"/>
      <c r="G81" s="137"/>
      <c r="H81" s="6"/>
      <c r="I81" s="6"/>
      <c r="J81" s="105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2.75" customHeight="1">
      <c r="A82" s="6"/>
      <c r="B82" s="6"/>
      <c r="C82" s="6"/>
      <c r="D82" s="6"/>
      <c r="E82" s="6"/>
      <c r="F82" s="6"/>
      <c r="G82" s="137"/>
      <c r="H82" s="6"/>
      <c r="I82" s="6"/>
      <c r="J82" s="105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2.75" customHeight="1">
      <c r="A83" s="6"/>
      <c r="B83" s="6"/>
      <c r="C83" s="6"/>
      <c r="D83" s="6"/>
      <c r="E83" s="6"/>
      <c r="F83" s="6"/>
      <c r="G83" s="137"/>
      <c r="H83" s="6"/>
      <c r="I83" s="6"/>
      <c r="J83" s="105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2.75" customHeight="1">
      <c r="A84" s="6"/>
      <c r="B84" s="6"/>
      <c r="C84" s="6"/>
      <c r="D84" s="6"/>
      <c r="E84" s="6"/>
      <c r="F84" s="6"/>
      <c r="G84" s="137"/>
      <c r="H84" s="6"/>
      <c r="I84" s="6"/>
      <c r="J84" s="105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2.75" customHeight="1">
      <c r="A85" s="6"/>
      <c r="B85" s="6"/>
      <c r="C85" s="6"/>
      <c r="D85" s="6"/>
      <c r="E85" s="6"/>
      <c r="F85" s="6"/>
      <c r="G85" s="137"/>
      <c r="H85" s="6"/>
      <c r="I85" s="6"/>
      <c r="J85" s="105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2.75" customHeight="1">
      <c r="A86" s="6"/>
      <c r="B86" s="6"/>
      <c r="C86" s="6"/>
      <c r="D86" s="6"/>
      <c r="E86" s="6"/>
      <c r="F86" s="6"/>
      <c r="G86" s="137"/>
      <c r="H86" s="6"/>
      <c r="I86" s="6"/>
      <c r="J86" s="105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2.75" customHeight="1">
      <c r="A87" s="6"/>
      <c r="B87" s="6"/>
      <c r="C87" s="6"/>
      <c r="D87" s="6"/>
      <c r="E87" s="6"/>
      <c r="F87" s="6"/>
      <c r="G87" s="137"/>
      <c r="H87" s="6"/>
      <c r="I87" s="6"/>
      <c r="J87" s="105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2.75" customHeight="1">
      <c r="A88" s="6"/>
      <c r="B88" s="6"/>
      <c r="C88" s="6"/>
      <c r="D88" s="6"/>
      <c r="E88" s="6"/>
      <c r="F88" s="6"/>
      <c r="G88" s="137"/>
      <c r="H88" s="6"/>
      <c r="I88" s="6"/>
      <c r="J88" s="105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2.75" customHeight="1">
      <c r="A89" s="6"/>
      <c r="B89" s="6"/>
      <c r="C89" s="6"/>
      <c r="D89" s="6"/>
      <c r="E89" s="6"/>
      <c r="F89" s="6"/>
      <c r="G89" s="137"/>
      <c r="H89" s="6"/>
      <c r="I89" s="6"/>
      <c r="J89" s="105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2.75" customHeight="1">
      <c r="A90" s="6"/>
      <c r="B90" s="6"/>
      <c r="C90" s="6"/>
      <c r="D90" s="6"/>
      <c r="E90" s="6"/>
      <c r="F90" s="6"/>
      <c r="G90" s="137"/>
      <c r="H90" s="6"/>
      <c r="I90" s="6"/>
      <c r="J90" s="105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2.75" customHeight="1">
      <c r="A91" s="6"/>
      <c r="B91" s="6"/>
      <c r="C91" s="6"/>
      <c r="D91" s="6"/>
      <c r="E91" s="6"/>
      <c r="F91" s="6"/>
      <c r="G91" s="137"/>
      <c r="H91" s="6"/>
      <c r="I91" s="6"/>
      <c r="J91" s="105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2.75" customHeight="1">
      <c r="A92" s="6"/>
      <c r="B92" s="6"/>
      <c r="C92" s="6"/>
      <c r="D92" s="6"/>
      <c r="E92" s="6"/>
      <c r="F92" s="6"/>
      <c r="G92" s="137"/>
      <c r="H92" s="6"/>
      <c r="I92" s="6"/>
      <c r="J92" s="105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2.75" customHeight="1">
      <c r="A93" s="6"/>
      <c r="B93" s="6"/>
      <c r="C93" s="6"/>
      <c r="D93" s="6"/>
      <c r="E93" s="6"/>
      <c r="F93" s="6"/>
      <c r="G93" s="137"/>
      <c r="H93" s="6"/>
      <c r="I93" s="6"/>
      <c r="J93" s="105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2.75" customHeight="1">
      <c r="A94" s="6"/>
      <c r="B94" s="6"/>
      <c r="C94" s="6"/>
      <c r="D94" s="6"/>
      <c r="E94" s="6"/>
      <c r="F94" s="6"/>
      <c r="G94" s="137"/>
      <c r="H94" s="6"/>
      <c r="I94" s="6"/>
      <c r="J94" s="105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2.75" customHeight="1">
      <c r="A95" s="6"/>
      <c r="B95" s="6"/>
      <c r="C95" s="6"/>
      <c r="D95" s="6"/>
      <c r="E95" s="6"/>
      <c r="F95" s="6"/>
      <c r="G95" s="137"/>
      <c r="H95" s="6"/>
      <c r="I95" s="6"/>
      <c r="J95" s="105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2.75" customHeight="1">
      <c r="A96" s="6"/>
      <c r="B96" s="6"/>
      <c r="C96" s="6"/>
      <c r="D96" s="6"/>
      <c r="E96" s="6"/>
      <c r="F96" s="6"/>
      <c r="G96" s="137"/>
      <c r="H96" s="6"/>
      <c r="I96" s="6"/>
      <c r="J96" s="105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2.75" customHeight="1">
      <c r="A97" s="6"/>
      <c r="B97" s="6"/>
      <c r="C97" s="6"/>
      <c r="D97" s="6"/>
      <c r="E97" s="6"/>
      <c r="F97" s="6"/>
      <c r="G97" s="137"/>
      <c r="H97" s="6"/>
      <c r="I97" s="6"/>
      <c r="J97" s="105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2.75" customHeight="1">
      <c r="A98" s="6"/>
      <c r="B98" s="6"/>
      <c r="C98" s="6"/>
      <c r="D98" s="6"/>
      <c r="E98" s="6"/>
      <c r="F98" s="6"/>
      <c r="G98" s="137"/>
      <c r="H98" s="6"/>
      <c r="I98" s="6"/>
      <c r="J98" s="105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2.75" customHeight="1">
      <c r="A99" s="6"/>
      <c r="B99" s="6"/>
      <c r="C99" s="6"/>
      <c r="D99" s="6"/>
      <c r="E99" s="6"/>
      <c r="F99" s="6"/>
      <c r="G99" s="137"/>
      <c r="H99" s="6"/>
      <c r="I99" s="6"/>
      <c r="J99" s="105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2.75" customHeight="1">
      <c r="A100" s="6"/>
      <c r="B100" s="6"/>
      <c r="C100" s="6"/>
      <c r="D100" s="6"/>
      <c r="E100" s="6"/>
      <c r="F100" s="6"/>
      <c r="G100" s="137"/>
      <c r="H100" s="6"/>
      <c r="I100" s="6"/>
      <c r="J100" s="105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2.75" customHeight="1">
      <c r="A101" s="6"/>
      <c r="B101" s="6"/>
      <c r="C101" s="6"/>
      <c r="D101" s="6"/>
      <c r="E101" s="6"/>
      <c r="F101" s="6"/>
      <c r="G101" s="137"/>
      <c r="H101" s="6"/>
      <c r="I101" s="6"/>
      <c r="J101" s="105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2.75" customHeight="1">
      <c r="A102" s="6"/>
      <c r="B102" s="6"/>
      <c r="C102" s="6"/>
      <c r="D102" s="6"/>
      <c r="E102" s="6"/>
      <c r="F102" s="6"/>
      <c r="G102" s="137"/>
      <c r="H102" s="6"/>
      <c r="I102" s="6"/>
      <c r="J102" s="105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2.75" customHeight="1">
      <c r="A103" s="6"/>
      <c r="B103" s="6"/>
      <c r="C103" s="6"/>
      <c r="D103" s="6"/>
      <c r="E103" s="6"/>
      <c r="F103" s="6"/>
      <c r="G103" s="137"/>
      <c r="H103" s="6"/>
      <c r="I103" s="6"/>
      <c r="J103" s="105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2.75" customHeight="1">
      <c r="A104" s="6"/>
      <c r="B104" s="6"/>
      <c r="C104" s="6"/>
      <c r="D104" s="6"/>
      <c r="E104" s="6"/>
      <c r="F104" s="6"/>
      <c r="G104" s="137"/>
      <c r="H104" s="6"/>
      <c r="I104" s="6"/>
      <c r="J104" s="105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2.75" customHeight="1">
      <c r="A105" s="6"/>
      <c r="B105" s="6"/>
      <c r="C105" s="6"/>
      <c r="D105" s="6"/>
      <c r="E105" s="6"/>
      <c r="F105" s="6"/>
      <c r="G105" s="137"/>
      <c r="H105" s="6"/>
      <c r="I105" s="6"/>
      <c r="J105" s="105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2.75" customHeight="1">
      <c r="A106" s="6"/>
      <c r="B106" s="6"/>
      <c r="C106" s="6"/>
      <c r="D106" s="6"/>
      <c r="E106" s="6"/>
      <c r="F106" s="6"/>
      <c r="G106" s="137"/>
      <c r="H106" s="6"/>
      <c r="I106" s="6"/>
      <c r="J106" s="105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2.75" customHeight="1">
      <c r="A107" s="6"/>
      <c r="B107" s="6"/>
      <c r="C107" s="6"/>
      <c r="D107" s="6"/>
      <c r="E107" s="6"/>
      <c r="F107" s="6"/>
      <c r="G107" s="137"/>
      <c r="H107" s="6"/>
      <c r="I107" s="6"/>
      <c r="J107" s="105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2.75" customHeight="1">
      <c r="A108" s="6"/>
      <c r="B108" s="6"/>
      <c r="C108" s="6"/>
      <c r="D108" s="6"/>
      <c r="E108" s="6"/>
      <c r="F108" s="6"/>
      <c r="G108" s="137"/>
      <c r="H108" s="6"/>
      <c r="I108" s="6"/>
      <c r="J108" s="105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2.75" customHeight="1">
      <c r="A109" s="6"/>
      <c r="B109" s="6"/>
      <c r="C109" s="6"/>
      <c r="D109" s="6"/>
      <c r="E109" s="6"/>
      <c r="F109" s="6"/>
      <c r="G109" s="137"/>
      <c r="H109" s="6"/>
      <c r="I109" s="6"/>
      <c r="J109" s="105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2.75" customHeight="1">
      <c r="A110" s="6"/>
      <c r="B110" s="6"/>
      <c r="C110" s="6"/>
      <c r="D110" s="6"/>
      <c r="E110" s="6"/>
      <c r="F110" s="6"/>
      <c r="G110" s="137"/>
      <c r="H110" s="6"/>
      <c r="I110" s="6"/>
      <c r="J110" s="105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2.75" customHeight="1">
      <c r="A111" s="6"/>
      <c r="B111" s="6"/>
      <c r="C111" s="6"/>
      <c r="D111" s="6"/>
      <c r="E111" s="6"/>
      <c r="F111" s="6"/>
      <c r="G111" s="137"/>
      <c r="H111" s="6"/>
      <c r="I111" s="6"/>
      <c r="J111" s="105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2.75" customHeight="1">
      <c r="A112" s="6"/>
      <c r="B112" s="6"/>
      <c r="C112" s="6"/>
      <c r="D112" s="6"/>
      <c r="E112" s="6"/>
      <c r="F112" s="6"/>
      <c r="G112" s="137"/>
      <c r="H112" s="6"/>
      <c r="I112" s="6"/>
      <c r="J112" s="105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2.75" customHeight="1">
      <c r="A113" s="6"/>
      <c r="B113" s="6"/>
      <c r="C113" s="6"/>
      <c r="D113" s="6"/>
      <c r="E113" s="6"/>
      <c r="F113" s="6"/>
      <c r="G113" s="137"/>
      <c r="H113" s="6"/>
      <c r="I113" s="6"/>
      <c r="J113" s="105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2.75" customHeight="1">
      <c r="A114" s="6"/>
      <c r="B114" s="6"/>
      <c r="C114" s="6"/>
      <c r="D114" s="6"/>
      <c r="E114" s="6"/>
      <c r="F114" s="6"/>
      <c r="G114" s="137"/>
      <c r="H114" s="6"/>
      <c r="I114" s="6"/>
      <c r="J114" s="105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2.75" customHeight="1">
      <c r="A115" s="6"/>
      <c r="B115" s="6"/>
      <c r="C115" s="6"/>
      <c r="D115" s="6"/>
      <c r="E115" s="6"/>
      <c r="F115" s="6"/>
      <c r="G115" s="137"/>
      <c r="H115" s="6"/>
      <c r="I115" s="6"/>
      <c r="J115" s="105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2.75" customHeight="1">
      <c r="A116" s="6"/>
      <c r="B116" s="6"/>
      <c r="C116" s="6"/>
      <c r="D116" s="6"/>
      <c r="E116" s="6"/>
      <c r="F116" s="6"/>
      <c r="G116" s="137"/>
      <c r="H116" s="6"/>
      <c r="I116" s="6"/>
      <c r="J116" s="105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2.75" customHeight="1">
      <c r="A117" s="6"/>
      <c r="B117" s="6"/>
      <c r="C117" s="6"/>
      <c r="D117" s="6"/>
      <c r="E117" s="6"/>
      <c r="F117" s="6"/>
      <c r="G117" s="137"/>
      <c r="H117" s="6"/>
      <c r="I117" s="6"/>
      <c r="J117" s="105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2.75" customHeight="1">
      <c r="A118" s="6"/>
      <c r="B118" s="6"/>
      <c r="C118" s="6"/>
      <c r="D118" s="6"/>
      <c r="E118" s="6"/>
      <c r="F118" s="6"/>
      <c r="G118" s="137"/>
      <c r="H118" s="6"/>
      <c r="I118" s="6"/>
      <c r="J118" s="105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2.75" customHeight="1">
      <c r="A119" s="6"/>
      <c r="B119" s="6"/>
      <c r="C119" s="6"/>
      <c r="D119" s="6"/>
      <c r="E119" s="6"/>
      <c r="F119" s="6"/>
      <c r="G119" s="137"/>
      <c r="H119" s="6"/>
      <c r="I119" s="6"/>
      <c r="J119" s="105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2.75" customHeight="1">
      <c r="A120" s="6"/>
      <c r="B120" s="6"/>
      <c r="C120" s="6"/>
      <c r="D120" s="6"/>
      <c r="E120" s="6"/>
      <c r="F120" s="6"/>
      <c r="G120" s="137"/>
      <c r="H120" s="6"/>
      <c r="I120" s="6"/>
      <c r="J120" s="105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2.75" customHeight="1">
      <c r="A121" s="6"/>
      <c r="B121" s="6"/>
      <c r="C121" s="6"/>
      <c r="D121" s="6"/>
      <c r="E121" s="6"/>
      <c r="F121" s="6"/>
      <c r="G121" s="137"/>
      <c r="H121" s="6"/>
      <c r="I121" s="6"/>
      <c r="J121" s="105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2.75" customHeight="1">
      <c r="A122" s="6"/>
      <c r="B122" s="6"/>
      <c r="C122" s="6"/>
      <c r="D122" s="6"/>
      <c r="E122" s="6"/>
      <c r="F122" s="6"/>
      <c r="G122" s="137"/>
      <c r="H122" s="6"/>
      <c r="I122" s="6"/>
      <c r="J122" s="105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2.75" customHeight="1">
      <c r="A123" s="6"/>
      <c r="B123" s="6"/>
      <c r="C123" s="6"/>
      <c r="D123" s="6"/>
      <c r="E123" s="6"/>
      <c r="F123" s="6"/>
      <c r="G123" s="137"/>
      <c r="H123" s="6"/>
      <c r="I123" s="6"/>
      <c r="J123" s="105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2.75" customHeight="1">
      <c r="A124" s="6"/>
      <c r="B124" s="6"/>
      <c r="C124" s="6"/>
      <c r="D124" s="6"/>
      <c r="E124" s="6"/>
      <c r="F124" s="6"/>
      <c r="G124" s="137"/>
      <c r="H124" s="6"/>
      <c r="I124" s="6"/>
      <c r="J124" s="105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2.75" customHeight="1">
      <c r="A125" s="6"/>
      <c r="B125" s="6"/>
      <c r="C125" s="6"/>
      <c r="D125" s="6"/>
      <c r="E125" s="6"/>
      <c r="F125" s="6"/>
      <c r="G125" s="137"/>
      <c r="H125" s="6"/>
      <c r="I125" s="6"/>
      <c r="J125" s="105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2.75" customHeight="1">
      <c r="A126" s="6"/>
      <c r="B126" s="6"/>
      <c r="C126" s="6"/>
      <c r="D126" s="6"/>
      <c r="E126" s="6"/>
      <c r="F126" s="6"/>
      <c r="G126" s="137"/>
      <c r="H126" s="6"/>
      <c r="I126" s="6"/>
      <c r="J126" s="105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2.75" customHeight="1">
      <c r="A127" s="6"/>
      <c r="B127" s="6"/>
      <c r="C127" s="6"/>
      <c r="D127" s="6"/>
      <c r="E127" s="6"/>
      <c r="F127" s="6"/>
      <c r="G127" s="137"/>
      <c r="H127" s="6"/>
      <c r="I127" s="6"/>
      <c r="J127" s="105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2.75" customHeight="1">
      <c r="A128" s="6"/>
      <c r="B128" s="6"/>
      <c r="C128" s="6"/>
      <c r="D128" s="6"/>
      <c r="E128" s="6"/>
      <c r="F128" s="6"/>
      <c r="G128" s="137"/>
      <c r="H128" s="6"/>
      <c r="I128" s="6"/>
      <c r="J128" s="105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2.75" customHeight="1">
      <c r="A129" s="6"/>
      <c r="B129" s="6"/>
      <c r="C129" s="6"/>
      <c r="D129" s="6"/>
      <c r="E129" s="6"/>
      <c r="F129" s="6"/>
      <c r="G129" s="137"/>
      <c r="H129" s="6"/>
      <c r="I129" s="6"/>
      <c r="J129" s="105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2.75" customHeight="1">
      <c r="A130" s="6"/>
      <c r="B130" s="6"/>
      <c r="C130" s="6"/>
      <c r="D130" s="6"/>
      <c r="E130" s="6"/>
      <c r="F130" s="6"/>
      <c r="G130" s="137"/>
      <c r="H130" s="6"/>
      <c r="I130" s="6"/>
      <c r="J130" s="105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2.75" customHeight="1">
      <c r="A131" s="6"/>
      <c r="B131" s="6"/>
      <c r="C131" s="6"/>
      <c r="D131" s="6"/>
      <c r="E131" s="6"/>
      <c r="F131" s="6"/>
      <c r="G131" s="137"/>
      <c r="H131" s="6"/>
      <c r="I131" s="6"/>
      <c r="J131" s="105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2.75" customHeight="1">
      <c r="A132" s="6"/>
      <c r="B132" s="6"/>
      <c r="C132" s="6"/>
      <c r="D132" s="6"/>
      <c r="E132" s="6"/>
      <c r="F132" s="6"/>
      <c r="G132" s="137"/>
      <c r="H132" s="6"/>
      <c r="I132" s="6"/>
      <c r="J132" s="105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2.75" customHeight="1">
      <c r="A133" s="6"/>
      <c r="B133" s="6"/>
      <c r="C133" s="6"/>
      <c r="D133" s="6"/>
      <c r="E133" s="6"/>
      <c r="F133" s="6"/>
      <c r="G133" s="137"/>
      <c r="H133" s="6"/>
      <c r="I133" s="6"/>
      <c r="J133" s="105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2.75" customHeight="1">
      <c r="A134" s="6"/>
      <c r="B134" s="6"/>
      <c r="C134" s="6"/>
      <c r="D134" s="6"/>
      <c r="E134" s="6"/>
      <c r="F134" s="6"/>
      <c r="G134" s="137"/>
      <c r="H134" s="6"/>
      <c r="I134" s="6"/>
      <c r="J134" s="105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2.75" customHeight="1">
      <c r="A135" s="6"/>
      <c r="B135" s="6"/>
      <c r="C135" s="6"/>
      <c r="D135" s="6"/>
      <c r="E135" s="6"/>
      <c r="F135" s="6"/>
      <c r="G135" s="137"/>
      <c r="H135" s="6"/>
      <c r="I135" s="6"/>
      <c r="J135" s="105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2.75" customHeight="1">
      <c r="A136" s="6"/>
      <c r="B136" s="6"/>
      <c r="C136" s="6"/>
      <c r="D136" s="6"/>
      <c r="E136" s="6"/>
      <c r="F136" s="6"/>
      <c r="G136" s="137"/>
      <c r="H136" s="6"/>
      <c r="I136" s="6"/>
      <c r="J136" s="105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2.75" customHeight="1">
      <c r="A137" s="6"/>
      <c r="B137" s="6"/>
      <c r="C137" s="6"/>
      <c r="D137" s="6"/>
      <c r="E137" s="6"/>
      <c r="F137" s="6"/>
      <c r="G137" s="137"/>
      <c r="H137" s="6"/>
      <c r="I137" s="6"/>
      <c r="J137" s="105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2.75" customHeight="1">
      <c r="A138" s="6"/>
      <c r="B138" s="6"/>
      <c r="C138" s="6"/>
      <c r="D138" s="6"/>
      <c r="E138" s="6"/>
      <c r="F138" s="6"/>
      <c r="G138" s="137"/>
      <c r="H138" s="6"/>
      <c r="I138" s="6"/>
      <c r="J138" s="105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2.75" customHeight="1">
      <c r="A139" s="6"/>
      <c r="B139" s="6"/>
      <c r="C139" s="6"/>
      <c r="D139" s="6"/>
      <c r="E139" s="6"/>
      <c r="F139" s="6"/>
      <c r="G139" s="137"/>
      <c r="H139" s="6"/>
      <c r="I139" s="6"/>
      <c r="J139" s="105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2.75" customHeight="1">
      <c r="A140" s="6"/>
      <c r="B140" s="6"/>
      <c r="C140" s="6"/>
      <c r="D140" s="6"/>
      <c r="E140" s="6"/>
      <c r="F140" s="6"/>
      <c r="G140" s="137"/>
      <c r="H140" s="6"/>
      <c r="I140" s="6"/>
      <c r="J140" s="105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2.75" customHeight="1">
      <c r="A141" s="6"/>
      <c r="B141" s="6"/>
      <c r="C141" s="6"/>
      <c r="D141" s="6"/>
      <c r="E141" s="6"/>
      <c r="F141" s="6"/>
      <c r="G141" s="137"/>
      <c r="H141" s="6"/>
      <c r="I141" s="6"/>
      <c r="J141" s="105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2.75" customHeight="1">
      <c r="A142" s="6"/>
      <c r="B142" s="6"/>
      <c r="C142" s="6"/>
      <c r="D142" s="6"/>
      <c r="E142" s="6"/>
      <c r="F142" s="6"/>
      <c r="G142" s="137"/>
      <c r="H142" s="6"/>
      <c r="I142" s="6"/>
      <c r="J142" s="105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2.75" customHeight="1">
      <c r="A143" s="6"/>
      <c r="B143" s="6"/>
      <c r="C143" s="6"/>
      <c r="D143" s="6"/>
      <c r="E143" s="6"/>
      <c r="F143" s="6"/>
      <c r="G143" s="137"/>
      <c r="H143" s="6"/>
      <c r="I143" s="6"/>
      <c r="J143" s="105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2.75" customHeight="1">
      <c r="A144" s="6"/>
      <c r="B144" s="6"/>
      <c r="C144" s="6"/>
      <c r="D144" s="6"/>
      <c r="E144" s="6"/>
      <c r="F144" s="6"/>
      <c r="G144" s="137"/>
      <c r="H144" s="6"/>
      <c r="I144" s="6"/>
      <c r="J144" s="105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2.75" customHeight="1">
      <c r="A145" s="6"/>
      <c r="B145" s="6"/>
      <c r="C145" s="6"/>
      <c r="D145" s="6"/>
      <c r="E145" s="6"/>
      <c r="F145" s="6"/>
      <c r="G145" s="137"/>
      <c r="H145" s="6"/>
      <c r="I145" s="6"/>
      <c r="J145" s="105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2.75" customHeight="1">
      <c r="A146" s="6"/>
      <c r="B146" s="6"/>
      <c r="C146" s="6"/>
      <c r="D146" s="6"/>
      <c r="E146" s="6"/>
      <c r="F146" s="6"/>
      <c r="G146" s="137"/>
      <c r="H146" s="6"/>
      <c r="I146" s="6"/>
      <c r="J146" s="105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2.75" customHeight="1">
      <c r="A147" s="6"/>
      <c r="B147" s="6"/>
      <c r="C147" s="6"/>
      <c r="D147" s="6"/>
      <c r="E147" s="6"/>
      <c r="F147" s="6"/>
      <c r="G147" s="137"/>
      <c r="H147" s="6"/>
      <c r="I147" s="6"/>
      <c r="J147" s="105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2.75" customHeight="1">
      <c r="A148" s="6"/>
      <c r="B148" s="6"/>
      <c r="C148" s="6"/>
      <c r="D148" s="6"/>
      <c r="E148" s="6"/>
      <c r="F148" s="6"/>
      <c r="G148" s="137"/>
      <c r="H148" s="6"/>
      <c r="I148" s="6"/>
      <c r="J148" s="105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2.75" customHeight="1">
      <c r="A149" s="6"/>
      <c r="B149" s="6"/>
      <c r="C149" s="6"/>
      <c r="D149" s="6"/>
      <c r="E149" s="6"/>
      <c r="F149" s="6"/>
      <c r="G149" s="137"/>
      <c r="H149" s="6"/>
      <c r="I149" s="6"/>
      <c r="J149" s="105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2.75" customHeight="1">
      <c r="A150" s="6"/>
      <c r="B150" s="6"/>
      <c r="C150" s="6"/>
      <c r="D150" s="6"/>
      <c r="E150" s="6"/>
      <c r="F150" s="6"/>
      <c r="G150" s="137"/>
      <c r="H150" s="6"/>
      <c r="I150" s="6"/>
      <c r="J150" s="105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2.75" customHeight="1">
      <c r="A151" s="6"/>
      <c r="B151" s="6"/>
      <c r="C151" s="6"/>
      <c r="D151" s="6"/>
      <c r="E151" s="6"/>
      <c r="F151" s="6"/>
      <c r="G151" s="137"/>
      <c r="H151" s="6"/>
      <c r="I151" s="6"/>
      <c r="J151" s="105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2.75" customHeight="1">
      <c r="A152" s="6"/>
      <c r="B152" s="6"/>
      <c r="C152" s="6"/>
      <c r="D152" s="6"/>
      <c r="E152" s="6"/>
      <c r="F152" s="6"/>
      <c r="G152" s="137"/>
      <c r="H152" s="6"/>
      <c r="I152" s="6"/>
      <c r="J152" s="105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2.75" customHeight="1">
      <c r="A153" s="6"/>
      <c r="B153" s="6"/>
      <c r="C153" s="6"/>
      <c r="D153" s="6"/>
      <c r="E153" s="6"/>
      <c r="F153" s="6"/>
      <c r="G153" s="137"/>
      <c r="H153" s="6"/>
      <c r="I153" s="6"/>
      <c r="J153" s="105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2.75" customHeight="1">
      <c r="A154" s="6"/>
      <c r="B154" s="6"/>
      <c r="C154" s="6"/>
      <c r="D154" s="6"/>
      <c r="E154" s="6"/>
      <c r="F154" s="6"/>
      <c r="G154" s="137"/>
      <c r="H154" s="6"/>
      <c r="I154" s="6"/>
      <c r="J154" s="105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2.75" customHeight="1">
      <c r="A155" s="6"/>
      <c r="B155" s="6"/>
      <c r="C155" s="6"/>
      <c r="D155" s="6"/>
      <c r="E155" s="6"/>
      <c r="F155" s="6"/>
      <c r="G155" s="137"/>
      <c r="H155" s="6"/>
      <c r="I155" s="6"/>
      <c r="J155" s="105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2.75" customHeight="1">
      <c r="A156" s="6"/>
      <c r="B156" s="6"/>
      <c r="C156" s="6"/>
      <c r="D156" s="6"/>
      <c r="E156" s="6"/>
      <c r="F156" s="6"/>
      <c r="G156" s="137"/>
      <c r="H156" s="6"/>
      <c r="I156" s="6"/>
      <c r="J156" s="105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2.75" customHeight="1">
      <c r="A157" s="6"/>
      <c r="B157" s="6"/>
      <c r="C157" s="6"/>
      <c r="D157" s="6"/>
      <c r="E157" s="6"/>
      <c r="F157" s="6"/>
      <c r="G157" s="137"/>
      <c r="H157" s="6"/>
      <c r="I157" s="6"/>
      <c r="J157" s="105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2.75" customHeight="1">
      <c r="A158" s="6"/>
      <c r="B158" s="6"/>
      <c r="C158" s="6"/>
      <c r="D158" s="6"/>
      <c r="E158" s="6"/>
      <c r="F158" s="6"/>
      <c r="G158" s="137"/>
      <c r="H158" s="6"/>
      <c r="I158" s="6"/>
      <c r="J158" s="105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2.75" customHeight="1">
      <c r="A159" s="6"/>
      <c r="B159" s="6"/>
      <c r="C159" s="6"/>
      <c r="D159" s="6"/>
      <c r="E159" s="6"/>
      <c r="F159" s="6"/>
      <c r="G159" s="137"/>
      <c r="H159" s="6"/>
      <c r="I159" s="6"/>
      <c r="J159" s="105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2.75" customHeight="1">
      <c r="A160" s="6"/>
      <c r="B160" s="6"/>
      <c r="C160" s="6"/>
      <c r="D160" s="6"/>
      <c r="E160" s="6"/>
      <c r="F160" s="6"/>
      <c r="G160" s="137"/>
      <c r="H160" s="6"/>
      <c r="I160" s="6"/>
      <c r="J160" s="105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2.75" customHeight="1">
      <c r="A161" s="6"/>
      <c r="B161" s="6"/>
      <c r="C161" s="6"/>
      <c r="D161" s="6"/>
      <c r="E161" s="6"/>
      <c r="F161" s="6"/>
      <c r="G161" s="137"/>
      <c r="H161" s="6"/>
      <c r="I161" s="6"/>
      <c r="J161" s="105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2.75" customHeight="1">
      <c r="A162" s="6"/>
      <c r="B162" s="6"/>
      <c r="C162" s="6"/>
      <c r="D162" s="6"/>
      <c r="E162" s="6"/>
      <c r="F162" s="6"/>
      <c r="G162" s="137"/>
      <c r="H162" s="6"/>
      <c r="I162" s="6"/>
      <c r="J162" s="105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2.75" customHeight="1">
      <c r="A163" s="6"/>
      <c r="B163" s="6"/>
      <c r="C163" s="6"/>
      <c r="D163" s="6"/>
      <c r="E163" s="6"/>
      <c r="F163" s="6"/>
      <c r="G163" s="137"/>
      <c r="H163" s="6"/>
      <c r="I163" s="6"/>
      <c r="J163" s="105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2.75" customHeight="1">
      <c r="A164" s="6"/>
      <c r="B164" s="6"/>
      <c r="C164" s="6"/>
      <c r="D164" s="6"/>
      <c r="E164" s="6"/>
      <c r="F164" s="6"/>
      <c r="G164" s="137"/>
      <c r="H164" s="6"/>
      <c r="I164" s="6"/>
      <c r="J164" s="105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2.75" customHeight="1">
      <c r="A165" s="6"/>
      <c r="B165" s="6"/>
      <c r="C165" s="6"/>
      <c r="D165" s="6"/>
      <c r="E165" s="6"/>
      <c r="F165" s="6"/>
      <c r="G165" s="137"/>
      <c r="H165" s="6"/>
      <c r="I165" s="6"/>
      <c r="J165" s="105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2.75" customHeight="1">
      <c r="A166" s="6"/>
      <c r="B166" s="6"/>
      <c r="C166" s="6"/>
      <c r="D166" s="6"/>
      <c r="E166" s="6"/>
      <c r="F166" s="6"/>
      <c r="G166" s="137"/>
      <c r="H166" s="6"/>
      <c r="I166" s="6"/>
      <c r="J166" s="105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2.75" customHeight="1">
      <c r="A167" s="6"/>
      <c r="B167" s="6"/>
      <c r="C167" s="6"/>
      <c r="D167" s="6"/>
      <c r="E167" s="6"/>
      <c r="F167" s="6"/>
      <c r="G167" s="137"/>
      <c r="H167" s="6"/>
      <c r="I167" s="6"/>
      <c r="J167" s="105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2.75" customHeight="1">
      <c r="A168" s="6"/>
      <c r="B168" s="6"/>
      <c r="C168" s="6"/>
      <c r="D168" s="6"/>
      <c r="E168" s="6"/>
      <c r="F168" s="6"/>
      <c r="G168" s="137"/>
      <c r="H168" s="6"/>
      <c r="I168" s="6"/>
      <c r="J168" s="105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2.75" customHeight="1">
      <c r="A169" s="6"/>
      <c r="B169" s="6"/>
      <c r="C169" s="6"/>
      <c r="D169" s="6"/>
      <c r="E169" s="6"/>
      <c r="F169" s="6"/>
      <c r="G169" s="137"/>
      <c r="H169" s="6"/>
      <c r="I169" s="6"/>
      <c r="J169" s="105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2.75" customHeight="1">
      <c r="A170" s="6"/>
      <c r="B170" s="6"/>
      <c r="C170" s="6"/>
      <c r="D170" s="6"/>
      <c r="E170" s="6"/>
      <c r="F170" s="6"/>
      <c r="G170" s="137"/>
      <c r="H170" s="6"/>
      <c r="I170" s="6"/>
      <c r="J170" s="105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2.75" customHeight="1">
      <c r="A171" s="6"/>
      <c r="B171" s="6"/>
      <c r="C171" s="6"/>
      <c r="D171" s="6"/>
      <c r="E171" s="6"/>
      <c r="F171" s="6"/>
      <c r="G171" s="137"/>
      <c r="H171" s="6"/>
      <c r="I171" s="6"/>
      <c r="J171" s="105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2.75" customHeight="1">
      <c r="A172" s="6"/>
      <c r="B172" s="6"/>
      <c r="C172" s="6"/>
      <c r="D172" s="6"/>
      <c r="E172" s="6"/>
      <c r="F172" s="6"/>
      <c r="G172" s="137"/>
      <c r="H172" s="6"/>
      <c r="I172" s="6"/>
      <c r="J172" s="105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2.75" customHeight="1">
      <c r="A173" s="6"/>
      <c r="B173" s="6"/>
      <c r="C173" s="6"/>
      <c r="D173" s="6"/>
      <c r="E173" s="6"/>
      <c r="F173" s="6"/>
      <c r="G173" s="137"/>
      <c r="H173" s="6"/>
      <c r="I173" s="6"/>
      <c r="J173" s="105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2.75" customHeight="1">
      <c r="A174" s="6"/>
      <c r="B174" s="6"/>
      <c r="C174" s="6"/>
      <c r="D174" s="6"/>
      <c r="E174" s="6"/>
      <c r="F174" s="6"/>
      <c r="G174" s="137"/>
      <c r="H174" s="6"/>
      <c r="I174" s="6"/>
      <c r="J174" s="105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2.75" customHeight="1">
      <c r="A175" s="6"/>
      <c r="B175" s="6"/>
      <c r="C175" s="6"/>
      <c r="D175" s="6"/>
      <c r="E175" s="6"/>
      <c r="F175" s="6"/>
      <c r="G175" s="137"/>
      <c r="H175" s="6"/>
      <c r="I175" s="6"/>
      <c r="J175" s="105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2.75" customHeight="1">
      <c r="A176" s="6"/>
      <c r="B176" s="6"/>
      <c r="C176" s="6"/>
      <c r="D176" s="6"/>
      <c r="E176" s="6"/>
      <c r="F176" s="6"/>
      <c r="G176" s="137"/>
      <c r="H176" s="6"/>
      <c r="I176" s="6"/>
      <c r="J176" s="105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2.75" customHeight="1">
      <c r="A177" s="6"/>
      <c r="B177" s="6"/>
      <c r="C177" s="6"/>
      <c r="D177" s="6"/>
      <c r="E177" s="6"/>
      <c r="F177" s="6"/>
      <c r="G177" s="137"/>
      <c r="H177" s="6"/>
      <c r="I177" s="6"/>
      <c r="J177" s="105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2.75" customHeight="1">
      <c r="A178" s="6"/>
      <c r="B178" s="6"/>
      <c r="C178" s="6"/>
      <c r="D178" s="6"/>
      <c r="E178" s="6"/>
      <c r="F178" s="6"/>
      <c r="G178" s="137"/>
      <c r="H178" s="6"/>
      <c r="I178" s="6"/>
      <c r="J178" s="105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2.75" customHeight="1">
      <c r="A179" s="6"/>
      <c r="B179" s="6"/>
      <c r="C179" s="6"/>
      <c r="D179" s="6"/>
      <c r="E179" s="6"/>
      <c r="F179" s="6"/>
      <c r="G179" s="137"/>
      <c r="H179" s="6"/>
      <c r="I179" s="6"/>
      <c r="J179" s="105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2.75" customHeight="1">
      <c r="A180" s="6"/>
      <c r="B180" s="6"/>
      <c r="C180" s="6"/>
      <c r="D180" s="6"/>
      <c r="E180" s="6"/>
      <c r="F180" s="6"/>
      <c r="G180" s="137"/>
      <c r="H180" s="6"/>
      <c r="I180" s="6"/>
      <c r="J180" s="105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2.75" customHeight="1">
      <c r="A181" s="6"/>
      <c r="B181" s="6"/>
      <c r="C181" s="6"/>
      <c r="D181" s="6"/>
      <c r="E181" s="6"/>
      <c r="F181" s="6"/>
      <c r="G181" s="137"/>
      <c r="H181" s="6"/>
      <c r="I181" s="6"/>
      <c r="J181" s="105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2.75" customHeight="1">
      <c r="A182" s="6"/>
      <c r="B182" s="6"/>
      <c r="C182" s="6"/>
      <c r="D182" s="6"/>
      <c r="E182" s="6"/>
      <c r="F182" s="6"/>
      <c r="G182" s="137"/>
      <c r="H182" s="6"/>
      <c r="I182" s="6"/>
      <c r="J182" s="105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2.75" customHeight="1">
      <c r="A183" s="6"/>
      <c r="B183" s="6"/>
      <c r="C183" s="6"/>
      <c r="D183" s="6"/>
      <c r="E183" s="6"/>
      <c r="F183" s="6"/>
      <c r="G183" s="137"/>
      <c r="H183" s="6"/>
      <c r="I183" s="6"/>
      <c r="J183" s="105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2.75" customHeight="1">
      <c r="A184" s="6"/>
      <c r="B184" s="6"/>
      <c r="C184" s="6"/>
      <c r="D184" s="6"/>
      <c r="E184" s="6"/>
      <c r="F184" s="6"/>
      <c r="G184" s="137"/>
      <c r="H184" s="6"/>
      <c r="I184" s="6"/>
      <c r="J184" s="105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2.75" customHeight="1">
      <c r="A185" s="6"/>
      <c r="B185" s="6"/>
      <c r="C185" s="6"/>
      <c r="D185" s="6"/>
      <c r="E185" s="6"/>
      <c r="F185" s="6"/>
      <c r="G185" s="137"/>
      <c r="H185" s="6"/>
      <c r="I185" s="6"/>
      <c r="J185" s="105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2.75" customHeight="1">
      <c r="A186" s="6"/>
      <c r="B186" s="6"/>
      <c r="C186" s="6"/>
      <c r="D186" s="6"/>
      <c r="E186" s="6"/>
      <c r="F186" s="6"/>
      <c r="G186" s="137"/>
      <c r="H186" s="6"/>
      <c r="I186" s="6"/>
      <c r="J186" s="105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2.75" customHeight="1">
      <c r="A187" s="6"/>
      <c r="B187" s="6"/>
      <c r="C187" s="6"/>
      <c r="D187" s="6"/>
      <c r="E187" s="6"/>
      <c r="F187" s="6"/>
      <c r="G187" s="137"/>
      <c r="H187" s="6"/>
      <c r="I187" s="6"/>
      <c r="J187" s="105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2.75" customHeight="1">
      <c r="A188" s="6"/>
      <c r="B188" s="6"/>
      <c r="C188" s="6"/>
      <c r="D188" s="6"/>
      <c r="E188" s="6"/>
      <c r="F188" s="6"/>
      <c r="G188" s="137"/>
      <c r="H188" s="6"/>
      <c r="I188" s="6"/>
      <c r="J188" s="105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2.75" customHeight="1">
      <c r="A189" s="6"/>
      <c r="B189" s="6"/>
      <c r="C189" s="6"/>
      <c r="D189" s="6"/>
      <c r="E189" s="6"/>
      <c r="F189" s="6"/>
      <c r="G189" s="137"/>
      <c r="H189" s="6"/>
      <c r="I189" s="6"/>
      <c r="J189" s="105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2.75" customHeight="1">
      <c r="A190" s="6"/>
      <c r="B190" s="6"/>
      <c r="C190" s="6"/>
      <c r="D190" s="6"/>
      <c r="E190" s="6"/>
      <c r="F190" s="6"/>
      <c r="G190" s="137"/>
      <c r="H190" s="6"/>
      <c r="I190" s="6"/>
      <c r="J190" s="105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2.75" customHeight="1">
      <c r="A191" s="6"/>
      <c r="B191" s="6"/>
      <c r="C191" s="6"/>
      <c r="D191" s="6"/>
      <c r="E191" s="6"/>
      <c r="F191" s="6"/>
      <c r="G191" s="137"/>
      <c r="H191" s="6"/>
      <c r="I191" s="6"/>
      <c r="J191" s="105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2.75" customHeight="1">
      <c r="A192" s="6"/>
      <c r="B192" s="6"/>
      <c r="C192" s="6"/>
      <c r="D192" s="6"/>
      <c r="E192" s="6"/>
      <c r="F192" s="6"/>
      <c r="G192" s="137"/>
      <c r="H192" s="6"/>
      <c r="I192" s="6"/>
      <c r="J192" s="105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2.75" customHeight="1">
      <c r="A193" s="6"/>
      <c r="B193" s="6"/>
      <c r="C193" s="6"/>
      <c r="D193" s="6"/>
      <c r="E193" s="6"/>
      <c r="F193" s="6"/>
      <c r="G193" s="137"/>
      <c r="H193" s="6"/>
      <c r="I193" s="6"/>
      <c r="J193" s="105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2.75" customHeight="1">
      <c r="A194" s="6"/>
      <c r="B194" s="6"/>
      <c r="C194" s="6"/>
      <c r="D194" s="6"/>
      <c r="E194" s="6"/>
      <c r="F194" s="6"/>
      <c r="G194" s="137"/>
      <c r="H194" s="6"/>
      <c r="I194" s="6"/>
      <c r="J194" s="105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2.75" customHeight="1">
      <c r="A195" s="6"/>
      <c r="B195" s="6"/>
      <c r="C195" s="6"/>
      <c r="D195" s="6"/>
      <c r="E195" s="6"/>
      <c r="F195" s="6"/>
      <c r="G195" s="137"/>
      <c r="H195" s="6"/>
      <c r="I195" s="6"/>
      <c r="J195" s="105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2.75" customHeight="1">
      <c r="A196" s="6"/>
      <c r="B196" s="6"/>
      <c r="C196" s="6"/>
      <c r="D196" s="6"/>
      <c r="E196" s="6"/>
      <c r="F196" s="6"/>
      <c r="G196" s="137"/>
      <c r="H196" s="6"/>
      <c r="I196" s="6"/>
      <c r="J196" s="105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2.75" customHeight="1">
      <c r="A197" s="6"/>
      <c r="B197" s="6"/>
      <c r="C197" s="6"/>
      <c r="D197" s="6"/>
      <c r="E197" s="6"/>
      <c r="F197" s="6"/>
      <c r="G197" s="137"/>
      <c r="H197" s="6"/>
      <c r="I197" s="6"/>
      <c r="J197" s="105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2.75" customHeight="1">
      <c r="A198" s="6"/>
      <c r="B198" s="6"/>
      <c r="C198" s="6"/>
      <c r="D198" s="6"/>
      <c r="E198" s="6"/>
      <c r="F198" s="6"/>
      <c r="G198" s="137"/>
      <c r="H198" s="6"/>
      <c r="I198" s="6"/>
      <c r="J198" s="105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2.75" customHeight="1">
      <c r="A199" s="6"/>
      <c r="B199" s="6"/>
      <c r="C199" s="6"/>
      <c r="D199" s="6"/>
      <c r="E199" s="6"/>
      <c r="F199" s="6"/>
      <c r="G199" s="137"/>
      <c r="H199" s="6"/>
      <c r="I199" s="6"/>
      <c r="J199" s="105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2.75" customHeight="1">
      <c r="A200" s="6"/>
      <c r="B200" s="6"/>
      <c r="C200" s="6"/>
      <c r="D200" s="6"/>
      <c r="E200" s="6"/>
      <c r="F200" s="6"/>
      <c r="G200" s="137"/>
      <c r="H200" s="6"/>
      <c r="I200" s="6"/>
      <c r="J200" s="105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2.75" customHeight="1">
      <c r="A201" s="6"/>
      <c r="B201" s="6"/>
      <c r="C201" s="6"/>
      <c r="D201" s="6"/>
      <c r="E201" s="6"/>
      <c r="F201" s="6"/>
      <c r="G201" s="137"/>
      <c r="H201" s="6"/>
      <c r="I201" s="6"/>
      <c r="J201" s="105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2.75" customHeight="1">
      <c r="A202" s="6"/>
      <c r="B202" s="6"/>
      <c r="C202" s="6"/>
      <c r="D202" s="6"/>
      <c r="E202" s="6"/>
      <c r="F202" s="6"/>
      <c r="G202" s="137"/>
      <c r="H202" s="6"/>
      <c r="I202" s="6"/>
      <c r="J202" s="105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2.75" customHeight="1">
      <c r="A203" s="6"/>
      <c r="B203" s="6"/>
      <c r="C203" s="6"/>
      <c r="D203" s="6"/>
      <c r="E203" s="6"/>
      <c r="F203" s="6"/>
      <c r="G203" s="137"/>
      <c r="H203" s="6"/>
      <c r="I203" s="6"/>
      <c r="J203" s="105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2.75" customHeight="1">
      <c r="A204" s="6"/>
      <c r="B204" s="6"/>
      <c r="C204" s="6"/>
      <c r="D204" s="6"/>
      <c r="E204" s="6"/>
      <c r="F204" s="6"/>
      <c r="G204" s="137"/>
      <c r="H204" s="6"/>
      <c r="I204" s="6"/>
      <c r="J204" s="105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2.75" customHeight="1">
      <c r="A205" s="6"/>
      <c r="B205" s="6"/>
      <c r="C205" s="6"/>
      <c r="D205" s="6"/>
      <c r="E205" s="6"/>
      <c r="F205" s="6"/>
      <c r="G205" s="137"/>
      <c r="H205" s="6"/>
      <c r="I205" s="6"/>
      <c r="J205" s="105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2.75" customHeight="1">
      <c r="A206" s="6"/>
      <c r="B206" s="6"/>
      <c r="C206" s="6"/>
      <c r="D206" s="6"/>
      <c r="E206" s="6"/>
      <c r="F206" s="6"/>
      <c r="G206" s="137"/>
      <c r="H206" s="6"/>
      <c r="I206" s="6"/>
      <c r="J206" s="105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2.75" customHeight="1">
      <c r="A207" s="6"/>
      <c r="B207" s="6"/>
      <c r="C207" s="6"/>
      <c r="D207" s="6"/>
      <c r="E207" s="6"/>
      <c r="F207" s="6"/>
      <c r="G207" s="137"/>
      <c r="H207" s="6"/>
      <c r="I207" s="6"/>
      <c r="J207" s="105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2.75" customHeight="1">
      <c r="A208" s="6"/>
      <c r="B208" s="6"/>
      <c r="C208" s="6"/>
      <c r="D208" s="6"/>
      <c r="E208" s="6"/>
      <c r="F208" s="6"/>
      <c r="G208" s="137"/>
      <c r="H208" s="6"/>
      <c r="I208" s="6"/>
      <c r="J208" s="105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2.75" customHeight="1">
      <c r="A209" s="6"/>
      <c r="B209" s="6"/>
      <c r="C209" s="6"/>
      <c r="D209" s="6"/>
      <c r="E209" s="6"/>
      <c r="F209" s="6"/>
      <c r="G209" s="137"/>
      <c r="H209" s="6"/>
      <c r="I209" s="6"/>
      <c r="J209" s="105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2.75" customHeight="1">
      <c r="A210" s="6"/>
      <c r="B210" s="6"/>
      <c r="C210" s="6"/>
      <c r="D210" s="6"/>
      <c r="E210" s="6"/>
      <c r="F210" s="6"/>
      <c r="G210" s="137"/>
      <c r="H210" s="6"/>
      <c r="I210" s="6"/>
      <c r="J210" s="105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2.75" customHeight="1">
      <c r="A211" s="6"/>
      <c r="B211" s="6"/>
      <c r="C211" s="6"/>
      <c r="D211" s="6"/>
      <c r="E211" s="6"/>
      <c r="F211" s="6"/>
      <c r="G211" s="137"/>
      <c r="H211" s="6"/>
      <c r="I211" s="6"/>
      <c r="J211" s="105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2.75" customHeight="1">
      <c r="A212" s="6"/>
      <c r="B212" s="6"/>
      <c r="C212" s="6"/>
      <c r="D212" s="6"/>
      <c r="E212" s="6"/>
      <c r="F212" s="6"/>
      <c r="G212" s="137"/>
      <c r="H212" s="6"/>
      <c r="I212" s="6"/>
      <c r="J212" s="105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2.75" customHeight="1">
      <c r="A213" s="6"/>
      <c r="B213" s="6"/>
      <c r="C213" s="6"/>
      <c r="D213" s="6"/>
      <c r="E213" s="6"/>
      <c r="F213" s="6"/>
      <c r="G213" s="137"/>
      <c r="H213" s="6"/>
      <c r="I213" s="6"/>
      <c r="J213" s="105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2.75" customHeight="1">
      <c r="A214" s="6"/>
      <c r="B214" s="6"/>
      <c r="C214" s="6"/>
      <c r="D214" s="6"/>
      <c r="E214" s="6"/>
      <c r="F214" s="6"/>
      <c r="G214" s="137"/>
      <c r="H214" s="6"/>
      <c r="I214" s="6"/>
      <c r="J214" s="105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2.75" customHeight="1">
      <c r="A215" s="6"/>
      <c r="B215" s="6"/>
      <c r="C215" s="6"/>
      <c r="D215" s="6"/>
      <c r="E215" s="6"/>
      <c r="F215" s="6"/>
      <c r="G215" s="137"/>
      <c r="H215" s="6"/>
      <c r="I215" s="6"/>
      <c r="J215" s="105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2.75" customHeight="1">
      <c r="A216" s="6"/>
      <c r="B216" s="6"/>
      <c r="C216" s="6"/>
      <c r="D216" s="6"/>
      <c r="E216" s="6"/>
      <c r="F216" s="6"/>
      <c r="G216" s="137"/>
      <c r="H216" s="6"/>
      <c r="I216" s="6"/>
      <c r="J216" s="105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2.75" customHeight="1">
      <c r="A217" s="6"/>
      <c r="B217" s="6"/>
      <c r="C217" s="6"/>
      <c r="D217" s="6"/>
      <c r="E217" s="6"/>
      <c r="F217" s="6"/>
      <c r="G217" s="137"/>
      <c r="H217" s="6"/>
      <c r="I217" s="6"/>
      <c r="J217" s="105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2.75" customHeight="1">
      <c r="A218" s="6"/>
      <c r="B218" s="6"/>
      <c r="C218" s="6"/>
      <c r="D218" s="6"/>
      <c r="E218" s="6"/>
      <c r="F218" s="6"/>
      <c r="G218" s="137"/>
      <c r="H218" s="6"/>
      <c r="I218" s="6"/>
      <c r="J218" s="105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2.75" customHeight="1">
      <c r="A219" s="6"/>
      <c r="B219" s="6"/>
      <c r="C219" s="6"/>
      <c r="D219" s="6"/>
      <c r="E219" s="6"/>
      <c r="F219" s="6"/>
      <c r="G219" s="137"/>
      <c r="H219" s="6"/>
      <c r="I219" s="6"/>
      <c r="J219" s="105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2.75" customHeight="1">
      <c r="A220" s="6"/>
      <c r="B220" s="6"/>
      <c r="C220" s="6"/>
      <c r="D220" s="6"/>
      <c r="E220" s="6"/>
      <c r="F220" s="6"/>
      <c r="G220" s="137"/>
      <c r="H220" s="6"/>
      <c r="I220" s="6"/>
      <c r="J220" s="105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2.75" customHeight="1">
      <c r="A221" s="6"/>
      <c r="B221" s="6"/>
      <c r="C221" s="6"/>
      <c r="D221" s="6"/>
      <c r="E221" s="6"/>
      <c r="F221" s="6"/>
      <c r="G221" s="137"/>
      <c r="H221" s="6"/>
      <c r="I221" s="6"/>
      <c r="J221" s="105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3.5" customHeight="1">
      <c r="A222" s="118"/>
      <c r="B222" s="118"/>
      <c r="C222" s="118"/>
      <c r="D222" s="118"/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 ht="13.5" customHeight="1">
      <c r="A223" s="118"/>
      <c r="B223" s="118"/>
      <c r="C223" s="118"/>
      <c r="D223" s="118"/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 ht="13.5" customHeight="1">
      <c r="A224" s="118"/>
      <c r="B224" s="118"/>
      <c r="C224" s="118"/>
      <c r="D224" s="118"/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 ht="13.5" customHeight="1">
      <c r="A225" s="118"/>
      <c r="B225" s="118"/>
      <c r="C225" s="118"/>
      <c r="D225" s="118"/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 ht="13.5" customHeight="1">
      <c r="A226" s="118"/>
      <c r="B226" s="118"/>
      <c r="C226" s="118"/>
      <c r="D226" s="118"/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 ht="13.5" customHeight="1">
      <c r="A227" s="118"/>
      <c r="B227" s="118"/>
      <c r="C227" s="118"/>
      <c r="D227" s="118"/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 ht="13.5" customHeight="1">
      <c r="A228" s="118"/>
      <c r="B228" s="118"/>
      <c r="C228" s="118"/>
      <c r="D228" s="118"/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 ht="13.5" customHeight="1">
      <c r="A229" s="118"/>
      <c r="B229" s="118"/>
      <c r="C229" s="118"/>
      <c r="D229" s="118"/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 ht="13.5" customHeight="1">
      <c r="A230" s="118"/>
      <c r="B230" s="118"/>
      <c r="C230" s="118"/>
      <c r="D230" s="118"/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 ht="13.5" customHeight="1">
      <c r="A231" s="118"/>
      <c r="B231" s="118"/>
      <c r="C231" s="118"/>
      <c r="D231" s="118"/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 ht="13.5" customHeight="1">
      <c r="A232" s="118"/>
      <c r="B232" s="118"/>
      <c r="C232" s="118"/>
      <c r="D232" s="118"/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 ht="13.5" customHeight="1">
      <c r="A233" s="118"/>
      <c r="B233" s="118"/>
      <c r="C233" s="118"/>
      <c r="D233" s="118"/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 ht="13.5" customHeight="1">
      <c r="A234" s="118"/>
      <c r="B234" s="118"/>
      <c r="C234" s="118"/>
      <c r="D234" s="118"/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 ht="13.5" customHeight="1">
      <c r="A235" s="118"/>
      <c r="B235" s="118"/>
      <c r="C235" s="118"/>
      <c r="D235" s="118"/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 ht="13.5" customHeight="1">
      <c r="A236" s="118"/>
      <c r="B236" s="118"/>
      <c r="C236" s="118"/>
      <c r="D236" s="118"/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 ht="13.5" customHeight="1">
      <c r="A237" s="118"/>
      <c r="B237" s="118"/>
      <c r="C237" s="118"/>
      <c r="D237" s="118"/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 ht="13.5" customHeight="1">
      <c r="A238" s="118"/>
      <c r="B238" s="118"/>
      <c r="C238" s="118"/>
      <c r="D238" s="118"/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 ht="13.5" customHeight="1">
      <c r="A239" s="118"/>
      <c r="B239" s="118"/>
      <c r="C239" s="118"/>
      <c r="D239" s="118"/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 ht="13.5" customHeight="1">
      <c r="A240" s="118"/>
      <c r="B240" s="118"/>
      <c r="C240" s="118"/>
      <c r="D240" s="118"/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 ht="13.5" customHeight="1">
      <c r="A241" s="118"/>
      <c r="B241" s="118"/>
      <c r="C241" s="118"/>
      <c r="D241" s="118"/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 ht="13.5" customHeight="1">
      <c r="A242" s="118"/>
      <c r="B242" s="118"/>
      <c r="C242" s="118"/>
      <c r="D242" s="118"/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 ht="13.5" customHeight="1">
      <c r="A243" s="118"/>
      <c r="B243" s="118"/>
      <c r="C243" s="118"/>
      <c r="D243" s="118"/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 ht="13.5" customHeight="1">
      <c r="A244" s="118"/>
      <c r="B244" s="118"/>
      <c r="C244" s="118"/>
      <c r="D244" s="118"/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 ht="13.5" customHeight="1">
      <c r="A245" s="118"/>
      <c r="B245" s="118"/>
      <c r="C245" s="118"/>
      <c r="D245" s="118"/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 ht="13.5" customHeight="1">
      <c r="A246" s="118"/>
      <c r="B246" s="118"/>
      <c r="C246" s="118"/>
      <c r="D246" s="118"/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 ht="13.5" customHeight="1">
      <c r="A247" s="118"/>
      <c r="B247" s="118"/>
      <c r="C247" s="118"/>
      <c r="D247" s="118"/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 ht="13.5" customHeight="1">
      <c r="A248" s="118"/>
      <c r="B248" s="118"/>
      <c r="C248" s="118"/>
      <c r="D248" s="118"/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 ht="13.5" customHeight="1">
      <c r="A249" s="118"/>
      <c r="B249" s="118"/>
      <c r="C249" s="118"/>
      <c r="D249" s="118"/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 ht="13.5" customHeight="1">
      <c r="A250" s="118"/>
      <c r="B250" s="118"/>
      <c r="C250" s="118"/>
      <c r="D250" s="118"/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 ht="13.5" customHeight="1">
      <c r="A251" s="118"/>
      <c r="B251" s="118"/>
      <c r="C251" s="118"/>
      <c r="D251" s="118"/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 ht="13.5" customHeight="1">
      <c r="A252" s="118"/>
      <c r="B252" s="118"/>
      <c r="C252" s="118"/>
      <c r="D252" s="118"/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 ht="13.5" customHeight="1">
      <c r="A253" s="118"/>
      <c r="B253" s="118"/>
      <c r="C253" s="118"/>
      <c r="D253" s="118"/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 ht="13.5" customHeight="1">
      <c r="A254" s="118"/>
      <c r="B254" s="118"/>
      <c r="C254" s="118"/>
      <c r="D254" s="118"/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 ht="13.5" customHeight="1">
      <c r="A255" s="118"/>
      <c r="B255" s="118"/>
      <c r="C255" s="118"/>
      <c r="D255" s="118"/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 ht="13.5" customHeight="1">
      <c r="A256" s="118"/>
      <c r="B256" s="118"/>
      <c r="C256" s="118"/>
      <c r="D256" s="118"/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 ht="13.5" customHeight="1">
      <c r="A257" s="118"/>
      <c r="B257" s="118"/>
      <c r="C257" s="118"/>
      <c r="D257" s="118"/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 ht="13.5" customHeight="1">
      <c r="A258" s="118"/>
      <c r="B258" s="118"/>
      <c r="C258" s="118"/>
      <c r="D258" s="118"/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 ht="13.5" customHeight="1">
      <c r="A259" s="118"/>
      <c r="B259" s="118"/>
      <c r="C259" s="118"/>
      <c r="D259" s="118"/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 ht="13.5" customHeight="1">
      <c r="A260" s="118"/>
      <c r="B260" s="118"/>
      <c r="C260" s="118"/>
      <c r="D260" s="118"/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 ht="13.5" customHeight="1">
      <c r="A261" s="118"/>
      <c r="B261" s="118"/>
      <c r="C261" s="118"/>
      <c r="D261" s="118"/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 ht="13.5" customHeight="1">
      <c r="A262" s="118"/>
      <c r="B262" s="118"/>
      <c r="C262" s="118"/>
      <c r="D262" s="118"/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 ht="13.5" customHeight="1">
      <c r="A263" s="118"/>
      <c r="B263" s="118"/>
      <c r="C263" s="118"/>
      <c r="D263" s="118"/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 ht="13.5" customHeight="1">
      <c r="A264" s="118"/>
      <c r="B264" s="118"/>
      <c r="C264" s="118"/>
      <c r="D264" s="118"/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 ht="13.5" customHeight="1">
      <c r="A265" s="118"/>
      <c r="B265" s="118"/>
      <c r="C265" s="118"/>
      <c r="D265" s="118"/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 ht="13.5" customHeight="1">
      <c r="A266" s="118"/>
      <c r="B266" s="118"/>
      <c r="C266" s="118"/>
      <c r="D266" s="118"/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 ht="13.5" customHeight="1">
      <c r="A267" s="118"/>
      <c r="B267" s="118"/>
      <c r="C267" s="118"/>
      <c r="D267" s="118"/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 ht="13.5" customHeight="1">
      <c r="A268" s="118"/>
      <c r="B268" s="118"/>
      <c r="C268" s="118"/>
      <c r="D268" s="118"/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 ht="13.5" customHeight="1">
      <c r="A269" s="118"/>
      <c r="B269" s="118"/>
      <c r="C269" s="118"/>
      <c r="D269" s="118"/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 ht="13.5" customHeight="1">
      <c r="A270" s="118"/>
      <c r="B270" s="118"/>
      <c r="C270" s="118"/>
      <c r="D270" s="118"/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 ht="13.5" customHeight="1">
      <c r="A271" s="118"/>
      <c r="B271" s="118"/>
      <c r="C271" s="118"/>
      <c r="D271" s="118"/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 ht="13.5" customHeight="1">
      <c r="A272" s="118"/>
      <c r="B272" s="118"/>
      <c r="C272" s="118"/>
      <c r="D272" s="118"/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 ht="13.5" customHeight="1">
      <c r="A273" s="118"/>
      <c r="B273" s="118"/>
      <c r="C273" s="118"/>
      <c r="D273" s="118"/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 ht="13.5" customHeight="1">
      <c r="A274" s="118"/>
      <c r="B274" s="118"/>
      <c r="C274" s="118"/>
      <c r="D274" s="118"/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 ht="13.5" customHeight="1">
      <c r="A275" s="118"/>
      <c r="B275" s="118"/>
      <c r="C275" s="118"/>
      <c r="D275" s="118"/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 ht="13.5" customHeight="1">
      <c r="A276" s="118"/>
      <c r="B276" s="118"/>
      <c r="C276" s="118"/>
      <c r="D276" s="118"/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 ht="13.5" customHeight="1">
      <c r="A277" s="118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 ht="13.5" customHeight="1">
      <c r="A278" s="118"/>
      <c r="B278" s="118"/>
      <c r="C278" s="118"/>
      <c r="D278" s="118"/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 ht="13.5" customHeight="1">
      <c r="A279" s="118"/>
      <c r="B279" s="118"/>
      <c r="C279" s="118"/>
      <c r="D279" s="118"/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 ht="13.5" customHeight="1">
      <c r="A280" s="118"/>
      <c r="B280" s="118"/>
      <c r="C280" s="118"/>
      <c r="D280" s="118"/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 ht="13.5" customHeight="1">
      <c r="A281" s="118"/>
      <c r="B281" s="118"/>
      <c r="C281" s="118"/>
      <c r="D281" s="118"/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 ht="13.5" customHeight="1">
      <c r="A282" s="118"/>
      <c r="B282" s="118"/>
      <c r="C282" s="118"/>
      <c r="D282" s="118"/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 ht="13.5" customHeight="1">
      <c r="A283" s="118"/>
      <c r="B283" s="118"/>
      <c r="C283" s="118"/>
      <c r="D283" s="118"/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 ht="13.5" customHeight="1">
      <c r="A284" s="118"/>
      <c r="B284" s="118"/>
      <c r="C284" s="118"/>
      <c r="D284" s="118"/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 ht="13.5" customHeight="1">
      <c r="A285" s="118"/>
      <c r="B285" s="118"/>
      <c r="C285" s="118"/>
      <c r="D285" s="118"/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 ht="13.5" customHeight="1">
      <c r="A286" s="118"/>
      <c r="B286" s="118"/>
      <c r="C286" s="118"/>
      <c r="D286" s="118"/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 ht="13.5" customHeight="1">
      <c r="A287" s="118"/>
      <c r="B287" s="118"/>
      <c r="C287" s="118"/>
      <c r="D287" s="118"/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 ht="13.5" customHeight="1">
      <c r="A288" s="118"/>
      <c r="B288" s="118"/>
      <c r="C288" s="118"/>
      <c r="D288" s="118"/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 ht="13.5" customHeight="1">
      <c r="A289" s="118"/>
      <c r="B289" s="118"/>
      <c r="C289" s="118"/>
      <c r="D289" s="118"/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 ht="13.5" customHeight="1">
      <c r="A290" s="118"/>
      <c r="B290" s="118"/>
      <c r="C290" s="118"/>
      <c r="D290" s="118"/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 ht="13.5" customHeight="1">
      <c r="A291" s="118"/>
      <c r="B291" s="118"/>
      <c r="C291" s="118"/>
      <c r="D291" s="118"/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 ht="13.5" customHeight="1">
      <c r="A292" s="118"/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 ht="13.5" customHeight="1">
      <c r="A293" s="118"/>
      <c r="B293" s="118"/>
      <c r="C293" s="118"/>
      <c r="D293" s="118"/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 ht="13.5" customHeight="1">
      <c r="A294" s="118"/>
      <c r="B294" s="118"/>
      <c r="C294" s="118"/>
      <c r="D294" s="118"/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 ht="13.5" customHeight="1">
      <c r="A295" s="118"/>
      <c r="B295" s="118"/>
      <c r="C295" s="118"/>
      <c r="D295" s="118"/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 ht="13.5" customHeight="1">
      <c r="A296" s="118"/>
      <c r="B296" s="118"/>
      <c r="C296" s="118"/>
      <c r="D296" s="118"/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 ht="13.5" customHeight="1">
      <c r="A297" s="118"/>
      <c r="B297" s="118"/>
      <c r="C297" s="118"/>
      <c r="D297" s="118"/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 ht="13.5" customHeight="1">
      <c r="A298" s="118"/>
      <c r="B298" s="118"/>
      <c r="C298" s="118"/>
      <c r="D298" s="118"/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 ht="13.5" customHeight="1">
      <c r="A299" s="118"/>
      <c r="B299" s="118"/>
      <c r="C299" s="118"/>
      <c r="D299" s="118"/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 ht="13.5" customHeight="1">
      <c r="A300" s="118"/>
      <c r="B300" s="118"/>
      <c r="C300" s="118"/>
      <c r="D300" s="118"/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 ht="13.5" customHeight="1">
      <c r="A301" s="118"/>
      <c r="B301" s="118"/>
      <c r="C301" s="118"/>
      <c r="D301" s="118"/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 ht="13.5" customHeight="1">
      <c r="A302" s="118"/>
      <c r="B302" s="118"/>
      <c r="C302" s="118"/>
      <c r="D302" s="118"/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 ht="13.5" customHeight="1">
      <c r="A303" s="118"/>
      <c r="B303" s="118"/>
      <c r="C303" s="118"/>
      <c r="D303" s="118"/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 ht="13.5" customHeight="1">
      <c r="A304" s="118"/>
      <c r="B304" s="118"/>
      <c r="C304" s="118"/>
      <c r="D304" s="118"/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 ht="13.5" customHeight="1">
      <c r="A305" s="118"/>
      <c r="B305" s="118"/>
      <c r="C305" s="118"/>
      <c r="D305" s="118"/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 ht="13.5" customHeight="1">
      <c r="A306" s="118"/>
      <c r="B306" s="118"/>
      <c r="C306" s="118"/>
      <c r="D306" s="118"/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 ht="13.5" customHeight="1">
      <c r="A307" s="118"/>
      <c r="B307" s="118"/>
      <c r="C307" s="118"/>
      <c r="D307" s="118"/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 ht="13.5" customHeight="1">
      <c r="A308" s="118"/>
      <c r="B308" s="118"/>
      <c r="C308" s="118"/>
      <c r="D308" s="118"/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 ht="13.5" customHeight="1">
      <c r="A309" s="118"/>
      <c r="B309" s="118"/>
      <c r="C309" s="118"/>
      <c r="D309" s="118"/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 ht="13.5" customHeight="1">
      <c r="A310" s="118"/>
      <c r="B310" s="118"/>
      <c r="C310" s="118"/>
      <c r="D310" s="118"/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 ht="13.5" customHeight="1">
      <c r="A311" s="118"/>
      <c r="B311" s="118"/>
      <c r="C311" s="118"/>
      <c r="D311" s="118"/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 ht="13.5" customHeight="1">
      <c r="A312" s="118"/>
      <c r="B312" s="118"/>
      <c r="C312" s="118"/>
      <c r="D312" s="118"/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 ht="13.5" customHeight="1">
      <c r="A313" s="118"/>
      <c r="B313" s="118"/>
      <c r="C313" s="118"/>
      <c r="D313" s="118"/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 ht="13.5" customHeight="1">
      <c r="A314" s="118"/>
      <c r="B314" s="118"/>
      <c r="C314" s="118"/>
      <c r="D314" s="118"/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 ht="13.5" customHeight="1">
      <c r="A315" s="118"/>
      <c r="B315" s="118"/>
      <c r="C315" s="118"/>
      <c r="D315" s="118"/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 ht="13.5" customHeight="1">
      <c r="A316" s="118"/>
      <c r="B316" s="118"/>
      <c r="C316" s="118"/>
      <c r="D316" s="118"/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 ht="13.5" customHeight="1">
      <c r="A317" s="118"/>
      <c r="B317" s="118"/>
      <c r="C317" s="118"/>
      <c r="D317" s="118"/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 ht="13.5" customHeight="1">
      <c r="A318" s="118"/>
      <c r="B318" s="118"/>
      <c r="C318" s="118"/>
      <c r="D318" s="118"/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 ht="13.5" customHeight="1">
      <c r="A319" s="118"/>
      <c r="B319" s="118"/>
      <c r="C319" s="118"/>
      <c r="D319" s="118"/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 ht="13.5" customHeight="1">
      <c r="A320" s="118"/>
      <c r="B320" s="118"/>
      <c r="C320" s="118"/>
      <c r="D320" s="118"/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 ht="13.5" customHeight="1">
      <c r="A321" s="118"/>
      <c r="B321" s="118"/>
      <c r="C321" s="118"/>
      <c r="D321" s="118"/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 ht="13.5" customHeight="1">
      <c r="A322" s="118"/>
      <c r="B322" s="118"/>
      <c r="C322" s="118"/>
      <c r="D322" s="118"/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 ht="13.5" customHeight="1">
      <c r="A323" s="118"/>
      <c r="B323" s="118"/>
      <c r="C323" s="118"/>
      <c r="D323" s="118"/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 ht="13.5" customHeight="1">
      <c r="A324" s="118"/>
      <c r="B324" s="118"/>
      <c r="C324" s="118"/>
      <c r="D324" s="118"/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 ht="13.5" customHeight="1">
      <c r="A325" s="118"/>
      <c r="B325" s="118"/>
      <c r="C325" s="118"/>
      <c r="D325" s="118"/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 ht="13.5" customHeight="1">
      <c r="A326" s="118"/>
      <c r="B326" s="118"/>
      <c r="C326" s="118"/>
      <c r="D326" s="118"/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 ht="13.5" customHeight="1">
      <c r="A327" s="118"/>
      <c r="B327" s="118"/>
      <c r="C327" s="118"/>
      <c r="D327" s="118"/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 ht="13.5" customHeight="1">
      <c r="A328" s="118"/>
      <c r="B328" s="118"/>
      <c r="C328" s="118"/>
      <c r="D328" s="118"/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 ht="13.5" customHeight="1">
      <c r="A329" s="118"/>
      <c r="B329" s="118"/>
      <c r="C329" s="118"/>
      <c r="D329" s="118"/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 ht="13.5" customHeight="1">
      <c r="A330" s="118"/>
      <c r="B330" s="118"/>
      <c r="C330" s="118"/>
      <c r="D330" s="118"/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 ht="13.5" customHeight="1">
      <c r="A331" s="118"/>
      <c r="B331" s="118"/>
      <c r="C331" s="118"/>
      <c r="D331" s="118"/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 ht="13.5" customHeight="1">
      <c r="A332" s="118"/>
      <c r="B332" s="118"/>
      <c r="C332" s="118"/>
      <c r="D332" s="118"/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 ht="13.5" customHeight="1">
      <c r="A333" s="118"/>
      <c r="B333" s="118"/>
      <c r="C333" s="118"/>
      <c r="D333" s="118"/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 ht="13.5" customHeight="1">
      <c r="A334" s="118"/>
      <c r="B334" s="118"/>
      <c r="C334" s="118"/>
      <c r="D334" s="118"/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 ht="13.5" customHeight="1">
      <c r="A335" s="118"/>
      <c r="B335" s="118"/>
      <c r="C335" s="118"/>
      <c r="D335" s="118"/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 ht="13.5" customHeight="1">
      <c r="A336" s="118"/>
      <c r="B336" s="118"/>
      <c r="C336" s="118"/>
      <c r="D336" s="118"/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 ht="13.5" customHeight="1">
      <c r="A337" s="118"/>
      <c r="B337" s="118"/>
      <c r="C337" s="118"/>
      <c r="D337" s="118"/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 ht="13.5" customHeight="1">
      <c r="A338" s="118"/>
      <c r="B338" s="118"/>
      <c r="C338" s="118"/>
      <c r="D338" s="118"/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 ht="13.5" customHeight="1">
      <c r="A339" s="118"/>
      <c r="B339" s="118"/>
      <c r="C339" s="118"/>
      <c r="D339" s="118"/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 ht="13.5" customHeight="1">
      <c r="A340" s="118"/>
      <c r="B340" s="118"/>
      <c r="C340" s="118"/>
      <c r="D340" s="118"/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 ht="13.5" customHeight="1">
      <c r="A341" s="118"/>
      <c r="B341" s="118"/>
      <c r="C341" s="118"/>
      <c r="D341" s="118"/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 ht="13.5" customHeight="1">
      <c r="A342" s="118"/>
      <c r="B342" s="118"/>
      <c r="C342" s="118"/>
      <c r="D342" s="118"/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 ht="13.5" customHeight="1">
      <c r="A343" s="118"/>
      <c r="B343" s="118"/>
      <c r="C343" s="118"/>
      <c r="D343" s="118"/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 ht="13.5" customHeight="1">
      <c r="A344" s="118"/>
      <c r="B344" s="118"/>
      <c r="C344" s="118"/>
      <c r="D344" s="118"/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 ht="13.5" customHeight="1">
      <c r="A345" s="118"/>
      <c r="B345" s="118"/>
      <c r="C345" s="118"/>
      <c r="D345" s="118"/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 ht="13.5" customHeight="1">
      <c r="A346" s="118"/>
      <c r="B346" s="118"/>
      <c r="C346" s="118"/>
      <c r="D346" s="118"/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 ht="13.5" customHeight="1">
      <c r="A347" s="118"/>
      <c r="B347" s="118"/>
      <c r="C347" s="118"/>
      <c r="D347" s="118"/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 ht="13.5" customHeight="1">
      <c r="A348" s="118"/>
      <c r="B348" s="118"/>
      <c r="C348" s="118"/>
      <c r="D348" s="118"/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 ht="13.5" customHeight="1">
      <c r="A349" s="118"/>
      <c r="B349" s="118"/>
      <c r="C349" s="118"/>
      <c r="D349" s="118"/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 ht="13.5" customHeight="1">
      <c r="A350" s="118"/>
      <c r="B350" s="118"/>
      <c r="C350" s="118"/>
      <c r="D350" s="118"/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 ht="13.5" customHeight="1">
      <c r="A351" s="118"/>
      <c r="B351" s="118"/>
      <c r="C351" s="118"/>
      <c r="D351" s="118"/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 ht="13.5" customHeight="1">
      <c r="A352" s="118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 ht="13.5" customHeight="1">
      <c r="A353" s="118"/>
      <c r="B353" s="118"/>
      <c r="C353" s="118"/>
      <c r="D353" s="118"/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 ht="13.5" customHeight="1">
      <c r="A354" s="118"/>
      <c r="B354" s="118"/>
      <c r="C354" s="118"/>
      <c r="D354" s="118"/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 ht="13.5" customHeight="1">
      <c r="A355" s="118"/>
      <c r="B355" s="118"/>
      <c r="C355" s="118"/>
      <c r="D355" s="118"/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 ht="13.5" customHeight="1">
      <c r="A356" s="118"/>
      <c r="B356" s="118"/>
      <c r="C356" s="118"/>
      <c r="D356" s="118"/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 ht="13.5" customHeight="1">
      <c r="A357" s="118"/>
      <c r="B357" s="118"/>
      <c r="C357" s="118"/>
      <c r="D357" s="118"/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 ht="13.5" customHeight="1">
      <c r="A358" s="118"/>
      <c r="B358" s="118"/>
      <c r="C358" s="118"/>
      <c r="D358" s="118"/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 ht="13.5" customHeight="1">
      <c r="A359" s="118"/>
      <c r="B359" s="118"/>
      <c r="C359" s="118"/>
      <c r="D359" s="118"/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 ht="13.5" customHeight="1">
      <c r="A360" s="118"/>
      <c r="B360" s="118"/>
      <c r="C360" s="118"/>
      <c r="D360" s="118"/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 ht="13.5" customHeight="1">
      <c r="A361" s="118"/>
      <c r="B361" s="118"/>
      <c r="C361" s="118"/>
      <c r="D361" s="118"/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 ht="13.5" customHeight="1">
      <c r="A362" s="118"/>
      <c r="B362" s="118"/>
      <c r="C362" s="118"/>
      <c r="D362" s="118"/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 ht="13.5" customHeight="1">
      <c r="A363" s="118"/>
      <c r="B363" s="118"/>
      <c r="C363" s="118"/>
      <c r="D363" s="118"/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 ht="13.5" customHeight="1">
      <c r="A364" s="118"/>
      <c r="B364" s="118"/>
      <c r="C364" s="118"/>
      <c r="D364" s="118"/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 ht="13.5" customHeight="1">
      <c r="A365" s="118"/>
      <c r="B365" s="118"/>
      <c r="C365" s="118"/>
      <c r="D365" s="118"/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 ht="13.5" customHeight="1">
      <c r="A366" s="118"/>
      <c r="B366" s="118"/>
      <c r="C366" s="118"/>
      <c r="D366" s="118"/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 ht="13.5" customHeight="1">
      <c r="A367" s="118"/>
      <c r="B367" s="118"/>
      <c r="C367" s="118"/>
      <c r="D367" s="118"/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 ht="13.5" customHeight="1">
      <c r="A368" s="118"/>
      <c r="B368" s="118"/>
      <c r="C368" s="118"/>
      <c r="D368" s="118"/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 ht="13.5" customHeight="1">
      <c r="A369" s="118"/>
      <c r="B369" s="118"/>
      <c r="C369" s="118"/>
      <c r="D369" s="118"/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 ht="13.5" customHeight="1">
      <c r="A370" s="118"/>
      <c r="B370" s="118"/>
      <c r="C370" s="118"/>
      <c r="D370" s="118"/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 ht="13.5" customHeight="1">
      <c r="A371" s="118"/>
      <c r="B371" s="118"/>
      <c r="C371" s="118"/>
      <c r="D371" s="118"/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 ht="13.5" customHeight="1">
      <c r="A372" s="118"/>
      <c r="B372" s="118"/>
      <c r="C372" s="118"/>
      <c r="D372" s="118"/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 ht="13.5" customHeight="1">
      <c r="A373" s="118"/>
      <c r="B373" s="118"/>
      <c r="C373" s="118"/>
      <c r="D373" s="118"/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 ht="13.5" customHeight="1">
      <c r="A374" s="118"/>
      <c r="B374" s="118"/>
      <c r="C374" s="118"/>
      <c r="D374" s="118"/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 ht="13.5" customHeight="1">
      <c r="A375" s="118"/>
      <c r="B375" s="118"/>
      <c r="C375" s="118"/>
      <c r="D375" s="118"/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 ht="13.5" customHeight="1">
      <c r="A376" s="118"/>
      <c r="B376" s="118"/>
      <c r="C376" s="118"/>
      <c r="D376" s="118"/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 ht="13.5" customHeight="1">
      <c r="A377" s="118"/>
      <c r="B377" s="118"/>
      <c r="C377" s="118"/>
      <c r="D377" s="118"/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 ht="13.5" customHeight="1">
      <c r="A378" s="118"/>
      <c r="B378" s="118"/>
      <c r="C378" s="118"/>
      <c r="D378" s="118"/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 ht="13.5" customHeight="1">
      <c r="A379" s="118"/>
      <c r="B379" s="118"/>
      <c r="C379" s="118"/>
      <c r="D379" s="118"/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 ht="13.5" customHeight="1">
      <c r="A380" s="118"/>
      <c r="B380" s="118"/>
      <c r="C380" s="118"/>
      <c r="D380" s="118"/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 ht="13.5" customHeight="1">
      <c r="A381" s="118"/>
      <c r="B381" s="118"/>
      <c r="C381" s="118"/>
      <c r="D381" s="118"/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 ht="13.5" customHeight="1">
      <c r="A382" s="118"/>
      <c r="B382" s="118"/>
      <c r="C382" s="118"/>
      <c r="D382" s="118"/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 ht="13.5" customHeight="1">
      <c r="A383" s="118"/>
      <c r="B383" s="118"/>
      <c r="C383" s="118"/>
      <c r="D383" s="118"/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 ht="13.5" customHeight="1">
      <c r="A384" s="118"/>
      <c r="B384" s="118"/>
      <c r="C384" s="118"/>
      <c r="D384" s="118"/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 ht="13.5" customHeight="1">
      <c r="A385" s="118"/>
      <c r="B385" s="118"/>
      <c r="C385" s="118"/>
      <c r="D385" s="118"/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 ht="13.5" customHeight="1">
      <c r="A386" s="118"/>
      <c r="B386" s="118"/>
      <c r="C386" s="118"/>
      <c r="D386" s="118"/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 ht="13.5" customHeight="1">
      <c r="A387" s="118"/>
      <c r="B387" s="118"/>
      <c r="C387" s="118"/>
      <c r="D387" s="118"/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 ht="13.5" customHeight="1">
      <c r="A388" s="118"/>
      <c r="B388" s="118"/>
      <c r="C388" s="118"/>
      <c r="D388" s="118"/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 ht="13.5" customHeight="1">
      <c r="A389" s="118"/>
      <c r="B389" s="118"/>
      <c r="C389" s="118"/>
      <c r="D389" s="118"/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 ht="13.5" customHeight="1">
      <c r="A390" s="118"/>
      <c r="B390" s="118"/>
      <c r="C390" s="118"/>
      <c r="D390" s="118"/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 ht="13.5" customHeight="1">
      <c r="A391" s="118"/>
      <c r="B391" s="118"/>
      <c r="C391" s="118"/>
      <c r="D391" s="118"/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 ht="13.5" customHeight="1">
      <c r="A392" s="118"/>
      <c r="B392" s="118"/>
      <c r="C392" s="118"/>
      <c r="D392" s="118"/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 ht="13.5" customHeight="1">
      <c r="A393" s="118"/>
      <c r="B393" s="118"/>
      <c r="C393" s="118"/>
      <c r="D393" s="118"/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 ht="13.5" customHeight="1">
      <c r="A394" s="118"/>
      <c r="B394" s="118"/>
      <c r="C394" s="118"/>
      <c r="D394" s="118"/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 ht="13.5" customHeight="1">
      <c r="A395" s="118"/>
      <c r="B395" s="118"/>
      <c r="C395" s="118"/>
      <c r="D395" s="118"/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 ht="13.5" customHeight="1">
      <c r="A396" s="118"/>
      <c r="B396" s="118"/>
      <c r="C396" s="118"/>
      <c r="D396" s="118"/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 ht="13.5" customHeight="1">
      <c r="A397" s="118"/>
      <c r="B397" s="118"/>
      <c r="C397" s="118"/>
      <c r="D397" s="118"/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 ht="13.5" customHeight="1">
      <c r="A398" s="118"/>
      <c r="B398" s="118"/>
      <c r="C398" s="118"/>
      <c r="D398" s="118"/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 ht="13.5" customHeight="1">
      <c r="A399" s="118"/>
      <c r="B399" s="118"/>
      <c r="C399" s="118"/>
      <c r="D399" s="118"/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 ht="13.5" customHeight="1">
      <c r="A400" s="118"/>
      <c r="B400" s="118"/>
      <c r="C400" s="118"/>
      <c r="D400" s="118"/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 ht="13.5" customHeight="1">
      <c r="A401" s="118"/>
      <c r="B401" s="118"/>
      <c r="C401" s="118"/>
      <c r="D401" s="118"/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 ht="13.5" customHeight="1">
      <c r="A402" s="118"/>
      <c r="B402" s="118"/>
      <c r="C402" s="118"/>
      <c r="D402" s="118"/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 ht="13.5" customHeight="1">
      <c r="A403" s="118"/>
      <c r="B403" s="118"/>
      <c r="C403" s="118"/>
      <c r="D403" s="118"/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 ht="13.5" customHeight="1">
      <c r="A404" s="118"/>
      <c r="B404" s="118"/>
      <c r="C404" s="118"/>
      <c r="D404" s="118"/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 ht="13.5" customHeight="1">
      <c r="A405" s="118"/>
      <c r="B405" s="118"/>
      <c r="C405" s="118"/>
      <c r="D405" s="118"/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 ht="13.5" customHeight="1">
      <c r="A406" s="118"/>
      <c r="B406" s="118"/>
      <c r="C406" s="118"/>
      <c r="D406" s="118"/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 ht="13.5" customHeight="1">
      <c r="A407" s="118"/>
      <c r="B407" s="118"/>
      <c r="C407" s="118"/>
      <c r="D407" s="118"/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 ht="13.5" customHeight="1">
      <c r="A408" s="118"/>
      <c r="B408" s="118"/>
      <c r="C408" s="118"/>
      <c r="D408" s="118"/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 ht="13.5" customHeight="1">
      <c r="A409" s="118"/>
      <c r="B409" s="118"/>
      <c r="C409" s="118"/>
      <c r="D409" s="118"/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 ht="13.5" customHeight="1">
      <c r="A410" s="118"/>
      <c r="B410" s="118"/>
      <c r="C410" s="118"/>
      <c r="D410" s="118"/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 ht="13.5" customHeight="1">
      <c r="A411" s="118"/>
      <c r="B411" s="118"/>
      <c r="C411" s="118"/>
      <c r="D411" s="118"/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 ht="13.5" customHeight="1">
      <c r="A412" s="118"/>
      <c r="B412" s="118"/>
      <c r="C412" s="118"/>
      <c r="D412" s="118"/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 ht="13.5" customHeight="1">
      <c r="A413" s="118"/>
      <c r="B413" s="118"/>
      <c r="C413" s="118"/>
      <c r="D413" s="118"/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 ht="13.5" customHeight="1">
      <c r="A414" s="118"/>
      <c r="B414" s="118"/>
      <c r="C414" s="118"/>
      <c r="D414" s="118"/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 ht="13.5" customHeight="1">
      <c r="A415" s="118"/>
      <c r="B415" s="118"/>
      <c r="C415" s="118"/>
      <c r="D415" s="118"/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 ht="13.5" customHeight="1">
      <c r="A416" s="118"/>
      <c r="B416" s="118"/>
      <c r="C416" s="118"/>
      <c r="D416" s="118"/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 ht="13.5" customHeight="1">
      <c r="A417" s="118"/>
      <c r="B417" s="118"/>
      <c r="C417" s="118"/>
      <c r="D417" s="118"/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 ht="13.5" customHeight="1">
      <c r="A418" s="118"/>
      <c r="B418" s="118"/>
      <c r="C418" s="118"/>
      <c r="D418" s="118"/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 ht="13.5" customHeight="1">
      <c r="A419" s="118"/>
      <c r="B419" s="118"/>
      <c r="C419" s="118"/>
      <c r="D419" s="118"/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 ht="13.5" customHeight="1">
      <c r="A420" s="118"/>
      <c r="B420" s="118"/>
      <c r="C420" s="118"/>
      <c r="D420" s="118"/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 ht="13.5" customHeight="1">
      <c r="A421" s="118"/>
      <c r="B421" s="118"/>
      <c r="C421" s="118"/>
      <c r="D421" s="118"/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 ht="13.5" customHeight="1">
      <c r="A422" s="118"/>
      <c r="B422" s="118"/>
      <c r="C422" s="118"/>
      <c r="D422" s="118"/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 ht="13.5" customHeight="1">
      <c r="A423" s="118"/>
      <c r="B423" s="118"/>
      <c r="C423" s="118"/>
      <c r="D423" s="118"/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 ht="13.5" customHeight="1">
      <c r="A424" s="118"/>
      <c r="B424" s="118"/>
      <c r="C424" s="118"/>
      <c r="D424" s="118"/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 ht="13.5" customHeight="1">
      <c r="A425" s="118"/>
      <c r="B425" s="118"/>
      <c r="C425" s="118"/>
      <c r="D425" s="118"/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 ht="13.5" customHeight="1">
      <c r="A426" s="118"/>
      <c r="B426" s="118"/>
      <c r="C426" s="118"/>
      <c r="D426" s="118"/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 ht="13.5" customHeight="1">
      <c r="A427" s="118"/>
      <c r="B427" s="118"/>
      <c r="C427" s="118"/>
      <c r="D427" s="118"/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 ht="13.5" customHeight="1">
      <c r="A428" s="118"/>
      <c r="B428" s="118"/>
      <c r="C428" s="118"/>
      <c r="D428" s="118"/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 ht="13.5" customHeight="1">
      <c r="A429" s="118"/>
      <c r="B429" s="118"/>
      <c r="C429" s="118"/>
      <c r="D429" s="118"/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 ht="13.5" customHeight="1">
      <c r="A430" s="118"/>
      <c r="B430" s="118"/>
      <c r="C430" s="118"/>
      <c r="D430" s="118"/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 ht="13.5" customHeight="1">
      <c r="A431" s="118"/>
      <c r="B431" s="118"/>
      <c r="C431" s="118"/>
      <c r="D431" s="118"/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 ht="13.5" customHeight="1">
      <c r="A432" s="118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 ht="13.5" customHeight="1">
      <c r="A433" s="118"/>
      <c r="B433" s="118"/>
      <c r="C433" s="118"/>
      <c r="D433" s="118"/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 ht="13.5" customHeight="1">
      <c r="A434" s="118"/>
      <c r="B434" s="118"/>
      <c r="C434" s="118"/>
      <c r="D434" s="118"/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 ht="13.5" customHeight="1">
      <c r="A435" s="118"/>
      <c r="B435" s="118"/>
      <c r="C435" s="118"/>
      <c r="D435" s="118"/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 ht="13.5" customHeight="1">
      <c r="A436" s="118"/>
      <c r="B436" s="118"/>
      <c r="C436" s="118"/>
      <c r="D436" s="118"/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 ht="13.5" customHeight="1">
      <c r="A437" s="118"/>
      <c r="B437" s="118"/>
      <c r="C437" s="118"/>
      <c r="D437" s="118"/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 ht="13.5" customHeight="1">
      <c r="A438" s="118"/>
      <c r="B438" s="118"/>
      <c r="C438" s="118"/>
      <c r="D438" s="118"/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 ht="13.5" customHeight="1">
      <c r="A439" s="118"/>
      <c r="B439" s="118"/>
      <c r="C439" s="118"/>
      <c r="D439" s="118"/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 ht="13.5" customHeight="1">
      <c r="A440" s="118"/>
      <c r="B440" s="118"/>
      <c r="C440" s="118"/>
      <c r="D440" s="118"/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 ht="13.5" customHeight="1">
      <c r="A441" s="118"/>
      <c r="B441" s="118"/>
      <c r="C441" s="118"/>
      <c r="D441" s="118"/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 ht="13.5" customHeight="1">
      <c r="A442" s="118"/>
      <c r="B442" s="118"/>
      <c r="C442" s="118"/>
      <c r="D442" s="118"/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 ht="13.5" customHeight="1">
      <c r="A443" s="118"/>
      <c r="B443" s="118"/>
      <c r="C443" s="118"/>
      <c r="D443" s="118"/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 ht="13.5" customHeight="1">
      <c r="A444" s="118"/>
      <c r="B444" s="118"/>
      <c r="C444" s="118"/>
      <c r="D444" s="118"/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 ht="13.5" customHeight="1">
      <c r="A445" s="118"/>
      <c r="B445" s="118"/>
      <c r="C445" s="118"/>
      <c r="D445" s="118"/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 ht="13.5" customHeight="1">
      <c r="A446" s="118"/>
      <c r="B446" s="118"/>
      <c r="C446" s="118"/>
      <c r="D446" s="118"/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 ht="13.5" customHeight="1">
      <c r="A447" s="118"/>
      <c r="B447" s="118"/>
      <c r="C447" s="118"/>
      <c r="D447" s="118"/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 ht="13.5" customHeight="1">
      <c r="A448" s="118"/>
      <c r="B448" s="118"/>
      <c r="C448" s="118"/>
      <c r="D448" s="118"/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 ht="13.5" customHeight="1">
      <c r="A449" s="118"/>
      <c r="B449" s="118"/>
      <c r="C449" s="118"/>
      <c r="D449" s="118"/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 ht="13.5" customHeight="1">
      <c r="A450" s="118"/>
      <c r="B450" s="118"/>
      <c r="C450" s="118"/>
      <c r="D450" s="118"/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 ht="13.5" customHeight="1">
      <c r="A451" s="118"/>
      <c r="B451" s="118"/>
      <c r="C451" s="118"/>
      <c r="D451" s="118"/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 ht="13.5" customHeight="1">
      <c r="A452" s="118"/>
      <c r="B452" s="118"/>
      <c r="C452" s="118"/>
      <c r="D452" s="118"/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 ht="13.5" customHeight="1">
      <c r="A453" s="118"/>
      <c r="B453" s="118"/>
      <c r="C453" s="118"/>
      <c r="D453" s="118"/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 ht="13.5" customHeight="1">
      <c r="A454" s="118"/>
      <c r="B454" s="118"/>
      <c r="C454" s="118"/>
      <c r="D454" s="118"/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 ht="13.5" customHeight="1">
      <c r="A455" s="118"/>
      <c r="B455" s="118"/>
      <c r="C455" s="118"/>
      <c r="D455" s="118"/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 ht="13.5" customHeight="1">
      <c r="A456" s="118"/>
      <c r="B456" s="118"/>
      <c r="C456" s="118"/>
      <c r="D456" s="118"/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 ht="13.5" customHeight="1">
      <c r="A457" s="118"/>
      <c r="B457" s="118"/>
      <c r="C457" s="118"/>
      <c r="D457" s="118"/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 ht="13.5" customHeight="1">
      <c r="A458" s="118"/>
      <c r="B458" s="118"/>
      <c r="C458" s="118"/>
      <c r="D458" s="118"/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 ht="13.5" customHeight="1">
      <c r="A459" s="118"/>
      <c r="B459" s="118"/>
      <c r="C459" s="118"/>
      <c r="D459" s="118"/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 ht="13.5" customHeight="1">
      <c r="A460" s="118"/>
      <c r="B460" s="118"/>
      <c r="C460" s="118"/>
      <c r="D460" s="118"/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 ht="13.5" customHeight="1">
      <c r="A461" s="118"/>
      <c r="B461" s="118"/>
      <c r="C461" s="118"/>
      <c r="D461" s="118"/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 ht="13.5" customHeight="1">
      <c r="A462" s="118"/>
      <c r="B462" s="118"/>
      <c r="C462" s="118"/>
      <c r="D462" s="118"/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 ht="13.5" customHeight="1">
      <c r="A463" s="118"/>
      <c r="B463" s="118"/>
      <c r="C463" s="118"/>
      <c r="D463" s="118"/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 ht="13.5" customHeight="1">
      <c r="A464" s="118"/>
      <c r="B464" s="118"/>
      <c r="C464" s="118"/>
      <c r="D464" s="118"/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 ht="13.5" customHeight="1">
      <c r="A465" s="118"/>
      <c r="B465" s="118"/>
      <c r="C465" s="118"/>
      <c r="D465" s="118"/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 ht="13.5" customHeight="1">
      <c r="A466" s="118"/>
      <c r="B466" s="118"/>
      <c r="C466" s="118"/>
      <c r="D466" s="118"/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 ht="13.5" customHeight="1">
      <c r="A467" s="118"/>
      <c r="B467" s="118"/>
      <c r="C467" s="118"/>
      <c r="D467" s="118"/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 ht="13.5" customHeight="1">
      <c r="A468" s="118"/>
      <c r="B468" s="118"/>
      <c r="C468" s="118"/>
      <c r="D468" s="118"/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 ht="13.5" customHeight="1">
      <c r="A469" s="118"/>
      <c r="B469" s="118"/>
      <c r="C469" s="118"/>
      <c r="D469" s="118"/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 ht="13.5" customHeight="1">
      <c r="A470" s="118"/>
      <c r="B470" s="118"/>
      <c r="C470" s="118"/>
      <c r="D470" s="118"/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 ht="13.5" customHeight="1">
      <c r="A471" s="118"/>
      <c r="B471" s="118"/>
      <c r="C471" s="118"/>
      <c r="D471" s="118"/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 ht="13.5" customHeight="1">
      <c r="A472" s="118"/>
      <c r="B472" s="118"/>
      <c r="C472" s="118"/>
      <c r="D472" s="118"/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 ht="13.5" customHeight="1">
      <c r="A473" s="118"/>
      <c r="B473" s="118"/>
      <c r="C473" s="118"/>
      <c r="D473" s="118"/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 ht="13.5" customHeight="1">
      <c r="A474" s="118"/>
      <c r="B474" s="118"/>
      <c r="C474" s="118"/>
      <c r="D474" s="118"/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 ht="13.5" customHeight="1">
      <c r="A475" s="118"/>
      <c r="B475" s="118"/>
      <c r="C475" s="118"/>
      <c r="D475" s="118"/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 ht="13.5" customHeight="1">
      <c r="A476" s="118"/>
      <c r="B476" s="118"/>
      <c r="C476" s="118"/>
      <c r="D476" s="118"/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 ht="13.5" customHeight="1">
      <c r="A477" s="118"/>
      <c r="B477" s="118"/>
      <c r="C477" s="118"/>
      <c r="D477" s="118"/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 ht="13.5" customHeight="1">
      <c r="A478" s="118"/>
      <c r="B478" s="118"/>
      <c r="C478" s="118"/>
      <c r="D478" s="118"/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 ht="13.5" customHeight="1">
      <c r="A479" s="118"/>
      <c r="B479" s="118"/>
      <c r="C479" s="118"/>
      <c r="D479" s="118"/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 ht="13.5" customHeight="1">
      <c r="A480" s="118"/>
      <c r="B480" s="118"/>
      <c r="C480" s="118"/>
      <c r="D480" s="118"/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 ht="13.5" customHeight="1">
      <c r="A481" s="118"/>
      <c r="B481" s="118"/>
      <c r="C481" s="118"/>
      <c r="D481" s="118"/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 ht="13.5" customHeight="1">
      <c r="A482" s="118"/>
      <c r="B482" s="118"/>
      <c r="C482" s="118"/>
      <c r="D482" s="118"/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 ht="13.5" customHeight="1">
      <c r="A483" s="118"/>
      <c r="B483" s="118"/>
      <c r="C483" s="118"/>
      <c r="D483" s="118"/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 ht="13.5" customHeight="1">
      <c r="A484" s="118"/>
      <c r="B484" s="118"/>
      <c r="C484" s="118"/>
      <c r="D484" s="118"/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 ht="13.5" customHeight="1">
      <c r="A485" s="118"/>
      <c r="B485" s="118"/>
      <c r="C485" s="118"/>
      <c r="D485" s="118"/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 ht="13.5" customHeight="1">
      <c r="A486" s="118"/>
      <c r="B486" s="118"/>
      <c r="C486" s="118"/>
      <c r="D486" s="118"/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 ht="13.5" customHeight="1">
      <c r="A487" s="118"/>
      <c r="B487" s="118"/>
      <c r="C487" s="118"/>
      <c r="D487" s="118"/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 ht="13.5" customHeight="1">
      <c r="A488" s="118"/>
      <c r="B488" s="118"/>
      <c r="C488" s="118"/>
      <c r="D488" s="118"/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 ht="13.5" customHeight="1">
      <c r="A489" s="118"/>
      <c r="B489" s="118"/>
      <c r="C489" s="118"/>
      <c r="D489" s="118"/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 ht="13.5" customHeight="1">
      <c r="A490" s="118"/>
      <c r="B490" s="118"/>
      <c r="C490" s="118"/>
      <c r="D490" s="118"/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 ht="13.5" customHeight="1">
      <c r="A491" s="118"/>
      <c r="B491" s="118"/>
      <c r="C491" s="118"/>
      <c r="D491" s="118"/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 ht="13.5" customHeight="1">
      <c r="A492" s="118"/>
      <c r="B492" s="118"/>
      <c r="C492" s="118"/>
      <c r="D492" s="118"/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 ht="13.5" customHeight="1">
      <c r="A493" s="118"/>
      <c r="B493" s="118"/>
      <c r="C493" s="118"/>
      <c r="D493" s="118"/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 ht="13.5" customHeight="1">
      <c r="A494" s="118"/>
      <c r="B494" s="118"/>
      <c r="C494" s="118"/>
      <c r="D494" s="118"/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 ht="13.5" customHeight="1">
      <c r="A495" s="118"/>
      <c r="B495" s="118"/>
      <c r="C495" s="118"/>
      <c r="D495" s="118"/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 ht="13.5" customHeight="1">
      <c r="A496" s="118"/>
      <c r="B496" s="118"/>
      <c r="C496" s="118"/>
      <c r="D496" s="118"/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 ht="13.5" customHeight="1">
      <c r="A497" s="118"/>
      <c r="B497" s="118"/>
      <c r="C497" s="118"/>
      <c r="D497" s="118"/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 ht="13.5" customHeight="1">
      <c r="A498" s="118"/>
      <c r="B498" s="118"/>
      <c r="C498" s="118"/>
      <c r="D498" s="118"/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 ht="13.5" customHeight="1">
      <c r="A499" s="118"/>
      <c r="B499" s="118"/>
      <c r="C499" s="118"/>
      <c r="D499" s="118"/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 ht="13.5" customHeight="1">
      <c r="A500" s="118"/>
      <c r="B500" s="118"/>
      <c r="C500" s="118"/>
      <c r="D500" s="118"/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 ht="13.5" customHeight="1">
      <c r="A501" s="118"/>
      <c r="B501" s="118"/>
      <c r="C501" s="118"/>
      <c r="D501" s="118"/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 ht="13.5" customHeight="1">
      <c r="A502" s="118"/>
      <c r="B502" s="118"/>
      <c r="C502" s="118"/>
      <c r="D502" s="118"/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  <row r="503" ht="13.5" customHeight="1">
      <c r="A503" s="118"/>
      <c r="B503" s="118"/>
      <c r="C503" s="118"/>
      <c r="D503" s="118"/>
      <c r="E503" s="118"/>
      <c r="F503" s="118"/>
      <c r="G503" s="118"/>
      <c r="H503" s="118"/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</row>
    <row r="504" ht="13.5" customHeight="1">
      <c r="A504" s="118"/>
      <c r="B504" s="118"/>
      <c r="C504" s="118"/>
      <c r="D504" s="118"/>
      <c r="E504" s="118"/>
      <c r="F504" s="118"/>
      <c r="G504" s="118"/>
      <c r="H504" s="118"/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</row>
    <row r="505" ht="13.5" customHeight="1">
      <c r="A505" s="118"/>
      <c r="B505" s="118"/>
      <c r="C505" s="118"/>
      <c r="D505" s="118"/>
      <c r="E505" s="118"/>
      <c r="F505" s="118"/>
      <c r="G505" s="118"/>
      <c r="H505" s="118"/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</row>
    <row r="506" ht="13.5" customHeight="1">
      <c r="A506" s="118"/>
      <c r="B506" s="118"/>
      <c r="C506" s="118"/>
      <c r="D506" s="118"/>
      <c r="E506" s="118"/>
      <c r="F506" s="118"/>
      <c r="G506" s="118"/>
      <c r="H506" s="118"/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</row>
    <row r="507" ht="13.5" customHeight="1">
      <c r="A507" s="118"/>
      <c r="B507" s="118"/>
      <c r="C507" s="118"/>
      <c r="D507" s="118"/>
      <c r="E507" s="118"/>
      <c r="F507" s="118"/>
      <c r="G507" s="118"/>
      <c r="H507" s="118"/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</row>
    <row r="508" ht="13.5" customHeight="1">
      <c r="A508" s="118"/>
      <c r="B508" s="118"/>
      <c r="C508" s="118"/>
      <c r="D508" s="118"/>
      <c r="E508" s="118"/>
      <c r="F508" s="118"/>
      <c r="G508" s="118"/>
      <c r="H508" s="118"/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</row>
    <row r="509" ht="13.5" customHeight="1">
      <c r="A509" s="118"/>
      <c r="B509" s="118"/>
      <c r="C509" s="118"/>
      <c r="D509" s="118"/>
      <c r="E509" s="118"/>
      <c r="F509" s="118"/>
      <c r="G509" s="118"/>
      <c r="H509" s="118"/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</row>
    <row r="510" ht="13.5" customHeight="1">
      <c r="A510" s="118"/>
      <c r="B510" s="118"/>
      <c r="C510" s="118"/>
      <c r="D510" s="118"/>
      <c r="E510" s="118"/>
      <c r="F510" s="118"/>
      <c r="G510" s="118"/>
      <c r="H510" s="118"/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</row>
    <row r="511" ht="13.5" customHeight="1">
      <c r="A511" s="118"/>
      <c r="B511" s="118"/>
      <c r="C511" s="118"/>
      <c r="D511" s="118"/>
      <c r="E511" s="118"/>
      <c r="F511" s="118"/>
      <c r="G511" s="118"/>
      <c r="H511" s="118"/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</row>
    <row r="512" ht="13.5" customHeight="1">
      <c r="A512" s="118"/>
      <c r="B512" s="118"/>
      <c r="C512" s="118"/>
      <c r="D512" s="118"/>
      <c r="E512" s="118"/>
      <c r="F512" s="118"/>
      <c r="G512" s="118"/>
      <c r="H512" s="118"/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</row>
    <row r="513" ht="13.5" customHeight="1">
      <c r="A513" s="118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</row>
    <row r="514" ht="13.5" customHeight="1">
      <c r="A514" s="118"/>
      <c r="B514" s="118"/>
      <c r="C514" s="118"/>
      <c r="D514" s="118"/>
      <c r="E514" s="118"/>
      <c r="F514" s="118"/>
      <c r="G514" s="118"/>
      <c r="H514" s="118"/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</row>
    <row r="515" ht="13.5" customHeight="1">
      <c r="A515" s="118"/>
      <c r="B515" s="118"/>
      <c r="C515" s="118"/>
      <c r="D515" s="118"/>
      <c r="E515" s="118"/>
      <c r="F515" s="118"/>
      <c r="G515" s="118"/>
      <c r="H515" s="118"/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</row>
    <row r="516" ht="13.5" customHeight="1">
      <c r="A516" s="118"/>
      <c r="B516" s="118"/>
      <c r="C516" s="118"/>
      <c r="D516" s="118"/>
      <c r="E516" s="118"/>
      <c r="F516" s="118"/>
      <c r="G516" s="118"/>
      <c r="H516" s="118"/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</row>
    <row r="517" ht="13.5" customHeight="1">
      <c r="A517" s="118"/>
      <c r="B517" s="118"/>
      <c r="C517" s="118"/>
      <c r="D517" s="118"/>
      <c r="E517" s="118"/>
      <c r="F517" s="118"/>
      <c r="G517" s="118"/>
      <c r="H517" s="118"/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</row>
    <row r="518" ht="13.5" customHeight="1">
      <c r="A518" s="118"/>
      <c r="B518" s="118"/>
      <c r="C518" s="118"/>
      <c r="D518" s="118"/>
      <c r="E518" s="118"/>
      <c r="F518" s="118"/>
      <c r="G518" s="118"/>
      <c r="H518" s="118"/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</row>
    <row r="519" ht="13.5" customHeight="1">
      <c r="A519" s="118"/>
      <c r="B519" s="118"/>
      <c r="C519" s="118"/>
      <c r="D519" s="118"/>
      <c r="E519" s="118"/>
      <c r="F519" s="118"/>
      <c r="G519" s="118"/>
      <c r="H519" s="118"/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</row>
    <row r="520" ht="13.5" customHeight="1">
      <c r="A520" s="118"/>
      <c r="B520" s="118"/>
      <c r="C520" s="118"/>
      <c r="D520" s="118"/>
      <c r="E520" s="118"/>
      <c r="F520" s="118"/>
      <c r="G520" s="118"/>
      <c r="H520" s="118"/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</row>
    <row r="521" ht="13.5" customHeight="1">
      <c r="A521" s="118"/>
      <c r="B521" s="118"/>
      <c r="C521" s="118"/>
      <c r="D521" s="118"/>
      <c r="E521" s="118"/>
      <c r="F521" s="118"/>
      <c r="G521" s="118"/>
      <c r="H521" s="118"/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</row>
    <row r="522" ht="13.5" customHeight="1">
      <c r="A522" s="118"/>
      <c r="B522" s="118"/>
      <c r="C522" s="118"/>
      <c r="D522" s="118"/>
      <c r="E522" s="118"/>
      <c r="F522" s="118"/>
      <c r="G522" s="118"/>
      <c r="H522" s="118"/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</row>
    <row r="523" ht="13.5" customHeight="1">
      <c r="A523" s="118"/>
      <c r="B523" s="118"/>
      <c r="C523" s="118"/>
      <c r="D523" s="118"/>
      <c r="E523" s="118"/>
      <c r="F523" s="118"/>
      <c r="G523" s="118"/>
      <c r="H523" s="118"/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</row>
    <row r="524" ht="13.5" customHeight="1">
      <c r="A524" s="118"/>
      <c r="B524" s="118"/>
      <c r="C524" s="118"/>
      <c r="D524" s="118"/>
      <c r="E524" s="118"/>
      <c r="F524" s="118"/>
      <c r="G524" s="118"/>
      <c r="H524" s="118"/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</row>
    <row r="525" ht="13.5" customHeight="1">
      <c r="A525" s="118"/>
      <c r="B525" s="118"/>
      <c r="C525" s="118"/>
      <c r="D525" s="118"/>
      <c r="E525" s="118"/>
      <c r="F525" s="118"/>
      <c r="G525" s="118"/>
      <c r="H525" s="118"/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</row>
    <row r="526" ht="13.5" customHeight="1">
      <c r="A526" s="118"/>
      <c r="B526" s="118"/>
      <c r="C526" s="118"/>
      <c r="D526" s="118"/>
      <c r="E526" s="118"/>
      <c r="F526" s="118"/>
      <c r="G526" s="118"/>
      <c r="H526" s="118"/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</row>
    <row r="527" ht="13.5" customHeight="1">
      <c r="A527" s="118"/>
      <c r="B527" s="118"/>
      <c r="C527" s="118"/>
      <c r="D527" s="118"/>
      <c r="E527" s="118"/>
      <c r="F527" s="118"/>
      <c r="G527" s="118"/>
      <c r="H527" s="118"/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</row>
    <row r="528" ht="13.5" customHeight="1">
      <c r="A528" s="118"/>
      <c r="B528" s="118"/>
      <c r="C528" s="118"/>
      <c r="D528" s="118"/>
      <c r="E528" s="118"/>
      <c r="F528" s="118"/>
      <c r="G528" s="118"/>
      <c r="H528" s="118"/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</row>
    <row r="529" ht="13.5" customHeight="1">
      <c r="A529" s="118"/>
      <c r="B529" s="118"/>
      <c r="C529" s="118"/>
      <c r="D529" s="118"/>
      <c r="E529" s="118"/>
      <c r="F529" s="118"/>
      <c r="G529" s="118"/>
      <c r="H529" s="118"/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</row>
    <row r="530" ht="13.5" customHeight="1">
      <c r="A530" s="118"/>
      <c r="B530" s="118"/>
      <c r="C530" s="118"/>
      <c r="D530" s="118"/>
      <c r="E530" s="118"/>
      <c r="F530" s="118"/>
      <c r="G530" s="118"/>
      <c r="H530" s="118"/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</row>
    <row r="531" ht="13.5" customHeight="1">
      <c r="A531" s="118"/>
      <c r="B531" s="118"/>
      <c r="C531" s="118"/>
      <c r="D531" s="118"/>
      <c r="E531" s="118"/>
      <c r="F531" s="118"/>
      <c r="G531" s="118"/>
      <c r="H531" s="118"/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</row>
    <row r="532" ht="13.5" customHeight="1">
      <c r="A532" s="118"/>
      <c r="B532" s="118"/>
      <c r="C532" s="118"/>
      <c r="D532" s="118"/>
      <c r="E532" s="118"/>
      <c r="F532" s="118"/>
      <c r="G532" s="118"/>
      <c r="H532" s="118"/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</row>
    <row r="533" ht="13.5" customHeight="1">
      <c r="A533" s="118"/>
      <c r="B533" s="118"/>
      <c r="C533" s="118"/>
      <c r="D533" s="118"/>
      <c r="E533" s="118"/>
      <c r="F533" s="118"/>
      <c r="G533" s="118"/>
      <c r="H533" s="118"/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</row>
    <row r="534" ht="13.5" customHeight="1">
      <c r="A534" s="118"/>
      <c r="B534" s="118"/>
      <c r="C534" s="118"/>
      <c r="D534" s="118"/>
      <c r="E534" s="118"/>
      <c r="F534" s="118"/>
      <c r="G534" s="118"/>
      <c r="H534" s="118"/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</row>
    <row r="535" ht="13.5" customHeight="1">
      <c r="A535" s="118"/>
      <c r="B535" s="118"/>
      <c r="C535" s="118"/>
      <c r="D535" s="118"/>
      <c r="E535" s="118"/>
      <c r="F535" s="118"/>
      <c r="G535" s="118"/>
      <c r="H535" s="118"/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</row>
    <row r="536" ht="13.5" customHeight="1">
      <c r="A536" s="118"/>
      <c r="B536" s="118"/>
      <c r="C536" s="118"/>
      <c r="D536" s="118"/>
      <c r="E536" s="118"/>
      <c r="F536" s="118"/>
      <c r="G536" s="118"/>
      <c r="H536" s="118"/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</row>
    <row r="537" ht="13.5" customHeight="1">
      <c r="A537" s="118"/>
      <c r="B537" s="118"/>
      <c r="C537" s="118"/>
      <c r="D537" s="118"/>
      <c r="E537" s="118"/>
      <c r="F537" s="118"/>
      <c r="G537" s="118"/>
      <c r="H537" s="118"/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</row>
    <row r="538" ht="13.5" customHeight="1">
      <c r="A538" s="118"/>
      <c r="B538" s="118"/>
      <c r="C538" s="118"/>
      <c r="D538" s="118"/>
      <c r="E538" s="118"/>
      <c r="F538" s="118"/>
      <c r="G538" s="118"/>
      <c r="H538" s="118"/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</row>
    <row r="539" ht="13.5" customHeight="1">
      <c r="A539" s="118"/>
      <c r="B539" s="118"/>
      <c r="C539" s="118"/>
      <c r="D539" s="118"/>
      <c r="E539" s="118"/>
      <c r="F539" s="118"/>
      <c r="G539" s="118"/>
      <c r="H539" s="118"/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</row>
    <row r="540" ht="13.5" customHeight="1">
      <c r="A540" s="118"/>
      <c r="B540" s="118"/>
      <c r="C540" s="118"/>
      <c r="D540" s="118"/>
      <c r="E540" s="118"/>
      <c r="F540" s="118"/>
      <c r="G540" s="118"/>
      <c r="H540" s="118"/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</row>
    <row r="541" ht="13.5" customHeight="1">
      <c r="A541" s="118"/>
      <c r="B541" s="118"/>
      <c r="C541" s="118"/>
      <c r="D541" s="118"/>
      <c r="E541" s="118"/>
      <c r="F541" s="118"/>
      <c r="G541" s="118"/>
      <c r="H541" s="118"/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</row>
    <row r="542" ht="13.5" customHeight="1">
      <c r="A542" s="118"/>
      <c r="B542" s="118"/>
      <c r="C542" s="118"/>
      <c r="D542" s="118"/>
      <c r="E542" s="118"/>
      <c r="F542" s="118"/>
      <c r="G542" s="118"/>
      <c r="H542" s="118"/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</row>
    <row r="543" ht="13.5" customHeight="1">
      <c r="A543" s="118"/>
      <c r="B543" s="118"/>
      <c r="C543" s="118"/>
      <c r="D543" s="118"/>
      <c r="E543" s="118"/>
      <c r="F543" s="118"/>
      <c r="G543" s="118"/>
      <c r="H543" s="118"/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</row>
    <row r="544" ht="13.5" customHeight="1">
      <c r="A544" s="118"/>
      <c r="B544" s="118"/>
      <c r="C544" s="118"/>
      <c r="D544" s="118"/>
      <c r="E544" s="118"/>
      <c r="F544" s="118"/>
      <c r="G544" s="118"/>
      <c r="H544" s="118"/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</row>
    <row r="545" ht="13.5" customHeight="1">
      <c r="A545" s="118"/>
      <c r="B545" s="118"/>
      <c r="C545" s="118"/>
      <c r="D545" s="118"/>
      <c r="E545" s="118"/>
      <c r="F545" s="118"/>
      <c r="G545" s="118"/>
      <c r="H545" s="118"/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</row>
    <row r="546" ht="13.5" customHeight="1">
      <c r="A546" s="118"/>
      <c r="B546" s="118"/>
      <c r="C546" s="118"/>
      <c r="D546" s="118"/>
      <c r="E546" s="118"/>
      <c r="F546" s="118"/>
      <c r="G546" s="118"/>
      <c r="H546" s="118"/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</row>
    <row r="547" ht="13.5" customHeight="1">
      <c r="A547" s="118"/>
      <c r="B547" s="118"/>
      <c r="C547" s="118"/>
      <c r="D547" s="118"/>
      <c r="E547" s="118"/>
      <c r="F547" s="118"/>
      <c r="G547" s="118"/>
      <c r="H547" s="118"/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</row>
    <row r="548" ht="13.5" customHeight="1">
      <c r="A548" s="118"/>
      <c r="B548" s="118"/>
      <c r="C548" s="118"/>
      <c r="D548" s="118"/>
      <c r="E548" s="118"/>
      <c r="F548" s="118"/>
      <c r="G548" s="118"/>
      <c r="H548" s="118"/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</row>
    <row r="549" ht="13.5" customHeight="1">
      <c r="A549" s="118"/>
      <c r="B549" s="118"/>
      <c r="C549" s="118"/>
      <c r="D549" s="118"/>
      <c r="E549" s="118"/>
      <c r="F549" s="118"/>
      <c r="G549" s="118"/>
      <c r="H549" s="118"/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</row>
    <row r="550" ht="13.5" customHeight="1">
      <c r="A550" s="118"/>
      <c r="B550" s="118"/>
      <c r="C550" s="118"/>
      <c r="D550" s="118"/>
      <c r="E550" s="118"/>
      <c r="F550" s="118"/>
      <c r="G550" s="118"/>
      <c r="H550" s="118"/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</row>
    <row r="551" ht="13.5" customHeight="1">
      <c r="A551" s="118"/>
      <c r="B551" s="118"/>
      <c r="C551" s="118"/>
      <c r="D551" s="118"/>
      <c r="E551" s="118"/>
      <c r="F551" s="118"/>
      <c r="G551" s="118"/>
      <c r="H551" s="118"/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</row>
    <row r="552" ht="13.5" customHeight="1">
      <c r="A552" s="118"/>
      <c r="B552" s="118"/>
      <c r="C552" s="118"/>
      <c r="D552" s="118"/>
      <c r="E552" s="118"/>
      <c r="F552" s="118"/>
      <c r="G552" s="118"/>
      <c r="H552" s="118"/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</row>
    <row r="553" ht="13.5" customHeight="1">
      <c r="A553" s="118"/>
      <c r="B553" s="118"/>
      <c r="C553" s="118"/>
      <c r="D553" s="118"/>
      <c r="E553" s="118"/>
      <c r="F553" s="118"/>
      <c r="G553" s="118"/>
      <c r="H553" s="118"/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</row>
    <row r="554" ht="13.5" customHeight="1">
      <c r="A554" s="118"/>
      <c r="B554" s="118"/>
      <c r="C554" s="118"/>
      <c r="D554" s="118"/>
      <c r="E554" s="118"/>
      <c r="F554" s="118"/>
      <c r="G554" s="118"/>
      <c r="H554" s="118"/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</row>
    <row r="555" ht="13.5" customHeight="1">
      <c r="A555" s="118"/>
      <c r="B555" s="118"/>
      <c r="C555" s="118"/>
      <c r="D555" s="118"/>
      <c r="E555" s="118"/>
      <c r="F555" s="118"/>
      <c r="G555" s="118"/>
      <c r="H555" s="118"/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</row>
    <row r="556" ht="13.5" customHeight="1">
      <c r="A556" s="118"/>
      <c r="B556" s="118"/>
      <c r="C556" s="118"/>
      <c r="D556" s="118"/>
      <c r="E556" s="118"/>
      <c r="F556" s="118"/>
      <c r="G556" s="118"/>
      <c r="H556" s="118"/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</row>
    <row r="557" ht="13.5" customHeight="1">
      <c r="A557" s="118"/>
      <c r="B557" s="118"/>
      <c r="C557" s="118"/>
      <c r="D557" s="118"/>
      <c r="E557" s="118"/>
      <c r="F557" s="118"/>
      <c r="G557" s="118"/>
      <c r="H557" s="118"/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</row>
    <row r="558" ht="13.5" customHeight="1">
      <c r="A558" s="118"/>
      <c r="B558" s="118"/>
      <c r="C558" s="118"/>
      <c r="D558" s="118"/>
      <c r="E558" s="118"/>
      <c r="F558" s="118"/>
      <c r="G558" s="118"/>
      <c r="H558" s="118"/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</row>
    <row r="559" ht="13.5" customHeight="1">
      <c r="A559" s="118"/>
      <c r="B559" s="118"/>
      <c r="C559" s="118"/>
      <c r="D559" s="118"/>
      <c r="E559" s="118"/>
      <c r="F559" s="118"/>
      <c r="G559" s="118"/>
      <c r="H559" s="118"/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</row>
    <row r="560" ht="13.5" customHeight="1">
      <c r="A560" s="118"/>
      <c r="B560" s="118"/>
      <c r="C560" s="118"/>
      <c r="D560" s="118"/>
      <c r="E560" s="118"/>
      <c r="F560" s="118"/>
      <c r="G560" s="118"/>
      <c r="H560" s="118"/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</row>
    <row r="561" ht="13.5" customHeight="1">
      <c r="A561" s="118"/>
      <c r="B561" s="118"/>
      <c r="C561" s="118"/>
      <c r="D561" s="118"/>
      <c r="E561" s="118"/>
      <c r="F561" s="118"/>
      <c r="G561" s="118"/>
      <c r="H561" s="118"/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</row>
    <row r="562" ht="13.5" customHeight="1">
      <c r="A562" s="118"/>
      <c r="B562" s="118"/>
      <c r="C562" s="118"/>
      <c r="D562" s="118"/>
      <c r="E562" s="118"/>
      <c r="F562" s="118"/>
      <c r="G562" s="118"/>
      <c r="H562" s="118"/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</row>
    <row r="563" ht="13.5" customHeight="1">
      <c r="A563" s="118"/>
      <c r="B563" s="118"/>
      <c r="C563" s="118"/>
      <c r="D563" s="118"/>
      <c r="E563" s="118"/>
      <c r="F563" s="118"/>
      <c r="G563" s="118"/>
      <c r="H563" s="118"/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</row>
    <row r="564" ht="13.5" customHeight="1">
      <c r="A564" s="118"/>
      <c r="B564" s="118"/>
      <c r="C564" s="118"/>
      <c r="D564" s="118"/>
      <c r="E564" s="118"/>
      <c r="F564" s="118"/>
      <c r="G564" s="118"/>
      <c r="H564" s="118"/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</row>
    <row r="565" ht="13.5" customHeight="1">
      <c r="A565" s="118"/>
      <c r="B565" s="118"/>
      <c r="C565" s="118"/>
      <c r="D565" s="118"/>
      <c r="E565" s="118"/>
      <c r="F565" s="118"/>
      <c r="G565" s="118"/>
      <c r="H565" s="118"/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</row>
    <row r="566" ht="13.5" customHeight="1">
      <c r="A566" s="118"/>
      <c r="B566" s="118"/>
      <c r="C566" s="118"/>
      <c r="D566" s="118"/>
      <c r="E566" s="118"/>
      <c r="F566" s="118"/>
      <c r="G566" s="118"/>
      <c r="H566" s="118"/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</row>
    <row r="567" ht="13.5" customHeight="1">
      <c r="A567" s="118"/>
      <c r="B567" s="118"/>
      <c r="C567" s="118"/>
      <c r="D567" s="118"/>
      <c r="E567" s="118"/>
      <c r="F567" s="118"/>
      <c r="G567" s="118"/>
      <c r="H567" s="118"/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</row>
    <row r="568" ht="13.5" customHeight="1">
      <c r="A568" s="118"/>
      <c r="B568" s="118"/>
      <c r="C568" s="118"/>
      <c r="D568" s="118"/>
      <c r="E568" s="118"/>
      <c r="F568" s="118"/>
      <c r="G568" s="118"/>
      <c r="H568" s="118"/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</row>
    <row r="569" ht="13.5" customHeight="1">
      <c r="A569" s="118"/>
      <c r="B569" s="118"/>
      <c r="C569" s="118"/>
      <c r="D569" s="118"/>
      <c r="E569" s="118"/>
      <c r="F569" s="118"/>
      <c r="G569" s="118"/>
      <c r="H569" s="118"/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</row>
    <row r="570" ht="13.5" customHeight="1">
      <c r="A570" s="118"/>
      <c r="B570" s="118"/>
      <c r="C570" s="118"/>
      <c r="D570" s="118"/>
      <c r="E570" s="118"/>
      <c r="F570" s="118"/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</row>
    <row r="571" ht="13.5" customHeight="1">
      <c r="A571" s="118"/>
      <c r="B571" s="118"/>
      <c r="C571" s="118"/>
      <c r="D571" s="118"/>
      <c r="E571" s="118"/>
      <c r="F571" s="118"/>
      <c r="G571" s="118"/>
      <c r="H571" s="118"/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</row>
    <row r="572" ht="13.5" customHeight="1">
      <c r="A572" s="118"/>
      <c r="B572" s="118"/>
      <c r="C572" s="118"/>
      <c r="D572" s="118"/>
      <c r="E572" s="118"/>
      <c r="F572" s="118"/>
      <c r="G572" s="118"/>
      <c r="H572" s="118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</row>
    <row r="573" ht="13.5" customHeight="1">
      <c r="A573" s="118"/>
      <c r="B573" s="118"/>
      <c r="C573" s="118"/>
      <c r="D573" s="118"/>
      <c r="E573" s="118"/>
      <c r="F573" s="118"/>
      <c r="G573" s="118"/>
      <c r="H573" s="118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</row>
    <row r="574" ht="13.5" customHeight="1">
      <c r="A574" s="118"/>
      <c r="B574" s="118"/>
      <c r="C574" s="118"/>
      <c r="D574" s="118"/>
      <c r="E574" s="118"/>
      <c r="F574" s="118"/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</row>
    <row r="575" ht="13.5" customHeight="1">
      <c r="A575" s="118"/>
      <c r="B575" s="118"/>
      <c r="C575" s="118"/>
      <c r="D575" s="118"/>
      <c r="E575" s="118"/>
      <c r="F575" s="118"/>
      <c r="G575" s="118"/>
      <c r="H575" s="118"/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</row>
    <row r="576" ht="13.5" customHeight="1">
      <c r="A576" s="118"/>
      <c r="B576" s="118"/>
      <c r="C576" s="118"/>
      <c r="D576" s="118"/>
      <c r="E576" s="118"/>
      <c r="F576" s="118"/>
      <c r="G576" s="118"/>
      <c r="H576" s="118"/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</row>
    <row r="577" ht="13.5" customHeight="1">
      <c r="A577" s="118"/>
      <c r="B577" s="118"/>
      <c r="C577" s="118"/>
      <c r="D577" s="118"/>
      <c r="E577" s="118"/>
      <c r="F577" s="118"/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</row>
    <row r="578" ht="13.5" customHeight="1">
      <c r="A578" s="118"/>
      <c r="B578" s="118"/>
      <c r="C578" s="118"/>
      <c r="D578" s="118"/>
      <c r="E578" s="118"/>
      <c r="F578" s="118"/>
      <c r="G578" s="118"/>
      <c r="H578" s="118"/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</row>
    <row r="579" ht="13.5" customHeight="1">
      <c r="A579" s="118"/>
      <c r="B579" s="118"/>
      <c r="C579" s="118"/>
      <c r="D579" s="118"/>
      <c r="E579" s="118"/>
      <c r="F579" s="118"/>
      <c r="G579" s="118"/>
      <c r="H579" s="118"/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</row>
    <row r="580" ht="13.5" customHeight="1">
      <c r="A580" s="118"/>
      <c r="B580" s="118"/>
      <c r="C580" s="118"/>
      <c r="D580" s="118"/>
      <c r="E580" s="118"/>
      <c r="F580" s="118"/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</row>
    <row r="581" ht="13.5" customHeight="1">
      <c r="A581" s="118"/>
      <c r="B581" s="118"/>
      <c r="C581" s="118"/>
      <c r="D581" s="118"/>
      <c r="E581" s="118"/>
      <c r="F581" s="118"/>
      <c r="G581" s="118"/>
      <c r="H581" s="118"/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</row>
    <row r="582" ht="13.5" customHeight="1">
      <c r="A582" s="118"/>
      <c r="B582" s="118"/>
      <c r="C582" s="118"/>
      <c r="D582" s="118"/>
      <c r="E582" s="118"/>
      <c r="F582" s="118"/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</row>
    <row r="583" ht="13.5" customHeight="1">
      <c r="A583" s="118"/>
      <c r="B583" s="118"/>
      <c r="C583" s="118"/>
      <c r="D583" s="118"/>
      <c r="E583" s="118"/>
      <c r="F583" s="118"/>
      <c r="G583" s="118"/>
      <c r="H583" s="118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</row>
    <row r="584" ht="13.5" customHeight="1">
      <c r="A584" s="118"/>
      <c r="B584" s="118"/>
      <c r="C584" s="118"/>
      <c r="D584" s="118"/>
      <c r="E584" s="118"/>
      <c r="F584" s="118"/>
      <c r="G584" s="118"/>
      <c r="H584" s="118"/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</row>
    <row r="585" ht="13.5" customHeight="1">
      <c r="A585" s="118"/>
      <c r="B585" s="118"/>
      <c r="C585" s="118"/>
      <c r="D585" s="118"/>
      <c r="E585" s="118"/>
      <c r="F585" s="118"/>
      <c r="G585" s="118"/>
      <c r="H585" s="118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</row>
    <row r="586" ht="13.5" customHeight="1">
      <c r="A586" s="118"/>
      <c r="B586" s="118"/>
      <c r="C586" s="118"/>
      <c r="D586" s="118"/>
      <c r="E586" s="118"/>
      <c r="F586" s="118"/>
      <c r="G586" s="118"/>
      <c r="H586" s="118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</row>
    <row r="587" ht="13.5" customHeight="1">
      <c r="A587" s="118"/>
      <c r="B587" s="118"/>
      <c r="C587" s="118"/>
      <c r="D587" s="118"/>
      <c r="E587" s="118"/>
      <c r="F587" s="118"/>
      <c r="G587" s="118"/>
      <c r="H587" s="118"/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</row>
    <row r="588" ht="13.5" customHeight="1">
      <c r="A588" s="118"/>
      <c r="B588" s="118"/>
      <c r="C588" s="118"/>
      <c r="D588" s="118"/>
      <c r="E588" s="118"/>
      <c r="F588" s="118"/>
      <c r="G588" s="118"/>
      <c r="H588" s="118"/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</row>
    <row r="589" ht="13.5" customHeight="1">
      <c r="A589" s="118"/>
      <c r="B589" s="118"/>
      <c r="C589" s="118"/>
      <c r="D589" s="118"/>
      <c r="E589" s="118"/>
      <c r="F589" s="118"/>
      <c r="G589" s="118"/>
      <c r="H589" s="118"/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</row>
    <row r="590" ht="13.5" customHeight="1">
      <c r="A590" s="118"/>
      <c r="B590" s="118"/>
      <c r="C590" s="118"/>
      <c r="D590" s="118"/>
      <c r="E590" s="118"/>
      <c r="F590" s="118"/>
      <c r="G590" s="118"/>
      <c r="H590" s="118"/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</row>
    <row r="591" ht="13.5" customHeight="1">
      <c r="A591" s="118"/>
      <c r="B591" s="118"/>
      <c r="C591" s="118"/>
      <c r="D591" s="118"/>
      <c r="E591" s="118"/>
      <c r="F591" s="118"/>
      <c r="G591" s="118"/>
      <c r="H591" s="118"/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</row>
    <row r="592" ht="13.5" customHeight="1">
      <c r="A592" s="118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</row>
    <row r="593" ht="13.5" customHeight="1">
      <c r="A593" s="118"/>
      <c r="B593" s="118"/>
      <c r="C593" s="118"/>
      <c r="D593" s="118"/>
      <c r="E593" s="118"/>
      <c r="F593" s="118"/>
      <c r="G593" s="118"/>
      <c r="H593" s="118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</row>
    <row r="594" ht="13.5" customHeight="1">
      <c r="A594" s="118"/>
      <c r="B594" s="118"/>
      <c r="C594" s="118"/>
      <c r="D594" s="118"/>
      <c r="E594" s="118"/>
      <c r="F594" s="118"/>
      <c r="G594" s="118"/>
      <c r="H594" s="118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</row>
    <row r="595" ht="13.5" customHeight="1">
      <c r="A595" s="118"/>
      <c r="B595" s="118"/>
      <c r="C595" s="118"/>
      <c r="D595" s="118"/>
      <c r="E595" s="118"/>
      <c r="F595" s="118"/>
      <c r="G595" s="118"/>
      <c r="H595" s="118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</row>
    <row r="596" ht="13.5" customHeight="1">
      <c r="A596" s="118"/>
      <c r="B596" s="118"/>
      <c r="C596" s="118"/>
      <c r="D596" s="118"/>
      <c r="E596" s="118"/>
      <c r="F596" s="118"/>
      <c r="G596" s="118"/>
      <c r="H596" s="118"/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</row>
    <row r="597" ht="13.5" customHeight="1">
      <c r="A597" s="118"/>
      <c r="B597" s="118"/>
      <c r="C597" s="118"/>
      <c r="D597" s="118"/>
      <c r="E597" s="118"/>
      <c r="F597" s="118"/>
      <c r="G597" s="118"/>
      <c r="H597" s="118"/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</row>
    <row r="598" ht="13.5" customHeight="1">
      <c r="A598" s="118"/>
      <c r="B598" s="118"/>
      <c r="C598" s="118"/>
      <c r="D598" s="118"/>
      <c r="E598" s="118"/>
      <c r="F598" s="118"/>
      <c r="G598" s="118"/>
      <c r="H598" s="118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</row>
    <row r="599" ht="13.5" customHeight="1">
      <c r="A599" s="118"/>
      <c r="B599" s="118"/>
      <c r="C599" s="118"/>
      <c r="D599" s="118"/>
      <c r="E599" s="118"/>
      <c r="F599" s="118"/>
      <c r="G599" s="118"/>
      <c r="H599" s="118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</row>
    <row r="600" ht="13.5" customHeight="1">
      <c r="A600" s="118"/>
      <c r="B600" s="118"/>
      <c r="C600" s="118"/>
      <c r="D600" s="118"/>
      <c r="E600" s="118"/>
      <c r="F600" s="118"/>
      <c r="G600" s="118"/>
      <c r="H600" s="118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</row>
    <row r="601" ht="13.5" customHeight="1">
      <c r="A601" s="118"/>
      <c r="B601" s="118"/>
      <c r="C601" s="118"/>
      <c r="D601" s="118"/>
      <c r="E601" s="118"/>
      <c r="F601" s="118"/>
      <c r="G601" s="118"/>
      <c r="H601" s="118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</row>
    <row r="602" ht="13.5" customHeight="1">
      <c r="A602" s="118"/>
      <c r="B602" s="118"/>
      <c r="C602" s="118"/>
      <c r="D602" s="118"/>
      <c r="E602" s="118"/>
      <c r="F602" s="118"/>
      <c r="G602" s="118"/>
      <c r="H602" s="118"/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</row>
    <row r="603" ht="13.5" customHeight="1">
      <c r="A603" s="118"/>
      <c r="B603" s="118"/>
      <c r="C603" s="118"/>
      <c r="D603" s="118"/>
      <c r="E603" s="118"/>
      <c r="F603" s="118"/>
      <c r="G603" s="118"/>
      <c r="H603" s="118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</row>
    <row r="604" ht="13.5" customHeight="1">
      <c r="A604" s="118"/>
      <c r="B604" s="118"/>
      <c r="C604" s="118"/>
      <c r="D604" s="118"/>
      <c r="E604" s="118"/>
      <c r="F604" s="118"/>
      <c r="G604" s="118"/>
      <c r="H604" s="118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</row>
    <row r="605" ht="13.5" customHeight="1">
      <c r="A605" s="118"/>
      <c r="B605" s="118"/>
      <c r="C605" s="118"/>
      <c r="D605" s="118"/>
      <c r="E605" s="118"/>
      <c r="F605" s="118"/>
      <c r="G605" s="118"/>
      <c r="H605" s="118"/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</row>
    <row r="606" ht="13.5" customHeight="1">
      <c r="A606" s="118"/>
      <c r="B606" s="118"/>
      <c r="C606" s="118"/>
      <c r="D606" s="118"/>
      <c r="E606" s="118"/>
      <c r="F606" s="118"/>
      <c r="G606" s="118"/>
      <c r="H606" s="118"/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</row>
    <row r="607" ht="13.5" customHeight="1">
      <c r="A607" s="118"/>
      <c r="B607" s="118"/>
      <c r="C607" s="118"/>
      <c r="D607" s="118"/>
      <c r="E607" s="118"/>
      <c r="F607" s="118"/>
      <c r="G607" s="118"/>
      <c r="H607" s="118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</row>
    <row r="608" ht="13.5" customHeight="1">
      <c r="A608" s="118"/>
      <c r="B608" s="118"/>
      <c r="C608" s="118"/>
      <c r="D608" s="118"/>
      <c r="E608" s="118"/>
      <c r="F608" s="118"/>
      <c r="G608" s="118"/>
      <c r="H608" s="118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</row>
    <row r="609" ht="13.5" customHeight="1">
      <c r="A609" s="118"/>
      <c r="B609" s="118"/>
      <c r="C609" s="118"/>
      <c r="D609" s="118"/>
      <c r="E609" s="118"/>
      <c r="F609" s="118"/>
      <c r="G609" s="118"/>
      <c r="H609" s="118"/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</row>
    <row r="610" ht="13.5" customHeight="1">
      <c r="A610" s="118"/>
      <c r="B610" s="118"/>
      <c r="C610" s="118"/>
      <c r="D610" s="118"/>
      <c r="E610" s="118"/>
      <c r="F610" s="118"/>
      <c r="G610" s="118"/>
      <c r="H610" s="118"/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</row>
    <row r="611" ht="13.5" customHeight="1">
      <c r="A611" s="118"/>
      <c r="B611" s="118"/>
      <c r="C611" s="118"/>
      <c r="D611" s="118"/>
      <c r="E611" s="118"/>
      <c r="F611" s="118"/>
      <c r="G611" s="118"/>
      <c r="H611" s="118"/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</row>
    <row r="612" ht="13.5" customHeight="1">
      <c r="A612" s="118"/>
      <c r="B612" s="118"/>
      <c r="C612" s="118"/>
      <c r="D612" s="118"/>
      <c r="E612" s="118"/>
      <c r="F612" s="118"/>
      <c r="G612" s="118"/>
      <c r="H612" s="118"/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</row>
    <row r="613" ht="13.5" customHeight="1">
      <c r="A613" s="118"/>
      <c r="B613" s="118"/>
      <c r="C613" s="118"/>
      <c r="D613" s="118"/>
      <c r="E613" s="118"/>
      <c r="F613" s="118"/>
      <c r="G613" s="118"/>
      <c r="H613" s="118"/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</row>
    <row r="614" ht="13.5" customHeight="1">
      <c r="A614" s="118"/>
      <c r="B614" s="118"/>
      <c r="C614" s="118"/>
      <c r="D614" s="118"/>
      <c r="E614" s="118"/>
      <c r="F614" s="118"/>
      <c r="G614" s="118"/>
      <c r="H614" s="118"/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</row>
    <row r="615" ht="13.5" customHeight="1">
      <c r="A615" s="118"/>
      <c r="B615" s="118"/>
      <c r="C615" s="118"/>
      <c r="D615" s="118"/>
      <c r="E615" s="118"/>
      <c r="F615" s="118"/>
      <c r="G615" s="118"/>
      <c r="H615" s="118"/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</row>
    <row r="616" ht="13.5" customHeight="1">
      <c r="A616" s="118"/>
      <c r="B616" s="118"/>
      <c r="C616" s="118"/>
      <c r="D616" s="118"/>
      <c r="E616" s="118"/>
      <c r="F616" s="118"/>
      <c r="G616" s="118"/>
      <c r="H616" s="118"/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</row>
    <row r="617" ht="13.5" customHeight="1">
      <c r="A617" s="118"/>
      <c r="B617" s="118"/>
      <c r="C617" s="118"/>
      <c r="D617" s="118"/>
      <c r="E617" s="118"/>
      <c r="F617" s="118"/>
      <c r="G617" s="118"/>
      <c r="H617" s="118"/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</row>
    <row r="618" ht="13.5" customHeight="1">
      <c r="A618" s="118"/>
      <c r="B618" s="118"/>
      <c r="C618" s="118"/>
      <c r="D618" s="118"/>
      <c r="E618" s="118"/>
      <c r="F618" s="118"/>
      <c r="G618" s="118"/>
      <c r="H618" s="118"/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</row>
    <row r="619" ht="13.5" customHeight="1">
      <c r="A619" s="118"/>
      <c r="B619" s="118"/>
      <c r="C619" s="118"/>
      <c r="D619" s="118"/>
      <c r="E619" s="118"/>
      <c r="F619" s="118"/>
      <c r="G619" s="118"/>
      <c r="H619" s="118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</row>
    <row r="620" ht="13.5" customHeight="1">
      <c r="A620" s="118"/>
      <c r="B620" s="118"/>
      <c r="C620" s="118"/>
      <c r="D620" s="118"/>
      <c r="E620" s="118"/>
      <c r="F620" s="118"/>
      <c r="G620" s="118"/>
      <c r="H620" s="118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</row>
    <row r="621" ht="13.5" customHeight="1">
      <c r="A621" s="118"/>
      <c r="B621" s="118"/>
      <c r="C621" s="118"/>
      <c r="D621" s="118"/>
      <c r="E621" s="118"/>
      <c r="F621" s="118"/>
      <c r="G621" s="118"/>
      <c r="H621" s="118"/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</row>
    <row r="622" ht="13.5" customHeight="1">
      <c r="A622" s="118"/>
      <c r="B622" s="118"/>
      <c r="C622" s="118"/>
      <c r="D622" s="118"/>
      <c r="E622" s="118"/>
      <c r="F622" s="118"/>
      <c r="G622" s="118"/>
      <c r="H622" s="118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</row>
    <row r="623" ht="13.5" customHeight="1">
      <c r="A623" s="118"/>
      <c r="B623" s="118"/>
      <c r="C623" s="118"/>
      <c r="D623" s="118"/>
      <c r="E623" s="118"/>
      <c r="F623" s="118"/>
      <c r="G623" s="118"/>
      <c r="H623" s="118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</row>
    <row r="624" ht="13.5" customHeight="1">
      <c r="A624" s="118"/>
      <c r="B624" s="118"/>
      <c r="C624" s="118"/>
      <c r="D624" s="118"/>
      <c r="E624" s="118"/>
      <c r="F624" s="118"/>
      <c r="G624" s="118"/>
      <c r="H624" s="118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</row>
    <row r="625" ht="13.5" customHeight="1">
      <c r="A625" s="118"/>
      <c r="B625" s="118"/>
      <c r="C625" s="118"/>
      <c r="D625" s="118"/>
      <c r="E625" s="118"/>
      <c r="F625" s="118"/>
      <c r="G625" s="118"/>
      <c r="H625" s="118"/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</row>
    <row r="626" ht="13.5" customHeight="1">
      <c r="A626" s="118"/>
      <c r="B626" s="118"/>
      <c r="C626" s="118"/>
      <c r="D626" s="118"/>
      <c r="E626" s="118"/>
      <c r="F626" s="118"/>
      <c r="G626" s="118"/>
      <c r="H626" s="118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</row>
    <row r="627" ht="13.5" customHeight="1">
      <c r="A627" s="118"/>
      <c r="B627" s="118"/>
      <c r="C627" s="118"/>
      <c r="D627" s="118"/>
      <c r="E627" s="118"/>
      <c r="F627" s="118"/>
      <c r="G627" s="118"/>
      <c r="H627" s="118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</row>
    <row r="628" ht="13.5" customHeight="1">
      <c r="A628" s="118"/>
      <c r="B628" s="118"/>
      <c r="C628" s="118"/>
      <c r="D628" s="118"/>
      <c r="E628" s="118"/>
      <c r="F628" s="118"/>
      <c r="G628" s="118"/>
      <c r="H628" s="118"/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</row>
    <row r="629" ht="13.5" customHeight="1">
      <c r="A629" s="118"/>
      <c r="B629" s="118"/>
      <c r="C629" s="118"/>
      <c r="D629" s="118"/>
      <c r="E629" s="118"/>
      <c r="F629" s="118"/>
      <c r="G629" s="118"/>
      <c r="H629" s="118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</row>
    <row r="630" ht="13.5" customHeight="1">
      <c r="A630" s="118"/>
      <c r="B630" s="118"/>
      <c r="C630" s="118"/>
      <c r="D630" s="118"/>
      <c r="E630" s="118"/>
      <c r="F630" s="118"/>
      <c r="G630" s="118"/>
      <c r="H630" s="118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</row>
    <row r="631" ht="13.5" customHeight="1">
      <c r="A631" s="118"/>
      <c r="B631" s="118"/>
      <c r="C631" s="118"/>
      <c r="D631" s="118"/>
      <c r="E631" s="118"/>
      <c r="F631" s="118"/>
      <c r="G631" s="118"/>
      <c r="H631" s="118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</row>
    <row r="632" ht="13.5" customHeight="1">
      <c r="A632" s="118"/>
      <c r="B632" s="118"/>
      <c r="C632" s="118"/>
      <c r="D632" s="118"/>
      <c r="E632" s="118"/>
      <c r="F632" s="118"/>
      <c r="G632" s="118"/>
      <c r="H632" s="118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</row>
    <row r="633" ht="13.5" customHeight="1">
      <c r="A633" s="118"/>
      <c r="B633" s="118"/>
      <c r="C633" s="118"/>
      <c r="D633" s="118"/>
      <c r="E633" s="118"/>
      <c r="F633" s="118"/>
      <c r="G633" s="118"/>
      <c r="H633" s="118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</row>
    <row r="634" ht="13.5" customHeight="1">
      <c r="A634" s="118"/>
      <c r="B634" s="118"/>
      <c r="C634" s="118"/>
      <c r="D634" s="118"/>
      <c r="E634" s="118"/>
      <c r="F634" s="118"/>
      <c r="G634" s="118"/>
      <c r="H634" s="118"/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</row>
    <row r="635" ht="13.5" customHeight="1">
      <c r="A635" s="118"/>
      <c r="B635" s="118"/>
      <c r="C635" s="118"/>
      <c r="D635" s="118"/>
      <c r="E635" s="118"/>
      <c r="F635" s="118"/>
      <c r="G635" s="118"/>
      <c r="H635" s="118"/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</row>
    <row r="636" ht="13.5" customHeight="1">
      <c r="A636" s="118"/>
      <c r="B636" s="118"/>
      <c r="C636" s="118"/>
      <c r="D636" s="118"/>
      <c r="E636" s="118"/>
      <c r="F636" s="118"/>
      <c r="G636" s="118"/>
      <c r="H636" s="118"/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</row>
    <row r="637" ht="13.5" customHeight="1">
      <c r="A637" s="118"/>
      <c r="B637" s="118"/>
      <c r="C637" s="118"/>
      <c r="D637" s="118"/>
      <c r="E637" s="118"/>
      <c r="F637" s="118"/>
      <c r="G637" s="118"/>
      <c r="H637" s="118"/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</row>
    <row r="638" ht="13.5" customHeight="1">
      <c r="A638" s="118"/>
      <c r="B638" s="118"/>
      <c r="C638" s="118"/>
      <c r="D638" s="118"/>
      <c r="E638" s="118"/>
      <c r="F638" s="118"/>
      <c r="G638" s="118"/>
      <c r="H638" s="118"/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</row>
    <row r="639" ht="13.5" customHeight="1">
      <c r="A639" s="118"/>
      <c r="B639" s="118"/>
      <c r="C639" s="118"/>
      <c r="D639" s="118"/>
      <c r="E639" s="118"/>
      <c r="F639" s="118"/>
      <c r="G639" s="118"/>
      <c r="H639" s="118"/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</row>
    <row r="640" ht="13.5" customHeight="1">
      <c r="A640" s="118"/>
      <c r="B640" s="118"/>
      <c r="C640" s="118"/>
      <c r="D640" s="118"/>
      <c r="E640" s="118"/>
      <c r="F640" s="118"/>
      <c r="G640" s="118"/>
      <c r="H640" s="118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</row>
    <row r="641" ht="13.5" customHeight="1">
      <c r="A641" s="118"/>
      <c r="B641" s="118"/>
      <c r="C641" s="118"/>
      <c r="D641" s="118"/>
      <c r="E641" s="118"/>
      <c r="F641" s="118"/>
      <c r="G641" s="118"/>
      <c r="H641" s="118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</row>
    <row r="642" ht="13.5" customHeight="1">
      <c r="A642" s="118"/>
      <c r="B642" s="118"/>
      <c r="C642" s="118"/>
      <c r="D642" s="118"/>
      <c r="E642" s="118"/>
      <c r="F642" s="118"/>
      <c r="G642" s="118"/>
      <c r="H642" s="118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</row>
    <row r="643" ht="13.5" customHeight="1">
      <c r="A643" s="118"/>
      <c r="B643" s="118"/>
      <c r="C643" s="118"/>
      <c r="D643" s="118"/>
      <c r="E643" s="118"/>
      <c r="F643" s="118"/>
      <c r="G643" s="118"/>
      <c r="H643" s="118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</row>
    <row r="644" ht="13.5" customHeight="1">
      <c r="A644" s="118"/>
      <c r="B644" s="118"/>
      <c r="C644" s="118"/>
      <c r="D644" s="118"/>
      <c r="E644" s="118"/>
      <c r="F644" s="118"/>
      <c r="G644" s="118"/>
      <c r="H644" s="118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</row>
    <row r="645" ht="13.5" customHeight="1">
      <c r="A645" s="118"/>
      <c r="B645" s="118"/>
      <c r="C645" s="118"/>
      <c r="D645" s="118"/>
      <c r="E645" s="118"/>
      <c r="F645" s="118"/>
      <c r="G645" s="118"/>
      <c r="H645" s="118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</row>
    <row r="646" ht="13.5" customHeight="1">
      <c r="A646" s="118"/>
      <c r="B646" s="118"/>
      <c r="C646" s="118"/>
      <c r="D646" s="118"/>
      <c r="E646" s="118"/>
      <c r="F646" s="118"/>
      <c r="G646" s="118"/>
      <c r="H646" s="118"/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</row>
    <row r="647" ht="13.5" customHeight="1">
      <c r="A647" s="118"/>
      <c r="B647" s="118"/>
      <c r="C647" s="118"/>
      <c r="D647" s="118"/>
      <c r="E647" s="118"/>
      <c r="F647" s="118"/>
      <c r="G647" s="118"/>
      <c r="H647" s="118"/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</row>
    <row r="648" ht="13.5" customHeight="1">
      <c r="A648" s="118"/>
      <c r="B648" s="118"/>
      <c r="C648" s="118"/>
      <c r="D648" s="118"/>
      <c r="E648" s="118"/>
      <c r="F648" s="118"/>
      <c r="G648" s="118"/>
      <c r="H648" s="118"/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</row>
    <row r="649" ht="13.5" customHeight="1">
      <c r="A649" s="118"/>
      <c r="B649" s="118"/>
      <c r="C649" s="118"/>
      <c r="D649" s="118"/>
      <c r="E649" s="118"/>
      <c r="F649" s="118"/>
      <c r="G649" s="118"/>
      <c r="H649" s="118"/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</row>
    <row r="650" ht="13.5" customHeight="1">
      <c r="A650" s="118"/>
      <c r="B650" s="118"/>
      <c r="C650" s="118"/>
      <c r="D650" s="118"/>
      <c r="E650" s="118"/>
      <c r="F650" s="118"/>
      <c r="G650" s="118"/>
      <c r="H650" s="118"/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</row>
    <row r="651" ht="13.5" customHeight="1">
      <c r="A651" s="118"/>
      <c r="B651" s="118"/>
      <c r="C651" s="118"/>
      <c r="D651" s="118"/>
      <c r="E651" s="118"/>
      <c r="F651" s="118"/>
      <c r="G651" s="118"/>
      <c r="H651" s="118"/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</row>
    <row r="652" ht="13.5" customHeight="1">
      <c r="A652" s="118"/>
      <c r="B652" s="118"/>
      <c r="C652" s="118"/>
      <c r="D652" s="118"/>
      <c r="E652" s="118"/>
      <c r="F652" s="118"/>
      <c r="G652" s="118"/>
      <c r="H652" s="118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</row>
    <row r="653" ht="13.5" customHeight="1">
      <c r="A653" s="118"/>
      <c r="B653" s="118"/>
      <c r="C653" s="118"/>
      <c r="D653" s="118"/>
      <c r="E653" s="118"/>
      <c r="F653" s="118"/>
      <c r="G653" s="118"/>
      <c r="H653" s="118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</row>
    <row r="654" ht="13.5" customHeight="1">
      <c r="A654" s="118"/>
      <c r="B654" s="118"/>
      <c r="C654" s="118"/>
      <c r="D654" s="118"/>
      <c r="E654" s="118"/>
      <c r="F654" s="118"/>
      <c r="G654" s="118"/>
      <c r="H654" s="118"/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</row>
    <row r="655" ht="13.5" customHeight="1">
      <c r="A655" s="118"/>
      <c r="B655" s="118"/>
      <c r="C655" s="118"/>
      <c r="D655" s="118"/>
      <c r="E655" s="118"/>
      <c r="F655" s="118"/>
      <c r="G655" s="118"/>
      <c r="H655" s="118"/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</row>
    <row r="656" ht="13.5" customHeight="1">
      <c r="A656" s="118"/>
      <c r="B656" s="118"/>
      <c r="C656" s="118"/>
      <c r="D656" s="118"/>
      <c r="E656" s="118"/>
      <c r="F656" s="118"/>
      <c r="G656" s="118"/>
      <c r="H656" s="118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</row>
    <row r="657" ht="13.5" customHeight="1">
      <c r="A657" s="118"/>
      <c r="B657" s="118"/>
      <c r="C657" s="118"/>
      <c r="D657" s="118"/>
      <c r="E657" s="118"/>
      <c r="F657" s="118"/>
      <c r="G657" s="118"/>
      <c r="H657" s="118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</row>
    <row r="658" ht="13.5" customHeight="1">
      <c r="A658" s="118"/>
      <c r="B658" s="118"/>
      <c r="C658" s="118"/>
      <c r="D658" s="118"/>
      <c r="E658" s="118"/>
      <c r="F658" s="118"/>
      <c r="G658" s="118"/>
      <c r="H658" s="118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</row>
    <row r="659" ht="13.5" customHeight="1">
      <c r="A659" s="118"/>
      <c r="B659" s="118"/>
      <c r="C659" s="118"/>
      <c r="D659" s="118"/>
      <c r="E659" s="118"/>
      <c r="F659" s="118"/>
      <c r="G659" s="118"/>
      <c r="H659" s="118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</row>
    <row r="660" ht="13.5" customHeight="1">
      <c r="A660" s="118"/>
      <c r="B660" s="118"/>
      <c r="C660" s="118"/>
      <c r="D660" s="118"/>
      <c r="E660" s="118"/>
      <c r="F660" s="118"/>
      <c r="G660" s="118"/>
      <c r="H660" s="118"/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</row>
    <row r="661" ht="13.5" customHeight="1">
      <c r="A661" s="118"/>
      <c r="B661" s="118"/>
      <c r="C661" s="118"/>
      <c r="D661" s="118"/>
      <c r="E661" s="118"/>
      <c r="F661" s="118"/>
      <c r="G661" s="118"/>
      <c r="H661" s="118"/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</row>
    <row r="662" ht="13.5" customHeight="1">
      <c r="A662" s="118"/>
      <c r="B662" s="118"/>
      <c r="C662" s="118"/>
      <c r="D662" s="118"/>
      <c r="E662" s="118"/>
      <c r="F662" s="118"/>
      <c r="G662" s="118"/>
      <c r="H662" s="118"/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</row>
    <row r="663" ht="13.5" customHeight="1">
      <c r="A663" s="118"/>
      <c r="B663" s="118"/>
      <c r="C663" s="118"/>
      <c r="D663" s="118"/>
      <c r="E663" s="118"/>
      <c r="F663" s="118"/>
      <c r="G663" s="118"/>
      <c r="H663" s="118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</row>
    <row r="664" ht="13.5" customHeight="1">
      <c r="A664" s="118"/>
      <c r="B664" s="118"/>
      <c r="C664" s="118"/>
      <c r="D664" s="118"/>
      <c r="E664" s="118"/>
      <c r="F664" s="118"/>
      <c r="G664" s="118"/>
      <c r="H664" s="118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</row>
    <row r="665" ht="13.5" customHeight="1">
      <c r="A665" s="118"/>
      <c r="B665" s="118"/>
      <c r="C665" s="118"/>
      <c r="D665" s="118"/>
      <c r="E665" s="118"/>
      <c r="F665" s="118"/>
      <c r="G665" s="118"/>
      <c r="H665" s="118"/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</row>
    <row r="666" ht="13.5" customHeight="1">
      <c r="A666" s="118"/>
      <c r="B666" s="118"/>
      <c r="C666" s="118"/>
      <c r="D666" s="118"/>
      <c r="E666" s="118"/>
      <c r="F666" s="118"/>
      <c r="G666" s="118"/>
      <c r="H666" s="118"/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</row>
    <row r="667" ht="13.5" customHeight="1">
      <c r="A667" s="118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</row>
    <row r="668" ht="13.5" customHeight="1">
      <c r="A668" s="118"/>
      <c r="B668" s="118"/>
      <c r="C668" s="118"/>
      <c r="D668" s="118"/>
      <c r="E668" s="118"/>
      <c r="F668" s="118"/>
      <c r="G668" s="118"/>
      <c r="H668" s="118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</row>
    <row r="669" ht="13.5" customHeight="1">
      <c r="A669" s="118"/>
      <c r="B669" s="118"/>
      <c r="C669" s="118"/>
      <c r="D669" s="118"/>
      <c r="E669" s="118"/>
      <c r="F669" s="118"/>
      <c r="G669" s="118"/>
      <c r="H669" s="118"/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</row>
    <row r="670" ht="13.5" customHeight="1">
      <c r="A670" s="118"/>
      <c r="B670" s="118"/>
      <c r="C670" s="118"/>
      <c r="D670" s="118"/>
      <c r="E670" s="118"/>
      <c r="F670" s="118"/>
      <c r="G670" s="118"/>
      <c r="H670" s="118"/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</row>
    <row r="671" ht="13.5" customHeight="1">
      <c r="A671" s="118"/>
      <c r="B671" s="118"/>
      <c r="C671" s="118"/>
      <c r="D671" s="118"/>
      <c r="E671" s="118"/>
      <c r="F671" s="118"/>
      <c r="G671" s="118"/>
      <c r="H671" s="118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</row>
    <row r="672" ht="13.5" customHeight="1">
      <c r="A672" s="118"/>
      <c r="B672" s="118"/>
      <c r="C672" s="118"/>
      <c r="D672" s="118"/>
      <c r="E672" s="118"/>
      <c r="F672" s="118"/>
      <c r="G672" s="118"/>
      <c r="H672" s="118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</row>
    <row r="673" ht="13.5" customHeight="1">
      <c r="A673" s="118"/>
      <c r="B673" s="118"/>
      <c r="C673" s="118"/>
      <c r="D673" s="118"/>
      <c r="E673" s="118"/>
      <c r="F673" s="118"/>
      <c r="G673" s="118"/>
      <c r="H673" s="118"/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</row>
    <row r="674" ht="13.5" customHeight="1">
      <c r="A674" s="118"/>
      <c r="B674" s="118"/>
      <c r="C674" s="118"/>
      <c r="D674" s="118"/>
      <c r="E674" s="118"/>
      <c r="F674" s="118"/>
      <c r="G674" s="118"/>
      <c r="H674" s="118"/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</row>
    <row r="675" ht="13.5" customHeight="1">
      <c r="A675" s="118"/>
      <c r="B675" s="118"/>
      <c r="C675" s="118"/>
      <c r="D675" s="118"/>
      <c r="E675" s="118"/>
      <c r="F675" s="118"/>
      <c r="G675" s="118"/>
      <c r="H675" s="118"/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</row>
    <row r="676" ht="13.5" customHeight="1">
      <c r="A676" s="118"/>
      <c r="B676" s="118"/>
      <c r="C676" s="118"/>
      <c r="D676" s="118"/>
      <c r="E676" s="118"/>
      <c r="F676" s="118"/>
      <c r="G676" s="118"/>
      <c r="H676" s="118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</row>
    <row r="677" ht="13.5" customHeight="1">
      <c r="A677" s="118"/>
      <c r="B677" s="118"/>
      <c r="C677" s="118"/>
      <c r="D677" s="118"/>
      <c r="E677" s="118"/>
      <c r="F677" s="118"/>
      <c r="G677" s="118"/>
      <c r="H677" s="118"/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</row>
    <row r="678" ht="13.5" customHeight="1">
      <c r="A678" s="118"/>
      <c r="B678" s="118"/>
      <c r="C678" s="118"/>
      <c r="D678" s="118"/>
      <c r="E678" s="118"/>
      <c r="F678" s="118"/>
      <c r="G678" s="118"/>
      <c r="H678" s="118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</row>
    <row r="679" ht="13.5" customHeight="1">
      <c r="A679" s="118"/>
      <c r="B679" s="118"/>
      <c r="C679" s="118"/>
      <c r="D679" s="118"/>
      <c r="E679" s="118"/>
      <c r="F679" s="118"/>
      <c r="G679" s="118"/>
      <c r="H679" s="118"/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</row>
    <row r="680" ht="13.5" customHeight="1">
      <c r="A680" s="118"/>
      <c r="B680" s="118"/>
      <c r="C680" s="118"/>
      <c r="D680" s="118"/>
      <c r="E680" s="118"/>
      <c r="F680" s="118"/>
      <c r="G680" s="118"/>
      <c r="H680" s="118"/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</row>
    <row r="681" ht="13.5" customHeight="1">
      <c r="A681" s="118"/>
      <c r="B681" s="118"/>
      <c r="C681" s="118"/>
      <c r="D681" s="118"/>
      <c r="E681" s="118"/>
      <c r="F681" s="118"/>
      <c r="G681" s="118"/>
      <c r="H681" s="118"/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</row>
    <row r="682" ht="13.5" customHeight="1">
      <c r="A682" s="118"/>
      <c r="B682" s="118"/>
      <c r="C682" s="118"/>
      <c r="D682" s="118"/>
      <c r="E682" s="118"/>
      <c r="F682" s="118"/>
      <c r="G682" s="118"/>
      <c r="H682" s="118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</row>
    <row r="683" ht="13.5" customHeight="1">
      <c r="A683" s="118"/>
      <c r="B683" s="118"/>
      <c r="C683" s="118"/>
      <c r="D683" s="118"/>
      <c r="E683" s="118"/>
      <c r="F683" s="118"/>
      <c r="G683" s="118"/>
      <c r="H683" s="118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</row>
    <row r="684" ht="13.5" customHeight="1">
      <c r="A684" s="118"/>
      <c r="B684" s="118"/>
      <c r="C684" s="118"/>
      <c r="D684" s="118"/>
      <c r="E684" s="118"/>
      <c r="F684" s="118"/>
      <c r="G684" s="118"/>
      <c r="H684" s="118"/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</row>
    <row r="685" ht="13.5" customHeight="1">
      <c r="A685" s="118"/>
      <c r="B685" s="118"/>
      <c r="C685" s="118"/>
      <c r="D685" s="118"/>
      <c r="E685" s="118"/>
      <c r="F685" s="118"/>
      <c r="G685" s="118"/>
      <c r="H685" s="118"/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</row>
    <row r="686" ht="13.5" customHeight="1">
      <c r="A686" s="118"/>
      <c r="B686" s="118"/>
      <c r="C686" s="118"/>
      <c r="D686" s="118"/>
      <c r="E686" s="118"/>
      <c r="F686" s="118"/>
      <c r="G686" s="118"/>
      <c r="H686" s="118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</row>
    <row r="687" ht="13.5" customHeight="1">
      <c r="A687" s="118"/>
      <c r="B687" s="118"/>
      <c r="C687" s="118"/>
      <c r="D687" s="118"/>
      <c r="E687" s="118"/>
      <c r="F687" s="118"/>
      <c r="G687" s="118"/>
      <c r="H687" s="118"/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</row>
    <row r="688" ht="13.5" customHeight="1">
      <c r="A688" s="118"/>
      <c r="B688" s="118"/>
      <c r="C688" s="118"/>
      <c r="D688" s="118"/>
      <c r="E688" s="118"/>
      <c r="F688" s="118"/>
      <c r="G688" s="118"/>
      <c r="H688" s="118"/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</row>
    <row r="689" ht="13.5" customHeight="1">
      <c r="A689" s="118"/>
      <c r="B689" s="118"/>
      <c r="C689" s="118"/>
      <c r="D689" s="118"/>
      <c r="E689" s="118"/>
      <c r="F689" s="118"/>
      <c r="G689" s="118"/>
      <c r="H689" s="118"/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</row>
    <row r="690" ht="13.5" customHeight="1">
      <c r="A690" s="118"/>
      <c r="B690" s="118"/>
      <c r="C690" s="118"/>
      <c r="D690" s="118"/>
      <c r="E690" s="118"/>
      <c r="F690" s="118"/>
      <c r="G690" s="118"/>
      <c r="H690" s="118"/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</row>
    <row r="691" ht="13.5" customHeight="1">
      <c r="A691" s="118"/>
      <c r="B691" s="118"/>
      <c r="C691" s="118"/>
      <c r="D691" s="118"/>
      <c r="E691" s="118"/>
      <c r="F691" s="118"/>
      <c r="G691" s="118"/>
      <c r="H691" s="118"/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</row>
    <row r="692" ht="13.5" customHeight="1">
      <c r="A692" s="118"/>
      <c r="B692" s="118"/>
      <c r="C692" s="118"/>
      <c r="D692" s="118"/>
      <c r="E692" s="118"/>
      <c r="F692" s="118"/>
      <c r="G692" s="118"/>
      <c r="H692" s="118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</row>
    <row r="693" ht="13.5" customHeight="1">
      <c r="A693" s="118"/>
      <c r="B693" s="118"/>
      <c r="C693" s="118"/>
      <c r="D693" s="118"/>
      <c r="E693" s="118"/>
      <c r="F693" s="118"/>
      <c r="G693" s="118"/>
      <c r="H693" s="118"/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</row>
    <row r="694" ht="13.5" customHeight="1">
      <c r="A694" s="118"/>
      <c r="B694" s="118"/>
      <c r="C694" s="118"/>
      <c r="D694" s="118"/>
      <c r="E694" s="118"/>
      <c r="F694" s="118"/>
      <c r="G694" s="118"/>
      <c r="H694" s="118"/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</row>
    <row r="695" ht="13.5" customHeight="1">
      <c r="A695" s="118"/>
      <c r="B695" s="118"/>
      <c r="C695" s="118"/>
      <c r="D695" s="118"/>
      <c r="E695" s="118"/>
      <c r="F695" s="118"/>
      <c r="G695" s="118"/>
      <c r="H695" s="118"/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</row>
    <row r="696" ht="13.5" customHeight="1">
      <c r="A696" s="118"/>
      <c r="B696" s="118"/>
      <c r="C696" s="118"/>
      <c r="D696" s="118"/>
      <c r="E696" s="118"/>
      <c r="F696" s="118"/>
      <c r="G696" s="118"/>
      <c r="H696" s="118"/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</row>
    <row r="697" ht="13.5" customHeight="1">
      <c r="A697" s="118"/>
      <c r="B697" s="118"/>
      <c r="C697" s="118"/>
      <c r="D697" s="118"/>
      <c r="E697" s="118"/>
      <c r="F697" s="118"/>
      <c r="G697" s="118"/>
      <c r="H697" s="118"/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</row>
    <row r="698" ht="13.5" customHeight="1">
      <c r="A698" s="118"/>
      <c r="B698" s="118"/>
      <c r="C698" s="118"/>
      <c r="D698" s="118"/>
      <c r="E698" s="118"/>
      <c r="F698" s="118"/>
      <c r="G698" s="118"/>
      <c r="H698" s="118"/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</row>
    <row r="699" ht="13.5" customHeight="1">
      <c r="A699" s="118"/>
      <c r="B699" s="118"/>
      <c r="C699" s="118"/>
      <c r="D699" s="118"/>
      <c r="E699" s="118"/>
      <c r="F699" s="118"/>
      <c r="G699" s="118"/>
      <c r="H699" s="118"/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</row>
    <row r="700" ht="13.5" customHeight="1">
      <c r="A700" s="118"/>
      <c r="B700" s="118"/>
      <c r="C700" s="118"/>
      <c r="D700" s="118"/>
      <c r="E700" s="118"/>
      <c r="F700" s="118"/>
      <c r="G700" s="118"/>
      <c r="H700" s="118"/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</row>
    <row r="701" ht="13.5" customHeight="1">
      <c r="A701" s="118"/>
      <c r="B701" s="118"/>
      <c r="C701" s="118"/>
      <c r="D701" s="118"/>
      <c r="E701" s="118"/>
      <c r="F701" s="118"/>
      <c r="G701" s="118"/>
      <c r="H701" s="118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</row>
    <row r="702" ht="13.5" customHeight="1">
      <c r="A702" s="118"/>
      <c r="B702" s="118"/>
      <c r="C702" s="118"/>
      <c r="D702" s="118"/>
      <c r="E702" s="118"/>
      <c r="F702" s="118"/>
      <c r="G702" s="118"/>
      <c r="H702" s="118"/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</row>
    <row r="703" ht="13.5" customHeight="1">
      <c r="A703" s="118"/>
      <c r="B703" s="118"/>
      <c r="C703" s="118"/>
      <c r="D703" s="118"/>
      <c r="E703" s="118"/>
      <c r="F703" s="118"/>
      <c r="G703" s="118"/>
      <c r="H703" s="118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</row>
    <row r="704" ht="13.5" customHeight="1">
      <c r="A704" s="118"/>
      <c r="B704" s="118"/>
      <c r="C704" s="118"/>
      <c r="D704" s="118"/>
      <c r="E704" s="118"/>
      <c r="F704" s="118"/>
      <c r="G704" s="118"/>
      <c r="H704" s="118"/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</row>
    <row r="705" ht="13.5" customHeight="1">
      <c r="A705" s="118"/>
      <c r="B705" s="118"/>
      <c r="C705" s="118"/>
      <c r="D705" s="118"/>
      <c r="E705" s="118"/>
      <c r="F705" s="118"/>
      <c r="G705" s="118"/>
      <c r="H705" s="118"/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</row>
    <row r="706" ht="13.5" customHeight="1">
      <c r="A706" s="118"/>
      <c r="B706" s="118"/>
      <c r="C706" s="118"/>
      <c r="D706" s="118"/>
      <c r="E706" s="118"/>
      <c r="F706" s="118"/>
      <c r="G706" s="118"/>
      <c r="H706" s="118"/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</row>
    <row r="707" ht="13.5" customHeight="1">
      <c r="A707" s="118"/>
      <c r="B707" s="118"/>
      <c r="C707" s="118"/>
      <c r="D707" s="118"/>
      <c r="E707" s="118"/>
      <c r="F707" s="118"/>
      <c r="G707" s="118"/>
      <c r="H707" s="118"/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</row>
    <row r="708" ht="13.5" customHeight="1">
      <c r="A708" s="118"/>
      <c r="B708" s="118"/>
      <c r="C708" s="118"/>
      <c r="D708" s="118"/>
      <c r="E708" s="118"/>
      <c r="F708" s="118"/>
      <c r="G708" s="118"/>
      <c r="H708" s="118"/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</row>
    <row r="709" ht="13.5" customHeight="1">
      <c r="A709" s="118"/>
      <c r="B709" s="118"/>
      <c r="C709" s="118"/>
      <c r="D709" s="118"/>
      <c r="E709" s="118"/>
      <c r="F709" s="118"/>
      <c r="G709" s="118"/>
      <c r="H709" s="118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</row>
    <row r="710" ht="13.5" customHeight="1">
      <c r="A710" s="118"/>
      <c r="B710" s="118"/>
      <c r="C710" s="118"/>
      <c r="D710" s="118"/>
      <c r="E710" s="118"/>
      <c r="F710" s="118"/>
      <c r="G710" s="118"/>
      <c r="H710" s="118"/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</row>
    <row r="711" ht="13.5" customHeight="1">
      <c r="A711" s="118"/>
      <c r="B711" s="118"/>
      <c r="C711" s="118"/>
      <c r="D711" s="118"/>
      <c r="E711" s="118"/>
      <c r="F711" s="118"/>
      <c r="G711" s="118"/>
      <c r="H711" s="118"/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</row>
    <row r="712" ht="13.5" customHeight="1">
      <c r="A712" s="118"/>
      <c r="B712" s="118"/>
      <c r="C712" s="118"/>
      <c r="D712" s="118"/>
      <c r="E712" s="118"/>
      <c r="F712" s="118"/>
      <c r="G712" s="118"/>
      <c r="H712" s="118"/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</row>
    <row r="713" ht="13.5" customHeight="1">
      <c r="A713" s="118"/>
      <c r="B713" s="118"/>
      <c r="C713" s="118"/>
      <c r="D713" s="118"/>
      <c r="E713" s="118"/>
      <c r="F713" s="118"/>
      <c r="G713" s="118"/>
      <c r="H713" s="118"/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</row>
    <row r="714" ht="13.5" customHeight="1">
      <c r="A714" s="118"/>
      <c r="B714" s="118"/>
      <c r="C714" s="118"/>
      <c r="D714" s="118"/>
      <c r="E714" s="118"/>
      <c r="F714" s="118"/>
      <c r="G714" s="118"/>
      <c r="H714" s="118"/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</row>
    <row r="715" ht="13.5" customHeight="1">
      <c r="A715" s="118"/>
      <c r="B715" s="118"/>
      <c r="C715" s="118"/>
      <c r="D715" s="118"/>
      <c r="E715" s="118"/>
      <c r="F715" s="118"/>
      <c r="G715" s="118"/>
      <c r="H715" s="118"/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</row>
    <row r="716" ht="13.5" customHeight="1">
      <c r="A716" s="118"/>
      <c r="B716" s="118"/>
      <c r="C716" s="118"/>
      <c r="D716" s="118"/>
      <c r="E716" s="118"/>
      <c r="F716" s="118"/>
      <c r="G716" s="118"/>
      <c r="H716" s="118"/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</row>
    <row r="717" ht="13.5" customHeight="1">
      <c r="A717" s="118"/>
      <c r="B717" s="118"/>
      <c r="C717" s="118"/>
      <c r="D717" s="118"/>
      <c r="E717" s="118"/>
      <c r="F717" s="118"/>
      <c r="G717" s="118"/>
      <c r="H717" s="118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</row>
    <row r="718" ht="13.5" customHeight="1">
      <c r="A718" s="118"/>
      <c r="B718" s="118"/>
      <c r="C718" s="118"/>
      <c r="D718" s="118"/>
      <c r="E718" s="118"/>
      <c r="F718" s="118"/>
      <c r="G718" s="118"/>
      <c r="H718" s="118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</row>
    <row r="719" ht="13.5" customHeight="1">
      <c r="A719" s="118"/>
      <c r="B719" s="118"/>
      <c r="C719" s="118"/>
      <c r="D719" s="118"/>
      <c r="E719" s="118"/>
      <c r="F719" s="118"/>
      <c r="G719" s="118"/>
      <c r="H719" s="118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</row>
    <row r="720" ht="13.5" customHeight="1">
      <c r="A720" s="118"/>
      <c r="B720" s="118"/>
      <c r="C720" s="118"/>
      <c r="D720" s="118"/>
      <c r="E720" s="118"/>
      <c r="F720" s="118"/>
      <c r="G720" s="118"/>
      <c r="H720" s="118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</row>
    <row r="721" ht="13.5" customHeight="1">
      <c r="A721" s="118"/>
      <c r="B721" s="118"/>
      <c r="C721" s="118"/>
      <c r="D721" s="118"/>
      <c r="E721" s="118"/>
      <c r="F721" s="118"/>
      <c r="G721" s="118"/>
      <c r="H721" s="118"/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</row>
    <row r="722" ht="13.5" customHeight="1">
      <c r="A722" s="118"/>
      <c r="B722" s="118"/>
      <c r="C722" s="118"/>
      <c r="D722" s="118"/>
      <c r="E722" s="118"/>
      <c r="F722" s="118"/>
      <c r="G722" s="118"/>
      <c r="H722" s="118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</row>
    <row r="723" ht="13.5" customHeight="1">
      <c r="A723" s="118"/>
      <c r="B723" s="118"/>
      <c r="C723" s="118"/>
      <c r="D723" s="118"/>
      <c r="E723" s="118"/>
      <c r="F723" s="118"/>
      <c r="G723" s="118"/>
      <c r="H723" s="118"/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</row>
    <row r="724" ht="13.5" customHeight="1">
      <c r="A724" s="118"/>
      <c r="B724" s="118"/>
      <c r="C724" s="118"/>
      <c r="D724" s="118"/>
      <c r="E724" s="118"/>
      <c r="F724" s="118"/>
      <c r="G724" s="118"/>
      <c r="H724" s="118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</row>
    <row r="725" ht="13.5" customHeight="1">
      <c r="A725" s="118"/>
      <c r="B725" s="118"/>
      <c r="C725" s="118"/>
      <c r="D725" s="118"/>
      <c r="E725" s="118"/>
      <c r="F725" s="118"/>
      <c r="G725" s="118"/>
      <c r="H725" s="118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</row>
    <row r="726" ht="13.5" customHeight="1">
      <c r="A726" s="118"/>
      <c r="B726" s="118"/>
      <c r="C726" s="118"/>
      <c r="D726" s="118"/>
      <c r="E726" s="118"/>
      <c r="F726" s="118"/>
      <c r="G726" s="118"/>
      <c r="H726" s="118"/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</row>
    <row r="727" ht="13.5" customHeight="1">
      <c r="A727" s="118"/>
      <c r="B727" s="118"/>
      <c r="C727" s="118"/>
      <c r="D727" s="118"/>
      <c r="E727" s="118"/>
      <c r="F727" s="118"/>
      <c r="G727" s="118"/>
      <c r="H727" s="118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</row>
    <row r="728" ht="13.5" customHeight="1">
      <c r="A728" s="118"/>
      <c r="B728" s="118"/>
      <c r="C728" s="118"/>
      <c r="D728" s="118"/>
      <c r="E728" s="118"/>
      <c r="F728" s="118"/>
      <c r="G728" s="118"/>
      <c r="H728" s="118"/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</row>
    <row r="729" ht="13.5" customHeight="1">
      <c r="A729" s="118"/>
      <c r="B729" s="118"/>
      <c r="C729" s="118"/>
      <c r="D729" s="118"/>
      <c r="E729" s="118"/>
      <c r="F729" s="118"/>
      <c r="G729" s="118"/>
      <c r="H729" s="118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</row>
    <row r="730" ht="13.5" customHeight="1">
      <c r="A730" s="118"/>
      <c r="B730" s="118"/>
      <c r="C730" s="118"/>
      <c r="D730" s="118"/>
      <c r="E730" s="118"/>
      <c r="F730" s="118"/>
      <c r="G730" s="118"/>
      <c r="H730" s="118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</row>
    <row r="731" ht="13.5" customHeight="1">
      <c r="A731" s="118"/>
      <c r="B731" s="118"/>
      <c r="C731" s="118"/>
      <c r="D731" s="118"/>
      <c r="E731" s="118"/>
      <c r="F731" s="118"/>
      <c r="G731" s="118"/>
      <c r="H731" s="118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</row>
    <row r="732" ht="13.5" customHeight="1">
      <c r="A732" s="118"/>
      <c r="B732" s="118"/>
      <c r="C732" s="118"/>
      <c r="D732" s="118"/>
      <c r="E732" s="118"/>
      <c r="F732" s="118"/>
      <c r="G732" s="118"/>
      <c r="H732" s="118"/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</row>
    <row r="733" ht="13.5" customHeight="1">
      <c r="A733" s="118"/>
      <c r="B733" s="118"/>
      <c r="C733" s="118"/>
      <c r="D733" s="118"/>
      <c r="E733" s="118"/>
      <c r="F733" s="118"/>
      <c r="G733" s="118"/>
      <c r="H733" s="118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</row>
    <row r="734" ht="13.5" customHeight="1">
      <c r="A734" s="118"/>
      <c r="B734" s="118"/>
      <c r="C734" s="118"/>
      <c r="D734" s="118"/>
      <c r="E734" s="118"/>
      <c r="F734" s="118"/>
      <c r="G734" s="118"/>
      <c r="H734" s="118"/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</row>
    <row r="735" ht="13.5" customHeight="1">
      <c r="A735" s="118"/>
      <c r="B735" s="118"/>
      <c r="C735" s="118"/>
      <c r="D735" s="118"/>
      <c r="E735" s="118"/>
      <c r="F735" s="118"/>
      <c r="G735" s="118"/>
      <c r="H735" s="118"/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</row>
    <row r="736" ht="13.5" customHeight="1">
      <c r="A736" s="118"/>
      <c r="B736" s="118"/>
      <c r="C736" s="118"/>
      <c r="D736" s="118"/>
      <c r="E736" s="118"/>
      <c r="F736" s="118"/>
      <c r="G736" s="118"/>
      <c r="H736" s="118"/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</row>
    <row r="737" ht="13.5" customHeight="1">
      <c r="A737" s="118"/>
      <c r="B737" s="118"/>
      <c r="C737" s="118"/>
      <c r="D737" s="118"/>
      <c r="E737" s="118"/>
      <c r="F737" s="118"/>
      <c r="G737" s="118"/>
      <c r="H737" s="118"/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</row>
    <row r="738" ht="13.5" customHeight="1">
      <c r="A738" s="118"/>
      <c r="B738" s="118"/>
      <c r="C738" s="118"/>
      <c r="D738" s="118"/>
      <c r="E738" s="118"/>
      <c r="F738" s="118"/>
      <c r="G738" s="118"/>
      <c r="H738" s="118"/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</row>
    <row r="739" ht="13.5" customHeight="1">
      <c r="A739" s="118"/>
      <c r="B739" s="118"/>
      <c r="C739" s="118"/>
      <c r="D739" s="118"/>
      <c r="E739" s="118"/>
      <c r="F739" s="118"/>
      <c r="G739" s="118"/>
      <c r="H739" s="118"/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</row>
    <row r="740" ht="13.5" customHeight="1">
      <c r="A740" s="118"/>
      <c r="B740" s="118"/>
      <c r="C740" s="118"/>
      <c r="D740" s="118"/>
      <c r="E740" s="118"/>
      <c r="F740" s="118"/>
      <c r="G740" s="118"/>
      <c r="H740" s="118"/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</row>
    <row r="741" ht="13.5" customHeight="1">
      <c r="A741" s="118"/>
      <c r="B741" s="118"/>
      <c r="C741" s="118"/>
      <c r="D741" s="118"/>
      <c r="E741" s="118"/>
      <c r="F741" s="118"/>
      <c r="G741" s="118"/>
      <c r="H741" s="118"/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</row>
    <row r="742" ht="13.5" customHeight="1">
      <c r="A742" s="118"/>
      <c r="B742" s="118"/>
      <c r="C742" s="118"/>
      <c r="D742" s="118"/>
      <c r="E742" s="118"/>
      <c r="F742" s="118"/>
      <c r="G742" s="118"/>
      <c r="H742" s="118"/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</row>
    <row r="743" ht="13.5" customHeight="1">
      <c r="A743" s="118"/>
      <c r="B743" s="118"/>
      <c r="C743" s="118"/>
      <c r="D743" s="118"/>
      <c r="E743" s="118"/>
      <c r="F743" s="118"/>
      <c r="G743" s="118"/>
      <c r="H743" s="118"/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</row>
    <row r="744" ht="13.5" customHeight="1">
      <c r="A744" s="118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</row>
    <row r="745" ht="13.5" customHeight="1">
      <c r="A745" s="118"/>
      <c r="B745" s="118"/>
      <c r="C745" s="118"/>
      <c r="D745" s="118"/>
      <c r="E745" s="118"/>
      <c r="F745" s="118"/>
      <c r="G745" s="118"/>
      <c r="H745" s="118"/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</row>
    <row r="746" ht="13.5" customHeight="1">
      <c r="A746" s="118"/>
      <c r="B746" s="118"/>
      <c r="C746" s="118"/>
      <c r="D746" s="118"/>
      <c r="E746" s="118"/>
      <c r="F746" s="118"/>
      <c r="G746" s="118"/>
      <c r="H746" s="118"/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</row>
    <row r="747" ht="13.5" customHeight="1">
      <c r="A747" s="118"/>
      <c r="B747" s="118"/>
      <c r="C747" s="118"/>
      <c r="D747" s="118"/>
      <c r="E747" s="118"/>
      <c r="F747" s="118"/>
      <c r="G747" s="118"/>
      <c r="H747" s="118"/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</row>
    <row r="748" ht="13.5" customHeight="1">
      <c r="A748" s="118"/>
      <c r="B748" s="118"/>
      <c r="C748" s="118"/>
      <c r="D748" s="118"/>
      <c r="E748" s="118"/>
      <c r="F748" s="118"/>
      <c r="G748" s="118"/>
      <c r="H748" s="118"/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</row>
    <row r="749" ht="13.5" customHeight="1">
      <c r="A749" s="118"/>
      <c r="B749" s="118"/>
      <c r="C749" s="118"/>
      <c r="D749" s="118"/>
      <c r="E749" s="118"/>
      <c r="F749" s="118"/>
      <c r="G749" s="118"/>
      <c r="H749" s="118"/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</row>
    <row r="750" ht="13.5" customHeight="1">
      <c r="A750" s="118"/>
      <c r="B750" s="118"/>
      <c r="C750" s="118"/>
      <c r="D750" s="118"/>
      <c r="E750" s="118"/>
      <c r="F750" s="118"/>
      <c r="G750" s="118"/>
      <c r="H750" s="118"/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</row>
    <row r="751" ht="13.5" customHeight="1">
      <c r="A751" s="118"/>
      <c r="B751" s="118"/>
      <c r="C751" s="118"/>
      <c r="D751" s="118"/>
      <c r="E751" s="118"/>
      <c r="F751" s="118"/>
      <c r="G751" s="118"/>
      <c r="H751" s="118"/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</row>
    <row r="752" ht="13.5" customHeight="1">
      <c r="A752" s="118"/>
      <c r="B752" s="118"/>
      <c r="C752" s="118"/>
      <c r="D752" s="118"/>
      <c r="E752" s="118"/>
      <c r="F752" s="118"/>
      <c r="G752" s="118"/>
      <c r="H752" s="118"/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</row>
    <row r="753" ht="13.5" customHeight="1">
      <c r="A753" s="118"/>
      <c r="B753" s="118"/>
      <c r="C753" s="118"/>
      <c r="D753" s="118"/>
      <c r="E753" s="118"/>
      <c r="F753" s="118"/>
      <c r="G753" s="118"/>
      <c r="H753" s="118"/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</row>
    <row r="754" ht="13.5" customHeight="1">
      <c r="A754" s="118"/>
      <c r="B754" s="118"/>
      <c r="C754" s="118"/>
      <c r="D754" s="118"/>
      <c r="E754" s="118"/>
      <c r="F754" s="118"/>
      <c r="G754" s="118"/>
      <c r="H754" s="118"/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</row>
    <row r="755" ht="13.5" customHeight="1">
      <c r="A755" s="118"/>
      <c r="B755" s="118"/>
      <c r="C755" s="118"/>
      <c r="D755" s="118"/>
      <c r="E755" s="118"/>
      <c r="F755" s="118"/>
      <c r="G755" s="118"/>
      <c r="H755" s="118"/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</row>
    <row r="756" ht="13.5" customHeight="1">
      <c r="A756" s="118"/>
      <c r="B756" s="118"/>
      <c r="C756" s="118"/>
      <c r="D756" s="118"/>
      <c r="E756" s="118"/>
      <c r="F756" s="118"/>
      <c r="G756" s="118"/>
      <c r="H756" s="118"/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</row>
    <row r="757" ht="13.5" customHeight="1">
      <c r="A757" s="118"/>
      <c r="B757" s="118"/>
      <c r="C757" s="118"/>
      <c r="D757" s="118"/>
      <c r="E757" s="118"/>
      <c r="F757" s="118"/>
      <c r="G757" s="118"/>
      <c r="H757" s="118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</row>
    <row r="758" ht="13.5" customHeight="1">
      <c r="A758" s="118"/>
      <c r="B758" s="118"/>
      <c r="C758" s="118"/>
      <c r="D758" s="118"/>
      <c r="E758" s="118"/>
      <c r="F758" s="118"/>
      <c r="G758" s="118"/>
      <c r="H758" s="118"/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</row>
    <row r="759" ht="13.5" customHeight="1">
      <c r="A759" s="118"/>
      <c r="B759" s="118"/>
      <c r="C759" s="118"/>
      <c r="D759" s="118"/>
      <c r="E759" s="118"/>
      <c r="F759" s="118"/>
      <c r="G759" s="118"/>
      <c r="H759" s="118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</row>
    <row r="760" ht="13.5" customHeight="1">
      <c r="A760" s="118"/>
      <c r="B760" s="118"/>
      <c r="C760" s="118"/>
      <c r="D760" s="118"/>
      <c r="E760" s="118"/>
      <c r="F760" s="118"/>
      <c r="G760" s="118"/>
      <c r="H760" s="118"/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</row>
    <row r="761" ht="13.5" customHeight="1">
      <c r="A761" s="118"/>
      <c r="B761" s="118"/>
      <c r="C761" s="118"/>
      <c r="D761" s="118"/>
      <c r="E761" s="118"/>
      <c r="F761" s="118"/>
      <c r="G761" s="118"/>
      <c r="H761" s="118"/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</row>
    <row r="762" ht="13.5" customHeight="1">
      <c r="A762" s="118"/>
      <c r="B762" s="118"/>
      <c r="C762" s="118"/>
      <c r="D762" s="118"/>
      <c r="E762" s="118"/>
      <c r="F762" s="118"/>
      <c r="G762" s="118"/>
      <c r="H762" s="118"/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</row>
    <row r="763" ht="13.5" customHeight="1">
      <c r="A763" s="118"/>
      <c r="B763" s="118"/>
      <c r="C763" s="118"/>
      <c r="D763" s="118"/>
      <c r="E763" s="118"/>
      <c r="F763" s="118"/>
      <c r="G763" s="118"/>
      <c r="H763" s="118"/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</row>
    <row r="764" ht="13.5" customHeight="1">
      <c r="A764" s="118"/>
      <c r="B764" s="118"/>
      <c r="C764" s="118"/>
      <c r="D764" s="118"/>
      <c r="E764" s="118"/>
      <c r="F764" s="118"/>
      <c r="G764" s="118"/>
      <c r="H764" s="118"/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</row>
    <row r="765" ht="13.5" customHeight="1">
      <c r="A765" s="118"/>
      <c r="B765" s="118"/>
      <c r="C765" s="118"/>
      <c r="D765" s="118"/>
      <c r="E765" s="118"/>
      <c r="F765" s="118"/>
      <c r="G765" s="118"/>
      <c r="H765" s="118"/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</row>
    <row r="766" ht="13.5" customHeight="1">
      <c r="A766" s="118"/>
      <c r="B766" s="118"/>
      <c r="C766" s="118"/>
      <c r="D766" s="118"/>
      <c r="E766" s="118"/>
      <c r="F766" s="118"/>
      <c r="G766" s="118"/>
      <c r="H766" s="118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</row>
    <row r="767" ht="13.5" customHeight="1">
      <c r="A767" s="118"/>
      <c r="B767" s="118"/>
      <c r="C767" s="118"/>
      <c r="D767" s="118"/>
      <c r="E767" s="118"/>
      <c r="F767" s="118"/>
      <c r="G767" s="118"/>
      <c r="H767" s="118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</row>
    <row r="768" ht="13.5" customHeight="1">
      <c r="A768" s="118"/>
      <c r="B768" s="118"/>
      <c r="C768" s="118"/>
      <c r="D768" s="118"/>
      <c r="E768" s="118"/>
      <c r="F768" s="118"/>
      <c r="G768" s="118"/>
      <c r="H768" s="118"/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</row>
    <row r="769" ht="13.5" customHeight="1">
      <c r="A769" s="118"/>
      <c r="B769" s="118"/>
      <c r="C769" s="118"/>
      <c r="D769" s="118"/>
      <c r="E769" s="118"/>
      <c r="F769" s="118"/>
      <c r="G769" s="118"/>
      <c r="H769" s="118"/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</row>
    <row r="770" ht="13.5" customHeight="1">
      <c r="A770" s="118"/>
      <c r="B770" s="118"/>
      <c r="C770" s="118"/>
      <c r="D770" s="118"/>
      <c r="E770" s="118"/>
      <c r="F770" s="118"/>
      <c r="G770" s="118"/>
      <c r="H770" s="118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</row>
    <row r="771" ht="13.5" customHeight="1">
      <c r="A771" s="118"/>
      <c r="B771" s="118"/>
      <c r="C771" s="118"/>
      <c r="D771" s="118"/>
      <c r="E771" s="118"/>
      <c r="F771" s="118"/>
      <c r="G771" s="118"/>
      <c r="H771" s="118"/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</row>
    <row r="772" ht="13.5" customHeight="1">
      <c r="A772" s="118"/>
      <c r="B772" s="118"/>
      <c r="C772" s="118"/>
      <c r="D772" s="118"/>
      <c r="E772" s="118"/>
      <c r="F772" s="118"/>
      <c r="G772" s="118"/>
      <c r="H772" s="118"/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</row>
    <row r="773" ht="13.5" customHeight="1">
      <c r="A773" s="118"/>
      <c r="B773" s="118"/>
      <c r="C773" s="118"/>
      <c r="D773" s="118"/>
      <c r="E773" s="118"/>
      <c r="F773" s="118"/>
      <c r="G773" s="118"/>
      <c r="H773" s="118"/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</row>
    <row r="774" ht="13.5" customHeight="1">
      <c r="A774" s="118"/>
      <c r="B774" s="118"/>
      <c r="C774" s="118"/>
      <c r="D774" s="118"/>
      <c r="E774" s="118"/>
      <c r="F774" s="118"/>
      <c r="G774" s="118"/>
      <c r="H774" s="118"/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</row>
    <row r="775" ht="13.5" customHeight="1">
      <c r="A775" s="118"/>
      <c r="B775" s="118"/>
      <c r="C775" s="118"/>
      <c r="D775" s="118"/>
      <c r="E775" s="118"/>
      <c r="F775" s="118"/>
      <c r="G775" s="118"/>
      <c r="H775" s="118"/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</row>
    <row r="776" ht="13.5" customHeight="1">
      <c r="A776" s="118"/>
      <c r="B776" s="118"/>
      <c r="C776" s="118"/>
      <c r="D776" s="118"/>
      <c r="E776" s="118"/>
      <c r="F776" s="118"/>
      <c r="G776" s="118"/>
      <c r="H776" s="118"/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</row>
    <row r="777" ht="13.5" customHeight="1">
      <c r="A777" s="118"/>
      <c r="B777" s="118"/>
      <c r="C777" s="118"/>
      <c r="D777" s="118"/>
      <c r="E777" s="118"/>
      <c r="F777" s="118"/>
      <c r="G777" s="118"/>
      <c r="H777" s="118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</row>
    <row r="778" ht="13.5" customHeight="1">
      <c r="A778" s="118"/>
      <c r="B778" s="118"/>
      <c r="C778" s="118"/>
      <c r="D778" s="118"/>
      <c r="E778" s="118"/>
      <c r="F778" s="118"/>
      <c r="G778" s="118"/>
      <c r="H778" s="118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</row>
    <row r="779" ht="13.5" customHeight="1">
      <c r="A779" s="118"/>
      <c r="B779" s="118"/>
      <c r="C779" s="118"/>
      <c r="D779" s="118"/>
      <c r="E779" s="118"/>
      <c r="F779" s="118"/>
      <c r="G779" s="118"/>
      <c r="H779" s="118"/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</row>
    <row r="780" ht="13.5" customHeight="1">
      <c r="A780" s="118"/>
      <c r="B780" s="118"/>
      <c r="C780" s="118"/>
      <c r="D780" s="118"/>
      <c r="E780" s="118"/>
      <c r="F780" s="118"/>
      <c r="G780" s="118"/>
      <c r="H780" s="118"/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</row>
    <row r="781" ht="13.5" customHeight="1">
      <c r="A781" s="118"/>
      <c r="B781" s="118"/>
      <c r="C781" s="118"/>
      <c r="D781" s="118"/>
      <c r="E781" s="118"/>
      <c r="F781" s="118"/>
      <c r="G781" s="118"/>
      <c r="H781" s="118"/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</row>
    <row r="782" ht="13.5" customHeight="1">
      <c r="A782" s="118"/>
      <c r="B782" s="118"/>
      <c r="C782" s="118"/>
      <c r="D782" s="118"/>
      <c r="E782" s="118"/>
      <c r="F782" s="118"/>
      <c r="G782" s="118"/>
      <c r="H782" s="118"/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</row>
    <row r="783" ht="13.5" customHeight="1">
      <c r="A783" s="118"/>
      <c r="B783" s="118"/>
      <c r="C783" s="118"/>
      <c r="D783" s="118"/>
      <c r="E783" s="118"/>
      <c r="F783" s="118"/>
      <c r="G783" s="118"/>
      <c r="H783" s="118"/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</row>
    <row r="784" ht="13.5" customHeight="1">
      <c r="A784" s="118"/>
      <c r="B784" s="118"/>
      <c r="C784" s="118"/>
      <c r="D784" s="118"/>
      <c r="E784" s="118"/>
      <c r="F784" s="118"/>
      <c r="G784" s="118"/>
      <c r="H784" s="118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</row>
    <row r="785" ht="13.5" customHeight="1">
      <c r="A785" s="118"/>
      <c r="B785" s="118"/>
      <c r="C785" s="118"/>
      <c r="D785" s="118"/>
      <c r="E785" s="118"/>
      <c r="F785" s="118"/>
      <c r="G785" s="118"/>
      <c r="H785" s="118"/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</row>
    <row r="786" ht="13.5" customHeight="1">
      <c r="A786" s="118"/>
      <c r="B786" s="118"/>
      <c r="C786" s="118"/>
      <c r="D786" s="118"/>
      <c r="E786" s="118"/>
      <c r="F786" s="118"/>
      <c r="G786" s="118"/>
      <c r="H786" s="118"/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</row>
    <row r="787" ht="13.5" customHeight="1">
      <c r="A787" s="118"/>
      <c r="B787" s="118"/>
      <c r="C787" s="118"/>
      <c r="D787" s="118"/>
      <c r="E787" s="118"/>
      <c r="F787" s="118"/>
      <c r="G787" s="118"/>
      <c r="H787" s="118"/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</row>
    <row r="788" ht="13.5" customHeight="1">
      <c r="A788" s="118"/>
      <c r="B788" s="118"/>
      <c r="C788" s="118"/>
      <c r="D788" s="118"/>
      <c r="E788" s="118"/>
      <c r="F788" s="118"/>
      <c r="G788" s="118"/>
      <c r="H788" s="118"/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</row>
    <row r="789" ht="13.5" customHeight="1">
      <c r="A789" s="118"/>
      <c r="B789" s="118"/>
      <c r="C789" s="118"/>
      <c r="D789" s="118"/>
      <c r="E789" s="118"/>
      <c r="F789" s="118"/>
      <c r="G789" s="118"/>
      <c r="H789" s="118"/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</row>
    <row r="790" ht="13.5" customHeight="1">
      <c r="A790" s="118"/>
      <c r="B790" s="118"/>
      <c r="C790" s="118"/>
      <c r="D790" s="118"/>
      <c r="E790" s="118"/>
      <c r="F790" s="118"/>
      <c r="G790" s="118"/>
      <c r="H790" s="118"/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</row>
    <row r="791" ht="13.5" customHeight="1">
      <c r="A791" s="118"/>
      <c r="B791" s="118"/>
      <c r="C791" s="118"/>
      <c r="D791" s="118"/>
      <c r="E791" s="118"/>
      <c r="F791" s="118"/>
      <c r="G791" s="118"/>
      <c r="H791" s="118"/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</row>
    <row r="792" ht="13.5" customHeight="1">
      <c r="A792" s="118"/>
      <c r="B792" s="118"/>
      <c r="C792" s="118"/>
      <c r="D792" s="118"/>
      <c r="E792" s="118"/>
      <c r="F792" s="118"/>
      <c r="G792" s="118"/>
      <c r="H792" s="118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</row>
    <row r="793" ht="13.5" customHeight="1">
      <c r="A793" s="118"/>
      <c r="B793" s="118"/>
      <c r="C793" s="118"/>
      <c r="D793" s="118"/>
      <c r="E793" s="118"/>
      <c r="F793" s="118"/>
      <c r="G793" s="118"/>
      <c r="H793" s="118"/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</row>
    <row r="794" ht="13.5" customHeight="1">
      <c r="A794" s="118"/>
      <c r="B794" s="118"/>
      <c r="C794" s="118"/>
      <c r="D794" s="118"/>
      <c r="E794" s="118"/>
      <c r="F794" s="118"/>
      <c r="G794" s="118"/>
      <c r="H794" s="118"/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</row>
    <row r="795" ht="13.5" customHeight="1">
      <c r="A795" s="118"/>
      <c r="B795" s="118"/>
      <c r="C795" s="118"/>
      <c r="D795" s="118"/>
      <c r="E795" s="118"/>
      <c r="F795" s="118"/>
      <c r="G795" s="118"/>
      <c r="H795" s="118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</row>
    <row r="796" ht="13.5" customHeight="1">
      <c r="A796" s="118"/>
      <c r="B796" s="118"/>
      <c r="C796" s="118"/>
      <c r="D796" s="118"/>
      <c r="E796" s="118"/>
      <c r="F796" s="118"/>
      <c r="G796" s="118"/>
      <c r="H796" s="118"/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</row>
    <row r="797" ht="13.5" customHeight="1">
      <c r="A797" s="118"/>
      <c r="B797" s="118"/>
      <c r="C797" s="118"/>
      <c r="D797" s="118"/>
      <c r="E797" s="118"/>
      <c r="F797" s="118"/>
      <c r="G797" s="118"/>
      <c r="H797" s="118"/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</row>
    <row r="798" ht="13.5" customHeight="1">
      <c r="A798" s="118"/>
      <c r="B798" s="118"/>
      <c r="C798" s="118"/>
      <c r="D798" s="118"/>
      <c r="E798" s="118"/>
      <c r="F798" s="118"/>
      <c r="G798" s="118"/>
      <c r="H798" s="118"/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</row>
    <row r="799" ht="13.5" customHeight="1">
      <c r="A799" s="118"/>
      <c r="B799" s="118"/>
      <c r="C799" s="118"/>
      <c r="D799" s="118"/>
      <c r="E799" s="118"/>
      <c r="F799" s="118"/>
      <c r="G799" s="118"/>
      <c r="H799" s="118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</row>
    <row r="800" ht="13.5" customHeight="1">
      <c r="A800" s="118"/>
      <c r="B800" s="118"/>
      <c r="C800" s="118"/>
      <c r="D800" s="118"/>
      <c r="E800" s="118"/>
      <c r="F800" s="118"/>
      <c r="G800" s="118"/>
      <c r="H800" s="118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</row>
    <row r="801" ht="13.5" customHeight="1">
      <c r="A801" s="118"/>
      <c r="B801" s="118"/>
      <c r="C801" s="118"/>
      <c r="D801" s="118"/>
      <c r="E801" s="118"/>
      <c r="F801" s="118"/>
      <c r="G801" s="118"/>
      <c r="H801" s="118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</row>
    <row r="802" ht="13.5" customHeight="1">
      <c r="A802" s="118"/>
      <c r="B802" s="118"/>
      <c r="C802" s="118"/>
      <c r="D802" s="118"/>
      <c r="E802" s="118"/>
      <c r="F802" s="118"/>
      <c r="G802" s="118"/>
      <c r="H802" s="118"/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</row>
    <row r="803" ht="13.5" customHeight="1">
      <c r="A803" s="118"/>
      <c r="B803" s="118"/>
      <c r="C803" s="118"/>
      <c r="D803" s="118"/>
      <c r="E803" s="118"/>
      <c r="F803" s="118"/>
      <c r="G803" s="118"/>
      <c r="H803" s="118"/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</row>
    <row r="804" ht="13.5" customHeight="1">
      <c r="A804" s="118"/>
      <c r="B804" s="118"/>
      <c r="C804" s="118"/>
      <c r="D804" s="118"/>
      <c r="E804" s="118"/>
      <c r="F804" s="118"/>
      <c r="G804" s="118"/>
      <c r="H804" s="118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</row>
    <row r="805" ht="13.5" customHeight="1">
      <c r="A805" s="118"/>
      <c r="B805" s="118"/>
      <c r="C805" s="118"/>
      <c r="D805" s="118"/>
      <c r="E805" s="118"/>
      <c r="F805" s="118"/>
      <c r="G805" s="118"/>
      <c r="H805" s="118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</row>
    <row r="806" ht="13.5" customHeight="1">
      <c r="A806" s="118"/>
      <c r="B806" s="118"/>
      <c r="C806" s="118"/>
      <c r="D806" s="118"/>
      <c r="E806" s="118"/>
      <c r="F806" s="118"/>
      <c r="G806" s="118"/>
      <c r="H806" s="118"/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</row>
    <row r="807" ht="13.5" customHeight="1">
      <c r="A807" s="118"/>
      <c r="B807" s="118"/>
      <c r="C807" s="118"/>
      <c r="D807" s="118"/>
      <c r="E807" s="118"/>
      <c r="F807" s="118"/>
      <c r="G807" s="118"/>
      <c r="H807" s="118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</row>
    <row r="808" ht="13.5" customHeight="1">
      <c r="A808" s="118"/>
      <c r="B808" s="118"/>
      <c r="C808" s="118"/>
      <c r="D808" s="118"/>
      <c r="E808" s="118"/>
      <c r="F808" s="118"/>
      <c r="G808" s="118"/>
      <c r="H808" s="118"/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</row>
    <row r="809" ht="13.5" customHeight="1">
      <c r="A809" s="118"/>
      <c r="B809" s="118"/>
      <c r="C809" s="118"/>
      <c r="D809" s="118"/>
      <c r="E809" s="118"/>
      <c r="F809" s="118"/>
      <c r="G809" s="118"/>
      <c r="H809" s="118"/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</row>
    <row r="810" ht="13.5" customHeight="1">
      <c r="A810" s="118"/>
      <c r="B810" s="118"/>
      <c r="C810" s="118"/>
      <c r="D810" s="118"/>
      <c r="E810" s="118"/>
      <c r="F810" s="118"/>
      <c r="G810" s="118"/>
      <c r="H810" s="118"/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</row>
    <row r="811" ht="13.5" customHeight="1">
      <c r="A811" s="118"/>
      <c r="B811" s="118"/>
      <c r="C811" s="118"/>
      <c r="D811" s="118"/>
      <c r="E811" s="118"/>
      <c r="F811" s="118"/>
      <c r="G811" s="118"/>
      <c r="H811" s="118"/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</row>
    <row r="812" ht="13.5" customHeight="1">
      <c r="A812" s="118"/>
      <c r="B812" s="118"/>
      <c r="C812" s="118"/>
      <c r="D812" s="118"/>
      <c r="E812" s="118"/>
      <c r="F812" s="118"/>
      <c r="G812" s="118"/>
      <c r="H812" s="118"/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</row>
    <row r="813" ht="13.5" customHeight="1">
      <c r="A813" s="118"/>
      <c r="B813" s="118"/>
      <c r="C813" s="118"/>
      <c r="D813" s="118"/>
      <c r="E813" s="118"/>
      <c r="F813" s="118"/>
      <c r="G813" s="118"/>
      <c r="H813" s="118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</row>
    <row r="814" ht="13.5" customHeight="1">
      <c r="A814" s="118"/>
      <c r="B814" s="118"/>
      <c r="C814" s="118"/>
      <c r="D814" s="118"/>
      <c r="E814" s="118"/>
      <c r="F814" s="118"/>
      <c r="G814" s="118"/>
      <c r="H814" s="118"/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</row>
    <row r="815" ht="13.5" customHeight="1">
      <c r="A815" s="118"/>
      <c r="B815" s="118"/>
      <c r="C815" s="118"/>
      <c r="D815" s="118"/>
      <c r="E815" s="118"/>
      <c r="F815" s="118"/>
      <c r="G815" s="118"/>
      <c r="H815" s="118"/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</row>
    <row r="816" ht="13.5" customHeight="1">
      <c r="A816" s="118"/>
      <c r="B816" s="118"/>
      <c r="C816" s="118"/>
      <c r="D816" s="118"/>
      <c r="E816" s="118"/>
      <c r="F816" s="118"/>
      <c r="G816" s="118"/>
      <c r="H816" s="118"/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</row>
    <row r="817" ht="13.5" customHeight="1">
      <c r="A817" s="118"/>
      <c r="B817" s="118"/>
      <c r="C817" s="118"/>
      <c r="D817" s="118"/>
      <c r="E817" s="118"/>
      <c r="F817" s="118"/>
      <c r="G817" s="118"/>
      <c r="H817" s="118"/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</row>
    <row r="818" ht="13.5" customHeight="1">
      <c r="A818" s="118"/>
      <c r="B818" s="118"/>
      <c r="C818" s="118"/>
      <c r="D818" s="118"/>
      <c r="E818" s="118"/>
      <c r="F818" s="118"/>
      <c r="G818" s="118"/>
      <c r="H818" s="118"/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</row>
    <row r="819" ht="13.5" customHeight="1">
      <c r="A819" s="118"/>
      <c r="B819" s="118"/>
      <c r="C819" s="118"/>
      <c r="D819" s="118"/>
      <c r="E819" s="118"/>
      <c r="F819" s="118"/>
      <c r="G819" s="118"/>
      <c r="H819" s="118"/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</row>
    <row r="820" ht="13.5" customHeight="1">
      <c r="A820" s="118"/>
      <c r="B820" s="118"/>
      <c r="C820" s="118"/>
      <c r="D820" s="118"/>
      <c r="E820" s="118"/>
      <c r="F820" s="118"/>
      <c r="G820" s="118"/>
      <c r="H820" s="118"/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</row>
    <row r="821" ht="13.5" customHeight="1">
      <c r="A821" s="118"/>
      <c r="B821" s="118"/>
      <c r="C821" s="118"/>
      <c r="D821" s="118"/>
      <c r="E821" s="118"/>
      <c r="F821" s="118"/>
      <c r="G821" s="118"/>
      <c r="H821" s="118"/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</row>
    <row r="822" ht="13.5" customHeight="1">
      <c r="A822" s="118"/>
      <c r="B822" s="118"/>
      <c r="C822" s="118"/>
      <c r="D822" s="118"/>
      <c r="E822" s="118"/>
      <c r="F822" s="118"/>
      <c r="G822" s="118"/>
      <c r="H822" s="118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</row>
    <row r="823" ht="13.5" customHeight="1">
      <c r="A823" s="118"/>
      <c r="B823" s="118"/>
      <c r="C823" s="118"/>
      <c r="D823" s="118"/>
      <c r="E823" s="118"/>
      <c r="F823" s="118"/>
      <c r="G823" s="118"/>
      <c r="H823" s="118"/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</row>
    <row r="824" ht="13.5" customHeight="1">
      <c r="A824" s="118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</row>
    <row r="825" ht="13.5" customHeight="1">
      <c r="A825" s="118"/>
      <c r="B825" s="118"/>
      <c r="C825" s="118"/>
      <c r="D825" s="118"/>
      <c r="E825" s="118"/>
      <c r="F825" s="118"/>
      <c r="G825" s="118"/>
      <c r="H825" s="118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</row>
    <row r="826" ht="13.5" customHeight="1">
      <c r="A826" s="118"/>
      <c r="B826" s="118"/>
      <c r="C826" s="118"/>
      <c r="D826" s="118"/>
      <c r="E826" s="118"/>
      <c r="F826" s="118"/>
      <c r="G826" s="118"/>
      <c r="H826" s="118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</row>
    <row r="827" ht="13.5" customHeight="1">
      <c r="A827" s="118"/>
      <c r="B827" s="118"/>
      <c r="C827" s="118"/>
      <c r="D827" s="118"/>
      <c r="E827" s="118"/>
      <c r="F827" s="118"/>
      <c r="G827" s="118"/>
      <c r="H827" s="118"/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</row>
    <row r="828" ht="13.5" customHeight="1">
      <c r="A828" s="118"/>
      <c r="B828" s="118"/>
      <c r="C828" s="118"/>
      <c r="D828" s="118"/>
      <c r="E828" s="118"/>
      <c r="F828" s="118"/>
      <c r="G828" s="118"/>
      <c r="H828" s="118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</row>
    <row r="829" ht="13.5" customHeight="1">
      <c r="A829" s="118"/>
      <c r="B829" s="118"/>
      <c r="C829" s="118"/>
      <c r="D829" s="118"/>
      <c r="E829" s="118"/>
      <c r="F829" s="118"/>
      <c r="G829" s="118"/>
      <c r="H829" s="118"/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</row>
    <row r="830" ht="13.5" customHeight="1">
      <c r="A830" s="118"/>
      <c r="B830" s="118"/>
      <c r="C830" s="118"/>
      <c r="D830" s="118"/>
      <c r="E830" s="118"/>
      <c r="F830" s="118"/>
      <c r="G830" s="118"/>
      <c r="H830" s="118"/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</row>
    <row r="831" ht="13.5" customHeight="1">
      <c r="A831" s="118"/>
      <c r="B831" s="118"/>
      <c r="C831" s="118"/>
      <c r="D831" s="118"/>
      <c r="E831" s="118"/>
      <c r="F831" s="118"/>
      <c r="G831" s="118"/>
      <c r="H831" s="118"/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</row>
    <row r="832" ht="13.5" customHeight="1">
      <c r="A832" s="118"/>
      <c r="B832" s="118"/>
      <c r="C832" s="118"/>
      <c r="D832" s="118"/>
      <c r="E832" s="118"/>
      <c r="F832" s="118"/>
      <c r="G832" s="118"/>
      <c r="H832" s="118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</row>
    <row r="833" ht="13.5" customHeight="1">
      <c r="A833" s="118"/>
      <c r="B833" s="118"/>
      <c r="C833" s="118"/>
      <c r="D833" s="118"/>
      <c r="E833" s="118"/>
      <c r="F833" s="118"/>
      <c r="G833" s="118"/>
      <c r="H833" s="118"/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</row>
    <row r="834" ht="13.5" customHeight="1">
      <c r="A834" s="118"/>
      <c r="B834" s="118"/>
      <c r="C834" s="118"/>
      <c r="D834" s="118"/>
      <c r="E834" s="118"/>
      <c r="F834" s="118"/>
      <c r="G834" s="118"/>
      <c r="H834" s="118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</row>
    <row r="835" ht="13.5" customHeight="1">
      <c r="A835" s="118"/>
      <c r="B835" s="118"/>
      <c r="C835" s="118"/>
      <c r="D835" s="118"/>
      <c r="E835" s="118"/>
      <c r="F835" s="118"/>
      <c r="G835" s="118"/>
      <c r="H835" s="118"/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</row>
    <row r="836" ht="13.5" customHeight="1">
      <c r="A836" s="118"/>
      <c r="B836" s="118"/>
      <c r="C836" s="118"/>
      <c r="D836" s="118"/>
      <c r="E836" s="118"/>
      <c r="F836" s="118"/>
      <c r="G836" s="118"/>
      <c r="H836" s="118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</row>
    <row r="837" ht="13.5" customHeight="1">
      <c r="A837" s="118"/>
      <c r="B837" s="118"/>
      <c r="C837" s="118"/>
      <c r="D837" s="118"/>
      <c r="E837" s="118"/>
      <c r="F837" s="118"/>
      <c r="G837" s="118"/>
      <c r="H837" s="118"/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</row>
    <row r="838" ht="13.5" customHeight="1">
      <c r="A838" s="118"/>
      <c r="B838" s="118"/>
      <c r="C838" s="118"/>
      <c r="D838" s="118"/>
      <c r="E838" s="118"/>
      <c r="F838" s="118"/>
      <c r="G838" s="118"/>
      <c r="H838" s="118"/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</row>
    <row r="839" ht="13.5" customHeight="1">
      <c r="A839" s="118"/>
      <c r="B839" s="118"/>
      <c r="C839" s="118"/>
      <c r="D839" s="118"/>
      <c r="E839" s="118"/>
      <c r="F839" s="118"/>
      <c r="G839" s="118"/>
      <c r="H839" s="118"/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</row>
    <row r="840" ht="13.5" customHeight="1">
      <c r="A840" s="118"/>
      <c r="B840" s="118"/>
      <c r="C840" s="118"/>
      <c r="D840" s="118"/>
      <c r="E840" s="118"/>
      <c r="F840" s="118"/>
      <c r="G840" s="118"/>
      <c r="H840" s="118"/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</row>
    <row r="841" ht="13.5" customHeight="1">
      <c r="A841" s="118"/>
      <c r="B841" s="118"/>
      <c r="C841" s="118"/>
      <c r="D841" s="118"/>
      <c r="E841" s="118"/>
      <c r="F841" s="118"/>
      <c r="G841" s="118"/>
      <c r="H841" s="118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</row>
    <row r="842" ht="13.5" customHeight="1">
      <c r="A842" s="118"/>
      <c r="B842" s="118"/>
      <c r="C842" s="118"/>
      <c r="D842" s="118"/>
      <c r="E842" s="118"/>
      <c r="F842" s="118"/>
      <c r="G842" s="118"/>
      <c r="H842" s="118"/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</row>
    <row r="843" ht="13.5" customHeight="1">
      <c r="A843" s="118"/>
      <c r="B843" s="118"/>
      <c r="C843" s="118"/>
      <c r="D843" s="118"/>
      <c r="E843" s="118"/>
      <c r="F843" s="118"/>
      <c r="G843" s="118"/>
      <c r="H843" s="118"/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</row>
    <row r="844" ht="13.5" customHeight="1">
      <c r="A844" s="118"/>
      <c r="B844" s="118"/>
      <c r="C844" s="118"/>
      <c r="D844" s="118"/>
      <c r="E844" s="118"/>
      <c r="F844" s="118"/>
      <c r="G844" s="118"/>
      <c r="H844" s="118"/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</row>
    <row r="845" ht="13.5" customHeight="1">
      <c r="A845" s="118"/>
      <c r="B845" s="118"/>
      <c r="C845" s="118"/>
      <c r="D845" s="118"/>
      <c r="E845" s="118"/>
      <c r="F845" s="118"/>
      <c r="G845" s="118"/>
      <c r="H845" s="118"/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</row>
    <row r="846" ht="13.5" customHeight="1">
      <c r="A846" s="118"/>
      <c r="B846" s="118"/>
      <c r="C846" s="118"/>
      <c r="D846" s="118"/>
      <c r="E846" s="118"/>
      <c r="F846" s="118"/>
      <c r="G846" s="118"/>
      <c r="H846" s="118"/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</row>
    <row r="847" ht="13.5" customHeight="1">
      <c r="A847" s="118"/>
      <c r="B847" s="118"/>
      <c r="C847" s="118"/>
      <c r="D847" s="118"/>
      <c r="E847" s="118"/>
      <c r="F847" s="118"/>
      <c r="G847" s="118"/>
      <c r="H847" s="118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</row>
    <row r="848" ht="13.5" customHeight="1">
      <c r="A848" s="118"/>
      <c r="B848" s="118"/>
      <c r="C848" s="118"/>
      <c r="D848" s="118"/>
      <c r="E848" s="118"/>
      <c r="F848" s="118"/>
      <c r="G848" s="118"/>
      <c r="H848" s="118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</row>
    <row r="849" ht="13.5" customHeight="1">
      <c r="A849" s="118"/>
      <c r="B849" s="118"/>
      <c r="C849" s="118"/>
      <c r="D849" s="118"/>
      <c r="E849" s="118"/>
      <c r="F849" s="118"/>
      <c r="G849" s="118"/>
      <c r="H849" s="118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</row>
    <row r="850" ht="13.5" customHeight="1">
      <c r="A850" s="118"/>
      <c r="B850" s="118"/>
      <c r="C850" s="118"/>
      <c r="D850" s="118"/>
      <c r="E850" s="118"/>
      <c r="F850" s="118"/>
      <c r="G850" s="118"/>
      <c r="H850" s="118"/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</row>
    <row r="851" ht="13.5" customHeight="1">
      <c r="A851" s="118"/>
      <c r="B851" s="118"/>
      <c r="C851" s="118"/>
      <c r="D851" s="118"/>
      <c r="E851" s="118"/>
      <c r="F851" s="118"/>
      <c r="G851" s="118"/>
      <c r="H851" s="118"/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</row>
    <row r="852" ht="13.5" customHeight="1">
      <c r="A852" s="118"/>
      <c r="B852" s="118"/>
      <c r="C852" s="118"/>
      <c r="D852" s="118"/>
      <c r="E852" s="118"/>
      <c r="F852" s="118"/>
      <c r="G852" s="118"/>
      <c r="H852" s="118"/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</row>
    <row r="853" ht="13.5" customHeight="1">
      <c r="A853" s="118"/>
      <c r="B853" s="118"/>
      <c r="C853" s="118"/>
      <c r="D853" s="118"/>
      <c r="E853" s="118"/>
      <c r="F853" s="118"/>
      <c r="G853" s="118"/>
      <c r="H853" s="118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</row>
    <row r="854" ht="13.5" customHeight="1">
      <c r="A854" s="118"/>
      <c r="B854" s="118"/>
      <c r="C854" s="118"/>
      <c r="D854" s="118"/>
      <c r="E854" s="118"/>
      <c r="F854" s="118"/>
      <c r="G854" s="118"/>
      <c r="H854" s="118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</row>
    <row r="855" ht="13.5" customHeight="1">
      <c r="A855" s="118"/>
      <c r="B855" s="118"/>
      <c r="C855" s="118"/>
      <c r="D855" s="118"/>
      <c r="E855" s="118"/>
      <c r="F855" s="118"/>
      <c r="G855" s="118"/>
      <c r="H855" s="118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</row>
    <row r="856" ht="13.5" customHeight="1">
      <c r="A856" s="118"/>
      <c r="B856" s="118"/>
      <c r="C856" s="118"/>
      <c r="D856" s="118"/>
      <c r="E856" s="118"/>
      <c r="F856" s="118"/>
      <c r="G856" s="118"/>
      <c r="H856" s="118"/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</row>
    <row r="857" ht="13.5" customHeight="1">
      <c r="A857" s="118"/>
      <c r="B857" s="118"/>
      <c r="C857" s="118"/>
      <c r="D857" s="118"/>
      <c r="E857" s="118"/>
      <c r="F857" s="118"/>
      <c r="G857" s="118"/>
      <c r="H857" s="118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</row>
    <row r="858" ht="13.5" customHeight="1">
      <c r="A858" s="118"/>
      <c r="B858" s="118"/>
      <c r="C858" s="118"/>
      <c r="D858" s="118"/>
      <c r="E858" s="118"/>
      <c r="F858" s="118"/>
      <c r="G858" s="118"/>
      <c r="H858" s="118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</row>
    <row r="859" ht="13.5" customHeight="1">
      <c r="A859" s="118"/>
      <c r="B859" s="118"/>
      <c r="C859" s="118"/>
      <c r="D859" s="118"/>
      <c r="E859" s="118"/>
      <c r="F859" s="118"/>
      <c r="G859" s="118"/>
      <c r="H859" s="118"/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</row>
    <row r="860" ht="13.5" customHeight="1">
      <c r="A860" s="118"/>
      <c r="B860" s="118"/>
      <c r="C860" s="118"/>
      <c r="D860" s="118"/>
      <c r="E860" s="118"/>
      <c r="F860" s="118"/>
      <c r="G860" s="118"/>
      <c r="H860" s="118"/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</row>
    <row r="861" ht="13.5" customHeight="1">
      <c r="A861" s="118"/>
      <c r="B861" s="118"/>
      <c r="C861" s="118"/>
      <c r="D861" s="118"/>
      <c r="E861" s="118"/>
      <c r="F861" s="118"/>
      <c r="G861" s="118"/>
      <c r="H861" s="118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</row>
    <row r="862" ht="13.5" customHeight="1">
      <c r="A862" s="118"/>
      <c r="B862" s="118"/>
      <c r="C862" s="118"/>
      <c r="D862" s="118"/>
      <c r="E862" s="118"/>
      <c r="F862" s="118"/>
      <c r="G862" s="118"/>
      <c r="H862" s="118"/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</row>
    <row r="863" ht="13.5" customHeight="1">
      <c r="A863" s="118"/>
      <c r="B863" s="118"/>
      <c r="C863" s="118"/>
      <c r="D863" s="118"/>
      <c r="E863" s="118"/>
      <c r="F863" s="118"/>
      <c r="G863" s="118"/>
      <c r="H863" s="118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</row>
    <row r="864" ht="13.5" customHeight="1">
      <c r="A864" s="118"/>
      <c r="B864" s="118"/>
      <c r="C864" s="118"/>
      <c r="D864" s="118"/>
      <c r="E864" s="118"/>
      <c r="F864" s="118"/>
      <c r="G864" s="118"/>
      <c r="H864" s="118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</row>
    <row r="865" ht="13.5" customHeight="1">
      <c r="A865" s="118"/>
      <c r="B865" s="118"/>
      <c r="C865" s="118"/>
      <c r="D865" s="118"/>
      <c r="E865" s="118"/>
      <c r="F865" s="118"/>
      <c r="G865" s="118"/>
      <c r="H865" s="118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</row>
    <row r="866" ht="13.5" customHeight="1">
      <c r="A866" s="118"/>
      <c r="B866" s="118"/>
      <c r="C866" s="118"/>
      <c r="D866" s="118"/>
      <c r="E866" s="118"/>
      <c r="F866" s="118"/>
      <c r="G866" s="118"/>
      <c r="H866" s="118"/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</row>
    <row r="867" ht="13.5" customHeight="1">
      <c r="A867" s="118"/>
      <c r="B867" s="118"/>
      <c r="C867" s="118"/>
      <c r="D867" s="118"/>
      <c r="E867" s="118"/>
      <c r="F867" s="118"/>
      <c r="G867" s="118"/>
      <c r="H867" s="118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</row>
    <row r="868" ht="13.5" customHeight="1">
      <c r="A868" s="118"/>
      <c r="B868" s="118"/>
      <c r="C868" s="118"/>
      <c r="D868" s="118"/>
      <c r="E868" s="118"/>
      <c r="F868" s="118"/>
      <c r="G868" s="118"/>
      <c r="H868" s="118"/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</row>
    <row r="869" ht="13.5" customHeight="1">
      <c r="A869" s="118"/>
      <c r="B869" s="118"/>
      <c r="C869" s="118"/>
      <c r="D869" s="118"/>
      <c r="E869" s="118"/>
      <c r="F869" s="118"/>
      <c r="G869" s="118"/>
      <c r="H869" s="118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</row>
    <row r="870" ht="13.5" customHeight="1">
      <c r="A870" s="118"/>
      <c r="B870" s="118"/>
      <c r="C870" s="118"/>
      <c r="D870" s="118"/>
      <c r="E870" s="118"/>
      <c r="F870" s="118"/>
      <c r="G870" s="118"/>
      <c r="H870" s="118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</row>
    <row r="871" ht="13.5" customHeight="1">
      <c r="A871" s="118"/>
      <c r="B871" s="118"/>
      <c r="C871" s="118"/>
      <c r="D871" s="118"/>
      <c r="E871" s="118"/>
      <c r="F871" s="118"/>
      <c r="G871" s="118"/>
      <c r="H871" s="118"/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</row>
    <row r="872" ht="13.5" customHeight="1">
      <c r="A872" s="118"/>
      <c r="B872" s="118"/>
      <c r="C872" s="118"/>
      <c r="D872" s="118"/>
      <c r="E872" s="118"/>
      <c r="F872" s="118"/>
      <c r="G872" s="118"/>
      <c r="H872" s="118"/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</row>
    <row r="873" ht="13.5" customHeight="1">
      <c r="A873" s="118"/>
      <c r="B873" s="118"/>
      <c r="C873" s="118"/>
      <c r="D873" s="118"/>
      <c r="E873" s="118"/>
      <c r="F873" s="118"/>
      <c r="G873" s="118"/>
      <c r="H873" s="118"/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</row>
    <row r="874" ht="13.5" customHeight="1">
      <c r="A874" s="118"/>
      <c r="B874" s="118"/>
      <c r="C874" s="118"/>
      <c r="D874" s="118"/>
      <c r="E874" s="118"/>
      <c r="F874" s="118"/>
      <c r="G874" s="118"/>
      <c r="H874" s="118"/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</row>
    <row r="875" ht="13.5" customHeight="1">
      <c r="A875" s="118"/>
      <c r="B875" s="118"/>
      <c r="C875" s="118"/>
      <c r="D875" s="118"/>
      <c r="E875" s="118"/>
      <c r="F875" s="118"/>
      <c r="G875" s="118"/>
      <c r="H875" s="118"/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</row>
    <row r="876" ht="13.5" customHeight="1">
      <c r="A876" s="118"/>
      <c r="B876" s="118"/>
      <c r="C876" s="118"/>
      <c r="D876" s="118"/>
      <c r="E876" s="118"/>
      <c r="F876" s="118"/>
      <c r="G876" s="118"/>
      <c r="H876" s="118"/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</row>
    <row r="877" ht="13.5" customHeight="1">
      <c r="A877" s="118"/>
      <c r="B877" s="118"/>
      <c r="C877" s="118"/>
      <c r="D877" s="118"/>
      <c r="E877" s="118"/>
      <c r="F877" s="118"/>
      <c r="G877" s="118"/>
      <c r="H877" s="118"/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</row>
    <row r="878" ht="13.5" customHeight="1">
      <c r="A878" s="118"/>
      <c r="B878" s="118"/>
      <c r="C878" s="118"/>
      <c r="D878" s="118"/>
      <c r="E878" s="118"/>
      <c r="F878" s="118"/>
      <c r="G878" s="118"/>
      <c r="H878" s="118"/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</row>
    <row r="879" ht="13.5" customHeight="1">
      <c r="A879" s="118"/>
      <c r="B879" s="118"/>
      <c r="C879" s="118"/>
      <c r="D879" s="118"/>
      <c r="E879" s="118"/>
      <c r="F879" s="118"/>
      <c r="G879" s="118"/>
      <c r="H879" s="118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</row>
    <row r="880" ht="13.5" customHeight="1">
      <c r="A880" s="118"/>
      <c r="B880" s="118"/>
      <c r="C880" s="118"/>
      <c r="D880" s="118"/>
      <c r="E880" s="118"/>
      <c r="F880" s="118"/>
      <c r="G880" s="118"/>
      <c r="H880" s="118"/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</row>
    <row r="881" ht="13.5" customHeight="1">
      <c r="A881" s="118"/>
      <c r="B881" s="118"/>
      <c r="C881" s="118"/>
      <c r="D881" s="118"/>
      <c r="E881" s="118"/>
      <c r="F881" s="118"/>
      <c r="G881" s="118"/>
      <c r="H881" s="118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</row>
    <row r="882" ht="13.5" customHeight="1">
      <c r="A882" s="118"/>
      <c r="B882" s="118"/>
      <c r="C882" s="118"/>
      <c r="D882" s="118"/>
      <c r="E882" s="118"/>
      <c r="F882" s="118"/>
      <c r="G882" s="118"/>
      <c r="H882" s="118"/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</row>
    <row r="883" ht="13.5" customHeight="1">
      <c r="A883" s="118"/>
      <c r="B883" s="118"/>
      <c r="C883" s="118"/>
      <c r="D883" s="118"/>
      <c r="E883" s="118"/>
      <c r="F883" s="118"/>
      <c r="G883" s="118"/>
      <c r="H883" s="118"/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</row>
    <row r="884" ht="13.5" customHeight="1">
      <c r="A884" s="118"/>
      <c r="B884" s="118"/>
      <c r="C884" s="118"/>
      <c r="D884" s="118"/>
      <c r="E884" s="118"/>
      <c r="F884" s="118"/>
      <c r="G884" s="118"/>
      <c r="H884" s="118"/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</row>
    <row r="885" ht="13.5" customHeight="1">
      <c r="A885" s="118"/>
      <c r="B885" s="118"/>
      <c r="C885" s="118"/>
      <c r="D885" s="118"/>
      <c r="E885" s="118"/>
      <c r="F885" s="118"/>
      <c r="G885" s="118"/>
      <c r="H885" s="118"/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</row>
    <row r="886" ht="13.5" customHeight="1">
      <c r="A886" s="118"/>
      <c r="B886" s="118"/>
      <c r="C886" s="118"/>
      <c r="D886" s="118"/>
      <c r="E886" s="118"/>
      <c r="F886" s="118"/>
      <c r="G886" s="118"/>
      <c r="H886" s="118"/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</row>
    <row r="887" ht="13.5" customHeight="1">
      <c r="A887" s="118"/>
      <c r="B887" s="118"/>
      <c r="C887" s="118"/>
      <c r="D887" s="118"/>
      <c r="E887" s="118"/>
      <c r="F887" s="118"/>
      <c r="G887" s="118"/>
      <c r="H887" s="118"/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</row>
    <row r="888" ht="13.5" customHeight="1">
      <c r="A888" s="118"/>
      <c r="B888" s="118"/>
      <c r="C888" s="118"/>
      <c r="D888" s="118"/>
      <c r="E888" s="118"/>
      <c r="F888" s="118"/>
      <c r="G888" s="118"/>
      <c r="H888" s="118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</row>
    <row r="889" ht="13.5" customHeight="1">
      <c r="A889" s="118"/>
      <c r="B889" s="118"/>
      <c r="C889" s="118"/>
      <c r="D889" s="118"/>
      <c r="E889" s="118"/>
      <c r="F889" s="118"/>
      <c r="G889" s="118"/>
      <c r="H889" s="118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</row>
    <row r="890" ht="13.5" customHeight="1">
      <c r="A890" s="118"/>
      <c r="B890" s="118"/>
      <c r="C890" s="118"/>
      <c r="D890" s="118"/>
      <c r="E890" s="118"/>
      <c r="F890" s="118"/>
      <c r="G890" s="118"/>
      <c r="H890" s="118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</row>
    <row r="891" ht="13.5" customHeight="1">
      <c r="A891" s="118"/>
      <c r="B891" s="118"/>
      <c r="C891" s="118"/>
      <c r="D891" s="118"/>
      <c r="E891" s="118"/>
      <c r="F891" s="118"/>
      <c r="G891" s="118"/>
      <c r="H891" s="118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</row>
    <row r="892" ht="13.5" customHeight="1">
      <c r="A892" s="118"/>
      <c r="B892" s="118"/>
      <c r="C892" s="118"/>
      <c r="D892" s="118"/>
      <c r="E892" s="118"/>
      <c r="F892" s="118"/>
      <c r="G892" s="118"/>
      <c r="H892" s="118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</row>
    <row r="893" ht="13.5" customHeight="1">
      <c r="A893" s="118"/>
      <c r="B893" s="118"/>
      <c r="C893" s="118"/>
      <c r="D893" s="118"/>
      <c r="E893" s="118"/>
      <c r="F893" s="118"/>
      <c r="G893" s="118"/>
      <c r="H893" s="118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</row>
    <row r="894" ht="13.5" customHeight="1">
      <c r="A894" s="118"/>
      <c r="B894" s="118"/>
      <c r="C894" s="118"/>
      <c r="D894" s="118"/>
      <c r="E894" s="118"/>
      <c r="F894" s="118"/>
      <c r="G894" s="118"/>
      <c r="H894" s="118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</row>
    <row r="895" ht="13.5" customHeight="1">
      <c r="A895" s="118"/>
      <c r="B895" s="118"/>
      <c r="C895" s="118"/>
      <c r="D895" s="118"/>
      <c r="E895" s="118"/>
      <c r="F895" s="118"/>
      <c r="G895" s="118"/>
      <c r="H895" s="118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</row>
    <row r="896" ht="13.5" customHeight="1">
      <c r="A896" s="118"/>
      <c r="B896" s="118"/>
      <c r="C896" s="118"/>
      <c r="D896" s="118"/>
      <c r="E896" s="118"/>
      <c r="F896" s="118"/>
      <c r="G896" s="118"/>
      <c r="H896" s="118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</row>
    <row r="897" ht="13.5" customHeight="1">
      <c r="A897" s="118"/>
      <c r="B897" s="118"/>
      <c r="C897" s="118"/>
      <c r="D897" s="118"/>
      <c r="E897" s="118"/>
      <c r="F897" s="118"/>
      <c r="G897" s="118"/>
      <c r="H897" s="118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</row>
    <row r="898" ht="13.5" customHeight="1">
      <c r="A898" s="118"/>
      <c r="B898" s="118"/>
      <c r="C898" s="118"/>
      <c r="D898" s="118"/>
      <c r="E898" s="118"/>
      <c r="F898" s="118"/>
      <c r="G898" s="118"/>
      <c r="H898" s="118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</row>
    <row r="899" ht="13.5" customHeight="1">
      <c r="A899" s="118"/>
      <c r="B899" s="118"/>
      <c r="C899" s="118"/>
      <c r="D899" s="118"/>
      <c r="E899" s="118"/>
      <c r="F899" s="118"/>
      <c r="G899" s="118"/>
      <c r="H899" s="118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</row>
    <row r="900" ht="13.5" customHeight="1">
      <c r="A900" s="118"/>
      <c r="B900" s="118"/>
      <c r="C900" s="118"/>
      <c r="D900" s="118"/>
      <c r="E900" s="118"/>
      <c r="F900" s="118"/>
      <c r="G900" s="118"/>
      <c r="H900" s="118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</row>
    <row r="901" ht="13.5" customHeight="1">
      <c r="A901" s="118"/>
      <c r="B901" s="118"/>
      <c r="C901" s="118"/>
      <c r="D901" s="118"/>
      <c r="E901" s="118"/>
      <c r="F901" s="118"/>
      <c r="G901" s="118"/>
      <c r="H901" s="118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</row>
    <row r="902" ht="13.5" customHeight="1">
      <c r="A902" s="118"/>
      <c r="B902" s="118"/>
      <c r="C902" s="118"/>
      <c r="D902" s="118"/>
      <c r="E902" s="118"/>
      <c r="F902" s="118"/>
      <c r="G902" s="118"/>
      <c r="H902" s="118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</row>
    <row r="903" ht="13.5" customHeight="1">
      <c r="A903" s="118"/>
      <c r="B903" s="118"/>
      <c r="C903" s="118"/>
      <c r="D903" s="118"/>
      <c r="E903" s="118"/>
      <c r="F903" s="118"/>
      <c r="G903" s="118"/>
      <c r="H903" s="118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</row>
    <row r="904" ht="13.5" customHeight="1">
      <c r="A904" s="118"/>
      <c r="B904" s="118"/>
      <c r="C904" s="118"/>
      <c r="D904" s="118"/>
      <c r="E904" s="118"/>
      <c r="F904" s="118"/>
      <c r="G904" s="118"/>
      <c r="H904" s="118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</row>
    <row r="905" ht="13.5" customHeight="1">
      <c r="A905" s="118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</row>
    <row r="906" ht="13.5" customHeight="1">
      <c r="A906" s="118"/>
      <c r="B906" s="118"/>
      <c r="C906" s="118"/>
      <c r="D906" s="118"/>
      <c r="E906" s="118"/>
      <c r="F906" s="118"/>
      <c r="G906" s="118"/>
      <c r="H906" s="118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</row>
    <row r="907" ht="13.5" customHeight="1">
      <c r="A907" s="118"/>
      <c r="B907" s="118"/>
      <c r="C907" s="118"/>
      <c r="D907" s="118"/>
      <c r="E907" s="118"/>
      <c r="F907" s="118"/>
      <c r="G907" s="118"/>
      <c r="H907" s="118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</row>
    <row r="908" ht="13.5" customHeight="1">
      <c r="A908" s="118"/>
      <c r="B908" s="118"/>
      <c r="C908" s="118"/>
      <c r="D908" s="118"/>
      <c r="E908" s="118"/>
      <c r="F908" s="118"/>
      <c r="G908" s="118"/>
      <c r="H908" s="118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</row>
    <row r="909" ht="13.5" customHeight="1">
      <c r="A909" s="118"/>
      <c r="B909" s="118"/>
      <c r="C909" s="118"/>
      <c r="D909" s="118"/>
      <c r="E909" s="118"/>
      <c r="F909" s="118"/>
      <c r="G909" s="118"/>
      <c r="H909" s="118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</row>
    <row r="910" ht="13.5" customHeight="1">
      <c r="A910" s="118"/>
      <c r="B910" s="118"/>
      <c r="C910" s="118"/>
      <c r="D910" s="118"/>
      <c r="E910" s="118"/>
      <c r="F910" s="118"/>
      <c r="G910" s="118"/>
      <c r="H910" s="118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</row>
    <row r="911" ht="13.5" customHeight="1">
      <c r="A911" s="118"/>
      <c r="B911" s="118"/>
      <c r="C911" s="118"/>
      <c r="D911" s="118"/>
      <c r="E911" s="118"/>
      <c r="F911" s="118"/>
      <c r="G911" s="118"/>
      <c r="H911" s="118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</row>
    <row r="912" ht="13.5" customHeight="1">
      <c r="A912" s="118"/>
      <c r="B912" s="118"/>
      <c r="C912" s="118"/>
      <c r="D912" s="118"/>
      <c r="E912" s="118"/>
      <c r="F912" s="118"/>
      <c r="G912" s="118"/>
      <c r="H912" s="118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</row>
    <row r="913" ht="13.5" customHeight="1">
      <c r="A913" s="118"/>
      <c r="B913" s="118"/>
      <c r="C913" s="118"/>
      <c r="D913" s="118"/>
      <c r="E913" s="118"/>
      <c r="F913" s="118"/>
      <c r="G913" s="118"/>
      <c r="H913" s="118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</row>
    <row r="914" ht="13.5" customHeight="1">
      <c r="A914" s="118"/>
      <c r="B914" s="118"/>
      <c r="C914" s="118"/>
      <c r="D914" s="118"/>
      <c r="E914" s="118"/>
      <c r="F914" s="118"/>
      <c r="G914" s="118"/>
      <c r="H914" s="118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</row>
    <row r="915" ht="13.5" customHeight="1">
      <c r="A915" s="118"/>
      <c r="B915" s="118"/>
      <c r="C915" s="118"/>
      <c r="D915" s="118"/>
      <c r="E915" s="118"/>
      <c r="F915" s="118"/>
      <c r="G915" s="118"/>
      <c r="H915" s="118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</row>
    <row r="916" ht="13.5" customHeight="1">
      <c r="A916" s="118"/>
      <c r="B916" s="118"/>
      <c r="C916" s="118"/>
      <c r="D916" s="118"/>
      <c r="E916" s="118"/>
      <c r="F916" s="118"/>
      <c r="G916" s="118"/>
      <c r="H916" s="118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</row>
    <row r="917" ht="13.5" customHeight="1">
      <c r="A917" s="118"/>
      <c r="B917" s="118"/>
      <c r="C917" s="118"/>
      <c r="D917" s="118"/>
      <c r="E917" s="118"/>
      <c r="F917" s="118"/>
      <c r="G917" s="118"/>
      <c r="H917" s="118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</row>
    <row r="918" ht="13.5" customHeight="1">
      <c r="A918" s="118"/>
      <c r="B918" s="118"/>
      <c r="C918" s="118"/>
      <c r="D918" s="118"/>
      <c r="E918" s="118"/>
      <c r="F918" s="118"/>
      <c r="G918" s="118"/>
      <c r="H918" s="118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</row>
    <row r="919" ht="13.5" customHeight="1">
      <c r="A919" s="118"/>
      <c r="B919" s="118"/>
      <c r="C919" s="118"/>
      <c r="D919" s="118"/>
      <c r="E919" s="118"/>
      <c r="F919" s="118"/>
      <c r="G919" s="118"/>
      <c r="H919" s="118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</row>
    <row r="920" ht="13.5" customHeight="1">
      <c r="A920" s="118"/>
      <c r="B920" s="118"/>
      <c r="C920" s="118"/>
      <c r="D920" s="118"/>
      <c r="E920" s="118"/>
      <c r="F920" s="118"/>
      <c r="G920" s="118"/>
      <c r="H920" s="118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</row>
    <row r="921" ht="13.5" customHeight="1">
      <c r="A921" s="118"/>
      <c r="B921" s="118"/>
      <c r="C921" s="118"/>
      <c r="D921" s="118"/>
      <c r="E921" s="118"/>
      <c r="F921" s="118"/>
      <c r="G921" s="118"/>
      <c r="H921" s="118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</row>
    <row r="922" ht="13.5" customHeight="1">
      <c r="A922" s="118"/>
      <c r="B922" s="118"/>
      <c r="C922" s="118"/>
      <c r="D922" s="118"/>
      <c r="E922" s="118"/>
      <c r="F922" s="118"/>
      <c r="G922" s="118"/>
      <c r="H922" s="118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</row>
    <row r="923" ht="13.5" customHeight="1">
      <c r="A923" s="118"/>
      <c r="B923" s="118"/>
      <c r="C923" s="118"/>
      <c r="D923" s="118"/>
      <c r="E923" s="118"/>
      <c r="F923" s="118"/>
      <c r="G923" s="118"/>
      <c r="H923" s="118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</row>
    <row r="924" ht="13.5" customHeight="1">
      <c r="A924" s="118"/>
      <c r="B924" s="118"/>
      <c r="C924" s="118"/>
      <c r="D924" s="118"/>
      <c r="E924" s="118"/>
      <c r="F924" s="118"/>
      <c r="G924" s="118"/>
      <c r="H924" s="118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</row>
    <row r="925" ht="13.5" customHeight="1">
      <c r="A925" s="118"/>
      <c r="B925" s="118"/>
      <c r="C925" s="118"/>
      <c r="D925" s="118"/>
      <c r="E925" s="118"/>
      <c r="F925" s="118"/>
      <c r="G925" s="118"/>
      <c r="H925" s="118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</row>
    <row r="926" ht="13.5" customHeight="1">
      <c r="A926" s="118"/>
      <c r="B926" s="118"/>
      <c r="C926" s="118"/>
      <c r="D926" s="118"/>
      <c r="E926" s="118"/>
      <c r="F926" s="118"/>
      <c r="G926" s="118"/>
      <c r="H926" s="118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</row>
    <row r="927" ht="13.5" customHeight="1">
      <c r="A927" s="118"/>
      <c r="B927" s="118"/>
      <c r="C927" s="118"/>
      <c r="D927" s="118"/>
      <c r="E927" s="118"/>
      <c r="F927" s="118"/>
      <c r="G927" s="118"/>
      <c r="H927" s="118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</row>
    <row r="928" ht="13.5" customHeight="1">
      <c r="A928" s="118"/>
      <c r="B928" s="118"/>
      <c r="C928" s="118"/>
      <c r="D928" s="118"/>
      <c r="E928" s="118"/>
      <c r="F928" s="118"/>
      <c r="G928" s="118"/>
      <c r="H928" s="118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</row>
    <row r="929" ht="13.5" customHeight="1">
      <c r="A929" s="118"/>
      <c r="B929" s="118"/>
      <c r="C929" s="118"/>
      <c r="D929" s="118"/>
      <c r="E929" s="118"/>
      <c r="F929" s="118"/>
      <c r="G929" s="118"/>
      <c r="H929" s="118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</row>
    <row r="930" ht="13.5" customHeight="1">
      <c r="A930" s="118"/>
      <c r="B930" s="118"/>
      <c r="C930" s="118"/>
      <c r="D930" s="118"/>
      <c r="E930" s="118"/>
      <c r="F930" s="118"/>
      <c r="G930" s="118"/>
      <c r="H930" s="118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</row>
    <row r="931" ht="13.5" customHeight="1">
      <c r="A931" s="118"/>
      <c r="B931" s="118"/>
      <c r="C931" s="118"/>
      <c r="D931" s="118"/>
      <c r="E931" s="118"/>
      <c r="F931" s="118"/>
      <c r="G931" s="118"/>
      <c r="H931" s="118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</row>
    <row r="932" ht="13.5" customHeight="1">
      <c r="A932" s="118"/>
      <c r="B932" s="118"/>
      <c r="C932" s="118"/>
      <c r="D932" s="118"/>
      <c r="E932" s="118"/>
      <c r="F932" s="118"/>
      <c r="G932" s="118"/>
      <c r="H932" s="118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</row>
    <row r="933" ht="13.5" customHeight="1">
      <c r="A933" s="118"/>
      <c r="B933" s="118"/>
      <c r="C933" s="118"/>
      <c r="D933" s="118"/>
      <c r="E933" s="118"/>
      <c r="F933" s="118"/>
      <c r="G933" s="118"/>
      <c r="H933" s="118"/>
      <c r="I933" s="118"/>
      <c r="J933" s="118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</row>
    <row r="934" ht="13.5" customHeight="1">
      <c r="A934" s="118"/>
      <c r="B934" s="118"/>
      <c r="C934" s="118"/>
      <c r="D934" s="118"/>
      <c r="E934" s="118"/>
      <c r="F934" s="118"/>
      <c r="G934" s="118"/>
      <c r="H934" s="118"/>
      <c r="I934" s="118"/>
      <c r="J934" s="118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</row>
    <row r="935" ht="13.5" customHeight="1">
      <c r="A935" s="118"/>
      <c r="B935" s="118"/>
      <c r="C935" s="118"/>
      <c r="D935" s="118"/>
      <c r="E935" s="118"/>
      <c r="F935" s="118"/>
      <c r="G935" s="118"/>
      <c r="H935" s="118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</row>
    <row r="936" ht="13.5" customHeight="1">
      <c r="A936" s="118"/>
      <c r="B936" s="118"/>
      <c r="C936" s="118"/>
      <c r="D936" s="118"/>
      <c r="E936" s="118"/>
      <c r="F936" s="118"/>
      <c r="G936" s="118"/>
      <c r="H936" s="118"/>
      <c r="I936" s="118"/>
      <c r="J936" s="118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</row>
    <row r="937" ht="13.5" customHeight="1">
      <c r="A937" s="118"/>
      <c r="B937" s="118"/>
      <c r="C937" s="118"/>
      <c r="D937" s="118"/>
      <c r="E937" s="118"/>
      <c r="F937" s="118"/>
      <c r="G937" s="118"/>
      <c r="H937" s="118"/>
      <c r="I937" s="118"/>
      <c r="J937" s="118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</row>
    <row r="938" ht="13.5" customHeight="1">
      <c r="A938" s="118"/>
      <c r="B938" s="118"/>
      <c r="C938" s="118"/>
      <c r="D938" s="118"/>
      <c r="E938" s="118"/>
      <c r="F938" s="118"/>
      <c r="G938" s="118"/>
      <c r="H938" s="118"/>
      <c r="I938" s="118"/>
      <c r="J938" s="118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</row>
    <row r="939" ht="13.5" customHeight="1">
      <c r="A939" s="118"/>
      <c r="B939" s="118"/>
      <c r="C939" s="118"/>
      <c r="D939" s="118"/>
      <c r="E939" s="118"/>
      <c r="F939" s="118"/>
      <c r="G939" s="118"/>
      <c r="H939" s="118"/>
      <c r="I939" s="118"/>
      <c r="J939" s="118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</row>
    <row r="940" ht="13.5" customHeight="1">
      <c r="A940" s="118"/>
      <c r="B940" s="118"/>
      <c r="C940" s="118"/>
      <c r="D940" s="118"/>
      <c r="E940" s="118"/>
      <c r="F940" s="118"/>
      <c r="G940" s="118"/>
      <c r="H940" s="118"/>
      <c r="I940" s="118"/>
      <c r="J940" s="118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</row>
    <row r="941" ht="13.5" customHeight="1">
      <c r="A941" s="118"/>
      <c r="B941" s="118"/>
      <c r="C941" s="118"/>
      <c r="D941" s="118"/>
      <c r="E941" s="118"/>
      <c r="F941" s="118"/>
      <c r="G941" s="118"/>
      <c r="H941" s="118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</row>
    <row r="942" ht="13.5" customHeight="1">
      <c r="A942" s="118"/>
      <c r="B942" s="118"/>
      <c r="C942" s="118"/>
      <c r="D942" s="118"/>
      <c r="E942" s="118"/>
      <c r="F942" s="118"/>
      <c r="G942" s="118"/>
      <c r="H942" s="118"/>
      <c r="I942" s="118"/>
      <c r="J942" s="118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</row>
    <row r="943" ht="13.5" customHeight="1">
      <c r="A943" s="118"/>
      <c r="B943" s="118"/>
      <c r="C943" s="118"/>
      <c r="D943" s="118"/>
      <c r="E943" s="118"/>
      <c r="F943" s="118"/>
      <c r="G943" s="118"/>
      <c r="H943" s="118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</row>
    <row r="944" ht="13.5" customHeight="1">
      <c r="A944" s="118"/>
      <c r="B944" s="118"/>
      <c r="C944" s="118"/>
      <c r="D944" s="118"/>
      <c r="E944" s="118"/>
      <c r="F944" s="118"/>
      <c r="G944" s="118"/>
      <c r="H944" s="118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</row>
    <row r="945" ht="13.5" customHeight="1">
      <c r="A945" s="118"/>
      <c r="B945" s="118"/>
      <c r="C945" s="118"/>
      <c r="D945" s="118"/>
      <c r="E945" s="118"/>
      <c r="F945" s="118"/>
      <c r="G945" s="118"/>
      <c r="H945" s="118"/>
      <c r="I945" s="118"/>
      <c r="J945" s="118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</row>
    <row r="946" ht="13.5" customHeight="1">
      <c r="A946" s="118"/>
      <c r="B946" s="118"/>
      <c r="C946" s="118"/>
      <c r="D946" s="118"/>
      <c r="E946" s="118"/>
      <c r="F946" s="118"/>
      <c r="G946" s="118"/>
      <c r="H946" s="118"/>
      <c r="I946" s="118"/>
      <c r="J946" s="118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</row>
    <row r="947" ht="13.5" customHeight="1">
      <c r="A947" s="118"/>
      <c r="B947" s="118"/>
      <c r="C947" s="118"/>
      <c r="D947" s="118"/>
      <c r="E947" s="118"/>
      <c r="F947" s="118"/>
      <c r="G947" s="118"/>
      <c r="H947" s="118"/>
      <c r="I947" s="118"/>
      <c r="J947" s="118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</row>
    <row r="948" ht="13.5" customHeight="1">
      <c r="A948" s="118"/>
      <c r="B948" s="118"/>
      <c r="C948" s="118"/>
      <c r="D948" s="118"/>
      <c r="E948" s="118"/>
      <c r="F948" s="118"/>
      <c r="G948" s="118"/>
      <c r="H948" s="118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</row>
    <row r="949" ht="13.5" customHeight="1">
      <c r="A949" s="118"/>
      <c r="B949" s="118"/>
      <c r="C949" s="118"/>
      <c r="D949" s="118"/>
      <c r="E949" s="118"/>
      <c r="F949" s="118"/>
      <c r="G949" s="118"/>
      <c r="H949" s="118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</row>
    <row r="950" ht="13.5" customHeight="1">
      <c r="A950" s="118"/>
      <c r="B950" s="118"/>
      <c r="C950" s="118"/>
      <c r="D950" s="118"/>
      <c r="E950" s="118"/>
      <c r="F950" s="118"/>
      <c r="G950" s="118"/>
      <c r="H950" s="118"/>
      <c r="I950" s="118"/>
      <c r="J950" s="118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</row>
    <row r="951" ht="13.5" customHeight="1">
      <c r="A951" s="118"/>
      <c r="B951" s="118"/>
      <c r="C951" s="118"/>
      <c r="D951" s="118"/>
      <c r="E951" s="118"/>
      <c r="F951" s="118"/>
      <c r="G951" s="118"/>
      <c r="H951" s="118"/>
      <c r="I951" s="118"/>
      <c r="J951" s="118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</row>
    <row r="952" ht="13.5" customHeight="1">
      <c r="A952" s="118"/>
      <c r="B952" s="118"/>
      <c r="C952" s="118"/>
      <c r="D952" s="118"/>
      <c r="E952" s="118"/>
      <c r="F952" s="118"/>
      <c r="G952" s="118"/>
      <c r="H952" s="118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</row>
    <row r="953" ht="13.5" customHeight="1">
      <c r="A953" s="118"/>
      <c r="B953" s="118"/>
      <c r="C953" s="118"/>
      <c r="D953" s="118"/>
      <c r="E953" s="118"/>
      <c r="F953" s="118"/>
      <c r="G953" s="118"/>
      <c r="H953" s="118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</row>
    <row r="954" ht="13.5" customHeight="1">
      <c r="A954" s="118"/>
      <c r="B954" s="118"/>
      <c r="C954" s="118"/>
      <c r="D954" s="118"/>
      <c r="E954" s="118"/>
      <c r="F954" s="118"/>
      <c r="G954" s="118"/>
      <c r="H954" s="118"/>
      <c r="I954" s="118"/>
      <c r="J954" s="118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</row>
    <row r="955" ht="13.5" customHeight="1">
      <c r="A955" s="118"/>
      <c r="B955" s="118"/>
      <c r="C955" s="118"/>
      <c r="D955" s="118"/>
      <c r="E955" s="118"/>
      <c r="F955" s="118"/>
      <c r="G955" s="118"/>
      <c r="H955" s="118"/>
      <c r="I955" s="118"/>
      <c r="J955" s="118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</row>
    <row r="956" ht="13.5" customHeight="1">
      <c r="A956" s="118"/>
      <c r="B956" s="118"/>
      <c r="C956" s="118"/>
      <c r="D956" s="118"/>
      <c r="E956" s="118"/>
      <c r="F956" s="118"/>
      <c r="G956" s="118"/>
      <c r="H956" s="118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</row>
    <row r="957" ht="13.5" customHeight="1">
      <c r="A957" s="118"/>
      <c r="B957" s="118"/>
      <c r="C957" s="118"/>
      <c r="D957" s="118"/>
      <c r="E957" s="118"/>
      <c r="F957" s="118"/>
      <c r="G957" s="118"/>
      <c r="H957" s="118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</row>
    <row r="958" ht="13.5" customHeight="1">
      <c r="A958" s="118"/>
      <c r="B958" s="118"/>
      <c r="C958" s="118"/>
      <c r="D958" s="118"/>
      <c r="E958" s="118"/>
      <c r="F958" s="118"/>
      <c r="G958" s="118"/>
      <c r="H958" s="118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</row>
    <row r="959" ht="13.5" customHeight="1">
      <c r="A959" s="118"/>
      <c r="B959" s="118"/>
      <c r="C959" s="118"/>
      <c r="D959" s="118"/>
      <c r="E959" s="118"/>
      <c r="F959" s="118"/>
      <c r="G959" s="118"/>
      <c r="H959" s="118"/>
      <c r="I959" s="118"/>
      <c r="J959" s="118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</row>
    <row r="960" ht="13.5" customHeight="1">
      <c r="A960" s="118"/>
      <c r="B960" s="118"/>
      <c r="C960" s="118"/>
      <c r="D960" s="118"/>
      <c r="E960" s="118"/>
      <c r="F960" s="118"/>
      <c r="G960" s="118"/>
      <c r="H960" s="118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</row>
    <row r="961" ht="13.5" customHeight="1">
      <c r="A961" s="118"/>
      <c r="B961" s="118"/>
      <c r="C961" s="118"/>
      <c r="D961" s="118"/>
      <c r="E961" s="118"/>
      <c r="F961" s="118"/>
      <c r="G961" s="118"/>
      <c r="H961" s="118"/>
      <c r="I961" s="118"/>
      <c r="J961" s="118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</row>
    <row r="962" ht="13.5" customHeight="1">
      <c r="A962" s="118"/>
      <c r="B962" s="118"/>
      <c r="C962" s="118"/>
      <c r="D962" s="118"/>
      <c r="E962" s="118"/>
      <c r="F962" s="118"/>
      <c r="G962" s="118"/>
      <c r="H962" s="118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</row>
    <row r="963" ht="13.5" customHeight="1">
      <c r="A963" s="118"/>
      <c r="B963" s="118"/>
      <c r="C963" s="118"/>
      <c r="D963" s="118"/>
      <c r="E963" s="118"/>
      <c r="F963" s="118"/>
      <c r="G963" s="118"/>
      <c r="H963" s="118"/>
      <c r="I963" s="118"/>
      <c r="J963" s="118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</row>
    <row r="964" ht="13.5" customHeight="1">
      <c r="A964" s="118"/>
      <c r="B964" s="118"/>
      <c r="C964" s="118"/>
      <c r="D964" s="118"/>
      <c r="E964" s="118"/>
      <c r="F964" s="118"/>
      <c r="G964" s="118"/>
      <c r="H964" s="118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</row>
    <row r="965" ht="13.5" customHeight="1">
      <c r="A965" s="118"/>
      <c r="B965" s="118"/>
      <c r="C965" s="118"/>
      <c r="D965" s="118"/>
      <c r="E965" s="118"/>
      <c r="F965" s="118"/>
      <c r="G965" s="118"/>
      <c r="H965" s="118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</row>
    <row r="966" ht="13.5" customHeight="1">
      <c r="A966" s="118"/>
      <c r="B966" s="118"/>
      <c r="C966" s="118"/>
      <c r="D966" s="118"/>
      <c r="E966" s="118"/>
      <c r="F966" s="118"/>
      <c r="G966" s="118"/>
      <c r="H966" s="118"/>
      <c r="I966" s="118"/>
      <c r="J966" s="118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</row>
    <row r="967" ht="13.5" customHeight="1">
      <c r="A967" s="118"/>
      <c r="B967" s="118"/>
      <c r="C967" s="118"/>
      <c r="D967" s="118"/>
      <c r="E967" s="118"/>
      <c r="F967" s="118"/>
      <c r="G967" s="118"/>
      <c r="H967" s="118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</row>
    <row r="968" ht="13.5" customHeight="1">
      <c r="A968" s="118"/>
      <c r="B968" s="118"/>
      <c r="C968" s="118"/>
      <c r="D968" s="118"/>
      <c r="E968" s="118"/>
      <c r="F968" s="118"/>
      <c r="G968" s="118"/>
      <c r="H968" s="118"/>
      <c r="I968" s="118"/>
      <c r="J968" s="118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</row>
    <row r="969" ht="13.5" customHeight="1">
      <c r="A969" s="118"/>
      <c r="B969" s="118"/>
      <c r="C969" s="118"/>
      <c r="D969" s="118"/>
      <c r="E969" s="118"/>
      <c r="F969" s="118"/>
      <c r="G969" s="118"/>
      <c r="H969" s="118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</row>
    <row r="970" ht="13.5" customHeight="1">
      <c r="A970" s="118"/>
      <c r="B970" s="118"/>
      <c r="C970" s="118"/>
      <c r="D970" s="118"/>
      <c r="E970" s="118"/>
      <c r="F970" s="118"/>
      <c r="G970" s="118"/>
      <c r="H970" s="118"/>
      <c r="I970" s="118"/>
      <c r="J970" s="118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</row>
    <row r="971" ht="13.5" customHeight="1">
      <c r="A971" s="118"/>
      <c r="B971" s="118"/>
      <c r="C971" s="118"/>
      <c r="D971" s="118"/>
      <c r="E971" s="118"/>
      <c r="F971" s="118"/>
      <c r="G971" s="118"/>
      <c r="H971" s="118"/>
      <c r="I971" s="118"/>
      <c r="J971" s="118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</row>
    <row r="972" ht="13.5" customHeight="1">
      <c r="A972" s="118"/>
      <c r="B972" s="118"/>
      <c r="C972" s="118"/>
      <c r="D972" s="118"/>
      <c r="E972" s="118"/>
      <c r="F972" s="118"/>
      <c r="G972" s="118"/>
      <c r="H972" s="118"/>
      <c r="I972" s="118"/>
      <c r="J972" s="118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</row>
    <row r="973" ht="13.5" customHeight="1">
      <c r="A973" s="118"/>
      <c r="B973" s="118"/>
      <c r="C973" s="118"/>
      <c r="D973" s="118"/>
      <c r="E973" s="118"/>
      <c r="F973" s="118"/>
      <c r="G973" s="118"/>
      <c r="H973" s="118"/>
      <c r="I973" s="118"/>
      <c r="J973" s="118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</row>
    <row r="974" ht="13.5" customHeight="1">
      <c r="A974" s="118"/>
      <c r="B974" s="118"/>
      <c r="C974" s="118"/>
      <c r="D974" s="118"/>
      <c r="E974" s="118"/>
      <c r="F974" s="118"/>
      <c r="G974" s="118"/>
      <c r="H974" s="118"/>
      <c r="I974" s="118"/>
      <c r="J974" s="118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</row>
    <row r="975" ht="13.5" customHeight="1">
      <c r="A975" s="118"/>
      <c r="B975" s="118"/>
      <c r="C975" s="118"/>
      <c r="D975" s="118"/>
      <c r="E975" s="118"/>
      <c r="F975" s="118"/>
      <c r="G975" s="118"/>
      <c r="H975" s="118"/>
      <c r="I975" s="118"/>
      <c r="J975" s="118"/>
      <c r="K975" s="118"/>
      <c r="L975" s="118"/>
      <c r="M975" s="118"/>
      <c r="N975" s="118"/>
      <c r="O975" s="118"/>
      <c r="P975" s="118"/>
      <c r="Q975" s="118"/>
      <c r="R975" s="118"/>
      <c r="S975" s="118"/>
      <c r="T975" s="118"/>
      <c r="U975" s="118"/>
      <c r="V975" s="118"/>
      <c r="W975" s="118"/>
      <c r="X975" s="118"/>
      <c r="Y975" s="118"/>
      <c r="Z975" s="118"/>
    </row>
    <row r="976" ht="13.5" customHeight="1">
      <c r="A976" s="118"/>
      <c r="B976" s="118"/>
      <c r="C976" s="118"/>
      <c r="D976" s="118"/>
      <c r="E976" s="118"/>
      <c r="F976" s="118"/>
      <c r="G976" s="118"/>
      <c r="H976" s="118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18"/>
      <c r="V976" s="118"/>
      <c r="W976" s="118"/>
      <c r="X976" s="118"/>
      <c r="Y976" s="118"/>
      <c r="Z976" s="118"/>
    </row>
    <row r="977" ht="13.5" customHeight="1">
      <c r="A977" s="118"/>
      <c r="B977" s="118"/>
      <c r="C977" s="118"/>
      <c r="D977" s="118"/>
      <c r="E977" s="118"/>
      <c r="F977" s="118"/>
      <c r="G977" s="118"/>
      <c r="H977" s="118"/>
      <c r="I977" s="118"/>
      <c r="J977" s="118"/>
      <c r="K977" s="118"/>
      <c r="L977" s="118"/>
      <c r="M977" s="118"/>
      <c r="N977" s="118"/>
      <c r="O977" s="118"/>
      <c r="P977" s="118"/>
      <c r="Q977" s="118"/>
      <c r="R977" s="118"/>
      <c r="S977" s="118"/>
      <c r="T977" s="118"/>
      <c r="U977" s="118"/>
      <c r="V977" s="118"/>
      <c r="W977" s="118"/>
      <c r="X977" s="118"/>
      <c r="Y977" s="118"/>
      <c r="Z977" s="118"/>
    </row>
    <row r="978" ht="13.5" customHeight="1">
      <c r="A978" s="118"/>
      <c r="B978" s="118"/>
      <c r="C978" s="118"/>
      <c r="D978" s="118"/>
      <c r="E978" s="118"/>
      <c r="F978" s="118"/>
      <c r="G978" s="118"/>
      <c r="H978" s="118"/>
      <c r="I978" s="118"/>
      <c r="J978" s="118"/>
      <c r="K978" s="118"/>
      <c r="L978" s="118"/>
      <c r="M978" s="118"/>
      <c r="N978" s="118"/>
      <c r="O978" s="118"/>
      <c r="P978" s="118"/>
      <c r="Q978" s="118"/>
      <c r="R978" s="118"/>
      <c r="S978" s="118"/>
      <c r="T978" s="118"/>
      <c r="U978" s="118"/>
      <c r="V978" s="118"/>
      <c r="W978" s="118"/>
      <c r="X978" s="118"/>
      <c r="Y978" s="118"/>
      <c r="Z978" s="118"/>
    </row>
    <row r="979" ht="13.5" customHeight="1">
      <c r="A979" s="118"/>
      <c r="B979" s="118"/>
      <c r="C979" s="118"/>
      <c r="D979" s="118"/>
      <c r="E979" s="118"/>
      <c r="F979" s="118"/>
      <c r="G979" s="118"/>
      <c r="H979" s="118"/>
      <c r="I979" s="118"/>
      <c r="J979" s="118"/>
      <c r="K979" s="118"/>
      <c r="L979" s="118"/>
      <c r="M979" s="118"/>
      <c r="N979" s="118"/>
      <c r="O979" s="118"/>
      <c r="P979" s="118"/>
      <c r="Q979" s="118"/>
      <c r="R979" s="118"/>
      <c r="S979" s="118"/>
      <c r="T979" s="118"/>
      <c r="U979" s="118"/>
      <c r="V979" s="118"/>
      <c r="W979" s="118"/>
      <c r="X979" s="118"/>
      <c r="Y979" s="118"/>
      <c r="Z979" s="118"/>
    </row>
    <row r="980" ht="13.5" customHeight="1">
      <c r="A980" s="118"/>
      <c r="B980" s="118"/>
      <c r="C980" s="118"/>
      <c r="D980" s="118"/>
      <c r="E980" s="118"/>
      <c r="F980" s="118"/>
      <c r="G980" s="118"/>
      <c r="H980" s="118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18"/>
      <c r="V980" s="118"/>
      <c r="W980" s="118"/>
      <c r="X980" s="118"/>
      <c r="Y980" s="118"/>
      <c r="Z980" s="118"/>
    </row>
    <row r="981" ht="13.5" customHeight="1">
      <c r="A981" s="118"/>
      <c r="B981" s="118"/>
      <c r="C981" s="118"/>
      <c r="D981" s="118"/>
      <c r="E981" s="118"/>
      <c r="F981" s="118"/>
      <c r="G981" s="118"/>
      <c r="H981" s="118"/>
      <c r="I981" s="118"/>
      <c r="J981" s="118"/>
      <c r="K981" s="118"/>
      <c r="L981" s="118"/>
      <c r="M981" s="118"/>
      <c r="N981" s="118"/>
      <c r="O981" s="118"/>
      <c r="P981" s="118"/>
      <c r="Q981" s="118"/>
      <c r="R981" s="118"/>
      <c r="S981" s="118"/>
      <c r="T981" s="118"/>
      <c r="U981" s="118"/>
      <c r="V981" s="118"/>
      <c r="W981" s="118"/>
      <c r="X981" s="118"/>
      <c r="Y981" s="118"/>
      <c r="Z981" s="118"/>
    </row>
    <row r="982" ht="13.5" customHeight="1">
      <c r="A982" s="118"/>
      <c r="B982" s="118"/>
      <c r="C982" s="118"/>
      <c r="D982" s="118"/>
      <c r="E982" s="118"/>
      <c r="F982" s="118"/>
      <c r="G982" s="118"/>
      <c r="H982" s="118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18"/>
      <c r="V982" s="118"/>
      <c r="W982" s="118"/>
      <c r="X982" s="118"/>
      <c r="Y982" s="118"/>
      <c r="Z982" s="118"/>
    </row>
    <row r="983" ht="13.5" customHeight="1">
      <c r="A983" s="118"/>
      <c r="B983" s="118"/>
      <c r="C983" s="118"/>
      <c r="D983" s="118"/>
      <c r="E983" s="118"/>
      <c r="F983" s="118"/>
      <c r="G983" s="118"/>
      <c r="H983" s="118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18"/>
      <c r="V983" s="118"/>
      <c r="W983" s="118"/>
      <c r="X983" s="118"/>
      <c r="Y983" s="118"/>
      <c r="Z983" s="118"/>
    </row>
    <row r="984" ht="13.5" customHeight="1">
      <c r="A984" s="118"/>
      <c r="B984" s="118"/>
      <c r="C984" s="118"/>
      <c r="D984" s="118"/>
      <c r="E984" s="118"/>
      <c r="F984" s="118"/>
      <c r="G984" s="118"/>
      <c r="H984" s="118"/>
      <c r="I984" s="118"/>
      <c r="J984" s="118"/>
      <c r="K984" s="118"/>
      <c r="L984" s="118"/>
      <c r="M984" s="118"/>
      <c r="N984" s="118"/>
      <c r="O984" s="118"/>
      <c r="P984" s="118"/>
      <c r="Q984" s="118"/>
      <c r="R984" s="118"/>
      <c r="S984" s="118"/>
      <c r="T984" s="118"/>
      <c r="U984" s="118"/>
      <c r="V984" s="118"/>
      <c r="W984" s="118"/>
      <c r="X984" s="118"/>
      <c r="Y984" s="118"/>
      <c r="Z984" s="118"/>
    </row>
    <row r="985" ht="13.5" customHeight="1">
      <c r="A985" s="118"/>
      <c r="B985" s="118"/>
      <c r="C985" s="118"/>
      <c r="D985" s="118"/>
      <c r="E985" s="118"/>
      <c r="F985" s="118"/>
      <c r="G985" s="118"/>
      <c r="H985" s="118"/>
      <c r="I985" s="118"/>
      <c r="J985" s="118"/>
      <c r="K985" s="118"/>
      <c r="L985" s="118"/>
      <c r="M985" s="118"/>
      <c r="N985" s="118"/>
      <c r="O985" s="118"/>
      <c r="P985" s="118"/>
      <c r="Q985" s="118"/>
      <c r="R985" s="118"/>
      <c r="S985" s="118"/>
      <c r="T985" s="118"/>
      <c r="U985" s="118"/>
      <c r="V985" s="118"/>
      <c r="W985" s="118"/>
      <c r="X985" s="118"/>
      <c r="Y985" s="118"/>
      <c r="Z985" s="118"/>
    </row>
    <row r="986" ht="13.5" customHeight="1">
      <c r="A986" s="118"/>
      <c r="B986" s="118"/>
      <c r="C986" s="118"/>
      <c r="D986" s="118"/>
      <c r="E986" s="118"/>
      <c r="F986" s="118"/>
      <c r="G986" s="118"/>
      <c r="H986" s="118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18"/>
      <c r="V986" s="118"/>
      <c r="W986" s="118"/>
      <c r="X986" s="118"/>
      <c r="Y986" s="118"/>
      <c r="Z986" s="118"/>
    </row>
    <row r="987" ht="13.5" customHeight="1">
      <c r="A987" s="118"/>
      <c r="B987" s="118"/>
      <c r="C987" s="118"/>
      <c r="D987" s="118"/>
      <c r="E987" s="118"/>
      <c r="F987" s="118"/>
      <c r="G987" s="118"/>
      <c r="H987" s="118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18"/>
      <c r="V987" s="118"/>
      <c r="W987" s="118"/>
      <c r="X987" s="118"/>
      <c r="Y987" s="118"/>
      <c r="Z987" s="118"/>
    </row>
    <row r="988" ht="13.5" customHeight="1">
      <c r="A988" s="118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8"/>
      <c r="T988" s="118"/>
      <c r="U988" s="118"/>
      <c r="V988" s="118"/>
      <c r="W988" s="118"/>
      <c r="X988" s="118"/>
      <c r="Y988" s="118"/>
      <c r="Z988" s="118"/>
    </row>
    <row r="989" ht="13.5" customHeight="1">
      <c r="A989" s="118"/>
      <c r="B989" s="118"/>
      <c r="C989" s="118"/>
      <c r="D989" s="118"/>
      <c r="E989" s="118"/>
      <c r="F989" s="118"/>
      <c r="G989" s="118"/>
      <c r="H989" s="118"/>
      <c r="I989" s="118"/>
      <c r="J989" s="118"/>
      <c r="K989" s="118"/>
      <c r="L989" s="118"/>
      <c r="M989" s="118"/>
      <c r="N989" s="118"/>
      <c r="O989" s="118"/>
      <c r="P989" s="118"/>
      <c r="Q989" s="118"/>
      <c r="R989" s="118"/>
      <c r="S989" s="118"/>
      <c r="T989" s="118"/>
      <c r="U989" s="118"/>
      <c r="V989" s="118"/>
      <c r="W989" s="118"/>
      <c r="X989" s="118"/>
      <c r="Y989" s="118"/>
      <c r="Z989" s="118"/>
    </row>
    <row r="990" ht="13.5" customHeight="1">
      <c r="A990" s="118"/>
      <c r="B990" s="118"/>
      <c r="C990" s="118"/>
      <c r="D990" s="118"/>
      <c r="E990" s="118"/>
      <c r="F990" s="118"/>
      <c r="G990" s="118"/>
      <c r="H990" s="118"/>
      <c r="I990" s="118"/>
      <c r="J990" s="118"/>
      <c r="K990" s="118"/>
      <c r="L990" s="118"/>
      <c r="M990" s="118"/>
      <c r="N990" s="118"/>
      <c r="O990" s="118"/>
      <c r="P990" s="118"/>
      <c r="Q990" s="118"/>
      <c r="R990" s="118"/>
      <c r="S990" s="118"/>
      <c r="T990" s="118"/>
      <c r="U990" s="118"/>
      <c r="V990" s="118"/>
      <c r="W990" s="118"/>
      <c r="X990" s="118"/>
      <c r="Y990" s="118"/>
      <c r="Z990" s="118"/>
    </row>
    <row r="991" ht="13.5" customHeight="1">
      <c r="A991" s="118"/>
      <c r="B991" s="118"/>
      <c r="C991" s="118"/>
      <c r="D991" s="118"/>
      <c r="E991" s="118"/>
      <c r="F991" s="118"/>
      <c r="G991" s="118"/>
      <c r="H991" s="118"/>
      <c r="I991" s="118"/>
      <c r="J991" s="118"/>
      <c r="K991" s="118"/>
      <c r="L991" s="118"/>
      <c r="M991" s="118"/>
      <c r="N991" s="118"/>
      <c r="O991" s="118"/>
      <c r="P991" s="118"/>
      <c r="Q991" s="118"/>
      <c r="R991" s="118"/>
      <c r="S991" s="118"/>
      <c r="T991" s="118"/>
      <c r="U991" s="118"/>
      <c r="V991" s="118"/>
      <c r="W991" s="118"/>
      <c r="X991" s="118"/>
      <c r="Y991" s="118"/>
      <c r="Z991" s="118"/>
    </row>
    <row r="992" ht="13.5" customHeight="1">
      <c r="A992" s="118"/>
      <c r="B992" s="118"/>
      <c r="C992" s="118"/>
      <c r="D992" s="118"/>
      <c r="E992" s="118"/>
      <c r="F992" s="118"/>
      <c r="G992" s="118"/>
      <c r="H992" s="118"/>
      <c r="I992" s="118"/>
      <c r="J992" s="118"/>
      <c r="K992" s="118"/>
      <c r="L992" s="118"/>
      <c r="M992" s="118"/>
      <c r="N992" s="118"/>
      <c r="O992" s="118"/>
      <c r="P992" s="118"/>
      <c r="Q992" s="118"/>
      <c r="R992" s="118"/>
      <c r="S992" s="118"/>
      <c r="T992" s="118"/>
      <c r="U992" s="118"/>
      <c r="V992" s="118"/>
      <c r="W992" s="118"/>
      <c r="X992" s="118"/>
      <c r="Y992" s="118"/>
      <c r="Z992" s="118"/>
    </row>
    <row r="993" ht="13.5" customHeight="1">
      <c r="A993" s="118"/>
      <c r="B993" s="118"/>
      <c r="C993" s="118"/>
      <c r="D993" s="118"/>
      <c r="E993" s="118"/>
      <c r="F993" s="118"/>
      <c r="G993" s="118"/>
      <c r="H993" s="118"/>
      <c r="I993" s="118"/>
      <c r="J993" s="118"/>
      <c r="K993" s="118"/>
      <c r="L993" s="118"/>
      <c r="M993" s="118"/>
      <c r="N993" s="118"/>
      <c r="O993" s="118"/>
      <c r="P993" s="118"/>
      <c r="Q993" s="118"/>
      <c r="R993" s="118"/>
      <c r="S993" s="118"/>
      <c r="T993" s="118"/>
      <c r="U993" s="118"/>
      <c r="V993" s="118"/>
      <c r="W993" s="118"/>
      <c r="X993" s="118"/>
      <c r="Y993" s="118"/>
      <c r="Z993" s="118"/>
    </row>
    <row r="994" ht="13.5" customHeight="1">
      <c r="A994" s="118"/>
      <c r="B994" s="118"/>
      <c r="C994" s="118"/>
      <c r="D994" s="118"/>
      <c r="E994" s="118"/>
      <c r="F994" s="118"/>
      <c r="G994" s="118"/>
      <c r="H994" s="118"/>
      <c r="I994" s="118"/>
      <c r="J994" s="118"/>
      <c r="K994" s="118"/>
      <c r="L994" s="118"/>
      <c r="M994" s="118"/>
      <c r="N994" s="118"/>
      <c r="O994" s="118"/>
      <c r="P994" s="118"/>
      <c r="Q994" s="118"/>
      <c r="R994" s="118"/>
      <c r="S994" s="118"/>
      <c r="T994" s="118"/>
      <c r="U994" s="118"/>
      <c r="V994" s="118"/>
      <c r="W994" s="118"/>
      <c r="X994" s="118"/>
      <c r="Y994" s="118"/>
      <c r="Z994" s="118"/>
    </row>
    <row r="995" ht="13.5" customHeight="1">
      <c r="A995" s="118"/>
      <c r="B995" s="118"/>
      <c r="C995" s="118"/>
      <c r="D995" s="118"/>
      <c r="E995" s="118"/>
      <c r="F995" s="118"/>
      <c r="G995" s="118"/>
      <c r="H995" s="118"/>
      <c r="I995" s="118"/>
      <c r="J995" s="118"/>
      <c r="K995" s="118"/>
      <c r="L995" s="118"/>
      <c r="M995" s="118"/>
      <c r="N995" s="118"/>
      <c r="O995" s="118"/>
      <c r="P995" s="118"/>
      <c r="Q995" s="118"/>
      <c r="R995" s="118"/>
      <c r="S995" s="118"/>
      <c r="T995" s="118"/>
      <c r="U995" s="118"/>
      <c r="V995" s="118"/>
      <c r="W995" s="118"/>
      <c r="X995" s="118"/>
      <c r="Y995" s="118"/>
      <c r="Z995" s="118"/>
    </row>
    <row r="996" ht="13.5" customHeight="1">
      <c r="A996" s="118"/>
      <c r="B996" s="118"/>
      <c r="C996" s="118"/>
      <c r="D996" s="118"/>
      <c r="E996" s="118"/>
      <c r="F996" s="118"/>
      <c r="G996" s="118"/>
      <c r="H996" s="118"/>
      <c r="I996" s="118"/>
      <c r="J996" s="118"/>
      <c r="K996" s="118"/>
      <c r="L996" s="118"/>
      <c r="M996" s="118"/>
      <c r="N996" s="118"/>
      <c r="O996" s="118"/>
      <c r="P996" s="118"/>
      <c r="Q996" s="118"/>
      <c r="R996" s="118"/>
      <c r="S996" s="118"/>
      <c r="T996" s="118"/>
      <c r="U996" s="118"/>
      <c r="V996" s="118"/>
      <c r="W996" s="118"/>
      <c r="X996" s="118"/>
      <c r="Y996" s="118"/>
      <c r="Z996" s="118"/>
    </row>
    <row r="997" ht="13.5" customHeight="1">
      <c r="A997" s="118"/>
      <c r="B997" s="118"/>
      <c r="C997" s="118"/>
      <c r="D997" s="118"/>
      <c r="E997" s="118"/>
      <c r="F997" s="118"/>
      <c r="G997" s="118"/>
      <c r="H997" s="118"/>
      <c r="I997" s="118"/>
      <c r="J997" s="118"/>
      <c r="K997" s="118"/>
      <c r="L997" s="118"/>
      <c r="M997" s="118"/>
      <c r="N997" s="118"/>
      <c r="O997" s="118"/>
      <c r="P997" s="118"/>
      <c r="Q997" s="118"/>
      <c r="R997" s="118"/>
      <c r="S997" s="118"/>
      <c r="T997" s="118"/>
      <c r="U997" s="118"/>
      <c r="V997" s="118"/>
      <c r="W997" s="118"/>
      <c r="X997" s="118"/>
      <c r="Y997" s="118"/>
      <c r="Z997" s="118"/>
    </row>
    <row r="998" ht="13.5" customHeight="1">
      <c r="A998" s="118"/>
      <c r="B998" s="118"/>
      <c r="C998" s="118"/>
      <c r="D998" s="118"/>
      <c r="E998" s="118"/>
      <c r="F998" s="118"/>
      <c r="G998" s="118"/>
      <c r="H998" s="118"/>
      <c r="I998" s="118"/>
      <c r="J998" s="118"/>
      <c r="K998" s="118"/>
      <c r="L998" s="118"/>
      <c r="M998" s="118"/>
      <c r="N998" s="118"/>
      <c r="O998" s="118"/>
      <c r="P998" s="118"/>
      <c r="Q998" s="118"/>
      <c r="R998" s="118"/>
      <c r="S998" s="118"/>
      <c r="T998" s="118"/>
      <c r="U998" s="118"/>
      <c r="V998" s="118"/>
      <c r="W998" s="118"/>
      <c r="X998" s="118"/>
      <c r="Y998" s="118"/>
      <c r="Z998" s="118"/>
    </row>
    <row r="999" ht="13.5" customHeight="1">
      <c r="A999" s="118"/>
      <c r="B999" s="118"/>
      <c r="C999" s="118"/>
      <c r="D999" s="118"/>
      <c r="E999" s="118"/>
      <c r="F999" s="118"/>
      <c r="G999" s="118"/>
      <c r="H999" s="118"/>
      <c r="I999" s="118"/>
      <c r="J999" s="118"/>
      <c r="K999" s="118"/>
      <c r="L999" s="118"/>
      <c r="M999" s="118"/>
      <c r="N999" s="118"/>
      <c r="O999" s="118"/>
      <c r="P999" s="118"/>
      <c r="Q999" s="118"/>
      <c r="R999" s="118"/>
      <c r="S999" s="118"/>
      <c r="T999" s="118"/>
      <c r="U999" s="118"/>
      <c r="V999" s="118"/>
      <c r="W999" s="118"/>
      <c r="X999" s="118"/>
      <c r="Y999" s="118"/>
      <c r="Z999" s="118"/>
    </row>
    <row r="1000" ht="13.5" customHeight="1">
      <c r="A1000" s="118"/>
      <c r="B1000" s="118"/>
      <c r="C1000" s="118"/>
      <c r="D1000" s="118"/>
      <c r="E1000" s="118"/>
      <c r="F1000" s="118"/>
      <c r="G1000" s="118"/>
      <c r="H1000" s="118"/>
      <c r="I1000" s="118"/>
      <c r="J1000" s="118"/>
      <c r="K1000" s="118"/>
      <c r="L1000" s="118"/>
      <c r="M1000" s="118"/>
      <c r="N1000" s="118"/>
      <c r="O1000" s="118"/>
      <c r="P1000" s="118"/>
      <c r="Q1000" s="118"/>
      <c r="R1000" s="118"/>
      <c r="S1000" s="118"/>
      <c r="T1000" s="118"/>
      <c r="U1000" s="118"/>
      <c r="V1000" s="118"/>
      <c r="W1000" s="118"/>
      <c r="X1000" s="118"/>
      <c r="Y1000" s="118"/>
      <c r="Z1000" s="118"/>
    </row>
  </sheetData>
  <conditionalFormatting sqref="A2:J5 A6:C6 A7:J13 A16:B21 A20:J21 C16:J19 H6:J6 J16:J21">
    <cfRule type="expression" dxfId="0" priority="1">
      <formula>ISEVEN(ROW())</formula>
    </cfRule>
  </conditionalFormatting>
  <conditionalFormatting sqref="A14:J15">
    <cfRule type="expression" dxfId="0" priority="2">
      <formula>ISEVEN(ROW())</formula>
    </cfRule>
  </conditionalFormatting>
  <conditionalFormatting sqref="D6:G6">
    <cfRule type="expression" dxfId="0" priority="3">
      <formula>ISEVEN(ROW())</formula>
    </cfRule>
  </conditionalFormatting>
  <dataValidations>
    <dataValidation type="list" allowBlank="1" showDropDown="1" sqref="G2:G21">
      <formula1>"43101.0,1-N,0-1,0-N"</formula1>
    </dataValidation>
    <dataValidation type="list" allowBlank="1" showDropDown="1" sqref="E2:E21">
      <formula1>"E,G,CE,CG,A"</formula1>
    </dataValidation>
  </dataValidations>
  <printOptions/>
  <pageMargins bottom="0.75" footer="0.0" header="0.0" left="0.25" right="0.25" top="0.75"/>
  <pageSetup fitToHeight="0"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0"/>
    <col customWidth="1" min="2" max="2" width="65.29"/>
    <col customWidth="1" min="3" max="3" width="24.43"/>
    <col customWidth="1" min="4" max="4" width="20.86"/>
    <col customWidth="1" min="5" max="5" width="13.71"/>
    <col customWidth="1" min="6" max="6" width="20.86"/>
    <col customWidth="1" min="7" max="7" width="58.0"/>
    <col customWidth="1" min="8" max="8" width="24.43"/>
    <col customWidth="1" min="9" max="9" width="9.14"/>
    <col customWidth="1" min="10" max="28" width="8.71"/>
  </cols>
  <sheetData>
    <row r="1" ht="13.5" customHeight="1">
      <c r="A1" s="118"/>
      <c r="B1" s="138"/>
      <c r="C1" s="139"/>
      <c r="D1" s="140" t="s">
        <v>1255</v>
      </c>
      <c r="E1" s="141"/>
      <c r="F1" s="141"/>
      <c r="G1" s="142"/>
      <c r="H1" s="143" t="str">
        <f>HYPERLINK("https://desenvolvedores.migrate.com.br/2018/01/03/consulta-de-naturezas-da-operacao-via-web-service/","Link consulta via WS")</f>
        <v>Link consulta via WS</v>
      </c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</row>
    <row r="2" ht="13.5" customHeight="1">
      <c r="A2" s="144" t="s">
        <v>1256</v>
      </c>
      <c r="B2" s="145"/>
      <c r="C2" s="139"/>
      <c r="D2" s="146" t="s">
        <v>1257</v>
      </c>
      <c r="E2" s="141"/>
      <c r="F2" s="141"/>
      <c r="G2" s="141"/>
      <c r="H2" s="147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  <c r="AA2" s="118"/>
      <c r="AB2" s="118"/>
    </row>
    <row r="3" ht="13.5" customHeight="1">
      <c r="A3" s="148" t="s">
        <v>1258</v>
      </c>
      <c r="B3" s="149" t="s">
        <v>3</v>
      </c>
      <c r="C3" s="139"/>
      <c r="D3" s="150" t="s">
        <v>1259</v>
      </c>
      <c r="E3" s="148" t="s">
        <v>1260</v>
      </c>
      <c r="F3" s="151" t="s">
        <v>1261</v>
      </c>
      <c r="G3" s="152" t="s">
        <v>3</v>
      </c>
      <c r="H3" s="148" t="s">
        <v>1262</v>
      </c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</row>
    <row r="4" ht="13.5" customHeight="1">
      <c r="A4" s="153">
        <v>1.0</v>
      </c>
      <c r="B4" s="154" t="s">
        <v>1263</v>
      </c>
      <c r="C4" s="155"/>
      <c r="D4" s="156" t="s">
        <v>1264</v>
      </c>
      <c r="E4" s="153">
        <v>0.0</v>
      </c>
      <c r="F4" s="157">
        <v>1.0</v>
      </c>
      <c r="G4" s="158" t="s">
        <v>1265</v>
      </c>
      <c r="H4" s="153">
        <v>1.0</v>
      </c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</row>
    <row r="5" ht="13.5" customHeight="1">
      <c r="A5" s="153">
        <v>2.0</v>
      </c>
      <c r="B5" s="154" t="s">
        <v>1266</v>
      </c>
      <c r="C5" s="155"/>
      <c r="D5" s="156" t="s">
        <v>1264</v>
      </c>
      <c r="E5" s="153">
        <v>0.0</v>
      </c>
      <c r="F5" s="157">
        <v>2.0</v>
      </c>
      <c r="G5" s="158" t="s">
        <v>1267</v>
      </c>
      <c r="H5" s="153">
        <v>4.0</v>
      </c>
      <c r="I5" s="118"/>
      <c r="J5" s="118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</row>
    <row r="6" ht="13.5" customHeight="1">
      <c r="A6" s="153">
        <v>3.0</v>
      </c>
      <c r="B6" s="154" t="s">
        <v>1268</v>
      </c>
      <c r="C6" s="155"/>
      <c r="D6" s="156" t="s">
        <v>1264</v>
      </c>
      <c r="E6" s="153">
        <v>0.0</v>
      </c>
      <c r="F6" s="157">
        <v>3.0</v>
      </c>
      <c r="G6" s="158" t="s">
        <v>1268</v>
      </c>
      <c r="H6" s="153">
        <v>2.0</v>
      </c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  <c r="Y6" s="118"/>
      <c r="Z6" s="118"/>
      <c r="AA6" s="118"/>
      <c r="AB6" s="118"/>
    </row>
    <row r="7" ht="13.5" customHeight="1">
      <c r="A7" s="153">
        <v>4.0</v>
      </c>
      <c r="B7" s="154" t="s">
        <v>1269</v>
      </c>
      <c r="C7" s="155"/>
      <c r="D7" s="156" t="s">
        <v>1264</v>
      </c>
      <c r="E7" s="153">
        <v>0.0</v>
      </c>
      <c r="F7" s="157">
        <v>4.0</v>
      </c>
      <c r="G7" s="158" t="s">
        <v>1270</v>
      </c>
      <c r="H7" s="153">
        <v>3.0</v>
      </c>
      <c r="I7" s="118"/>
      <c r="J7" s="118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</row>
    <row r="8" ht="13.5" customHeight="1">
      <c r="A8" s="153">
        <v>5.0</v>
      </c>
      <c r="B8" s="154" t="s">
        <v>1271</v>
      </c>
      <c r="C8" s="155"/>
      <c r="D8" s="156" t="s">
        <v>1264</v>
      </c>
      <c r="E8" s="153">
        <v>4314100.0</v>
      </c>
      <c r="F8" s="157">
        <v>64.0</v>
      </c>
      <c r="G8" s="158" t="s">
        <v>1272</v>
      </c>
      <c r="H8" s="153">
        <v>69.0</v>
      </c>
      <c r="I8" s="118"/>
      <c r="J8" s="118"/>
      <c r="K8" s="118"/>
      <c r="L8" s="118"/>
      <c r="M8" s="118"/>
      <c r="N8" s="118"/>
      <c r="O8" s="118"/>
      <c r="P8" s="118"/>
      <c r="Q8" s="118"/>
      <c r="R8" s="118"/>
      <c r="S8" s="118"/>
      <c r="T8" s="118"/>
      <c r="U8" s="118"/>
      <c r="V8" s="118"/>
      <c r="W8" s="118"/>
      <c r="X8" s="118"/>
      <c r="Y8" s="118"/>
      <c r="Z8" s="118"/>
      <c r="AA8" s="118"/>
      <c r="AB8" s="118"/>
    </row>
    <row r="9" ht="13.5" customHeight="1">
      <c r="A9" s="153">
        <v>6.0</v>
      </c>
      <c r="B9" s="154" t="s">
        <v>1273</v>
      </c>
      <c r="C9" s="155"/>
      <c r="D9" s="156" t="s">
        <v>1264</v>
      </c>
      <c r="E9" s="153">
        <v>4314100.0</v>
      </c>
      <c r="F9" s="157">
        <v>69.0</v>
      </c>
      <c r="G9" s="158" t="s">
        <v>1272</v>
      </c>
      <c r="H9" s="153">
        <v>69.0</v>
      </c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</row>
    <row r="10" ht="13.5" customHeight="1">
      <c r="A10" s="153">
        <v>7.0</v>
      </c>
      <c r="B10" s="154" t="s">
        <v>1274</v>
      </c>
      <c r="C10" s="155"/>
      <c r="D10" s="156" t="s">
        <v>1275</v>
      </c>
      <c r="E10" s="153">
        <v>0.0</v>
      </c>
      <c r="F10" s="157">
        <v>1.0</v>
      </c>
      <c r="G10" s="158" t="s">
        <v>1263</v>
      </c>
      <c r="H10" s="153">
        <v>1.0</v>
      </c>
      <c r="I10" s="118"/>
      <c r="J10" s="118"/>
      <c r="K10" s="118"/>
      <c r="L10" s="118"/>
      <c r="M10" s="118"/>
      <c r="N10" s="118"/>
      <c r="O10" s="118"/>
      <c r="P10" s="118"/>
      <c r="Q10" s="118"/>
      <c r="R10" s="118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</row>
    <row r="11" ht="13.5" customHeight="1">
      <c r="A11" s="153">
        <v>8.0</v>
      </c>
      <c r="B11" s="154" t="s">
        <v>1276</v>
      </c>
      <c r="C11" s="155"/>
      <c r="D11" s="156" t="s">
        <v>1275</v>
      </c>
      <c r="E11" s="153">
        <v>0.0</v>
      </c>
      <c r="F11" s="157">
        <v>2.0</v>
      </c>
      <c r="G11" s="158" t="s">
        <v>1266</v>
      </c>
      <c r="H11" s="153">
        <v>2.0</v>
      </c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</row>
    <row r="12" ht="13.5" customHeight="1">
      <c r="A12" s="153">
        <v>9.0</v>
      </c>
      <c r="B12" s="154" t="s">
        <v>1277</v>
      </c>
      <c r="C12" s="155"/>
      <c r="D12" s="156" t="s">
        <v>1275</v>
      </c>
      <c r="E12" s="153">
        <v>0.0</v>
      </c>
      <c r="F12" s="157">
        <v>3.0</v>
      </c>
      <c r="G12" s="158" t="s">
        <v>1268</v>
      </c>
      <c r="H12" s="153">
        <v>3.0</v>
      </c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</row>
    <row r="13" ht="13.5" customHeight="1">
      <c r="A13" s="153">
        <v>10.0</v>
      </c>
      <c r="B13" s="154" t="s">
        <v>1278</v>
      </c>
      <c r="C13" s="155"/>
      <c r="D13" s="156" t="s">
        <v>1275</v>
      </c>
      <c r="E13" s="153">
        <v>0.0</v>
      </c>
      <c r="F13" s="157">
        <v>4.0</v>
      </c>
      <c r="G13" s="158" t="s">
        <v>1269</v>
      </c>
      <c r="H13" s="153">
        <v>4.0</v>
      </c>
      <c r="I13" s="118"/>
      <c r="J13" s="118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</row>
    <row r="14" ht="13.5" customHeight="1">
      <c r="A14" s="153">
        <v>11.0</v>
      </c>
      <c r="B14" s="154" t="s">
        <v>1279</v>
      </c>
      <c r="C14" s="155"/>
      <c r="D14" s="156" t="s">
        <v>1275</v>
      </c>
      <c r="E14" s="153">
        <v>0.0</v>
      </c>
      <c r="F14" s="157">
        <v>5.0</v>
      </c>
      <c r="G14" s="158" t="s">
        <v>1271</v>
      </c>
      <c r="H14" s="153">
        <v>5.0</v>
      </c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</row>
    <row r="15" ht="13.5" customHeight="1">
      <c r="A15" s="153">
        <v>12.0</v>
      </c>
      <c r="B15" s="154" t="s">
        <v>1280</v>
      </c>
      <c r="C15" s="155"/>
      <c r="D15" s="156" t="s">
        <v>1275</v>
      </c>
      <c r="E15" s="153">
        <v>0.0</v>
      </c>
      <c r="F15" s="157">
        <v>6.0</v>
      </c>
      <c r="G15" s="158" t="s">
        <v>1273</v>
      </c>
      <c r="H15" s="153">
        <v>6.0</v>
      </c>
      <c r="I15" s="118"/>
      <c r="J15" s="118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</row>
    <row r="16" ht="13.5" customHeight="1">
      <c r="A16" s="153">
        <v>13.0</v>
      </c>
      <c r="B16" s="154" t="s">
        <v>1281</v>
      </c>
      <c r="C16" s="155"/>
      <c r="D16" s="156" t="s">
        <v>1282</v>
      </c>
      <c r="E16" s="153">
        <v>0.0</v>
      </c>
      <c r="F16" s="157">
        <v>3.0</v>
      </c>
      <c r="G16" s="158" t="s">
        <v>1268</v>
      </c>
      <c r="H16" s="153">
        <v>3.0</v>
      </c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</row>
    <row r="17" ht="13.5" customHeight="1">
      <c r="A17" s="153">
        <v>14.0</v>
      </c>
      <c r="B17" s="154" t="s">
        <v>1283</v>
      </c>
      <c r="C17" s="155"/>
      <c r="D17" s="156" t="s">
        <v>1282</v>
      </c>
      <c r="E17" s="153">
        <v>0.0</v>
      </c>
      <c r="F17" s="157">
        <v>4.0</v>
      </c>
      <c r="G17" s="158" t="s">
        <v>1270</v>
      </c>
      <c r="H17" s="153">
        <v>5.0</v>
      </c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</row>
    <row r="18" ht="13.5" customHeight="1">
      <c r="A18" s="153">
        <v>15.0</v>
      </c>
      <c r="B18" s="154" t="s">
        <v>1284</v>
      </c>
      <c r="C18" s="155"/>
      <c r="D18" s="156" t="s">
        <v>1282</v>
      </c>
      <c r="E18" s="153">
        <v>0.0</v>
      </c>
      <c r="F18" s="157">
        <v>5.0</v>
      </c>
      <c r="G18" s="158" t="s">
        <v>1271</v>
      </c>
      <c r="H18" s="153">
        <v>6.0</v>
      </c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</row>
    <row r="19" ht="13.5" customHeight="1">
      <c r="A19" s="153">
        <v>16.0</v>
      </c>
      <c r="B19" s="154" t="s">
        <v>1285</v>
      </c>
      <c r="C19" s="155"/>
      <c r="D19" s="156" t="s">
        <v>1282</v>
      </c>
      <c r="E19" s="153">
        <v>0.0</v>
      </c>
      <c r="F19" s="157">
        <v>6.0</v>
      </c>
      <c r="G19" s="158" t="s">
        <v>1273</v>
      </c>
      <c r="H19" s="153">
        <v>7.0</v>
      </c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</row>
    <row r="20" ht="13.5" customHeight="1">
      <c r="A20" s="153">
        <v>17.0</v>
      </c>
      <c r="B20" s="154" t="s">
        <v>1286</v>
      </c>
      <c r="C20" s="155"/>
      <c r="D20" s="156" t="s">
        <v>1282</v>
      </c>
      <c r="E20" s="153">
        <v>0.0</v>
      </c>
      <c r="F20" s="157">
        <v>7.0</v>
      </c>
      <c r="G20" s="158" t="s">
        <v>1274</v>
      </c>
      <c r="H20" s="153">
        <v>1.0</v>
      </c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</row>
    <row r="21" ht="15.75" customHeight="1">
      <c r="A21" s="153">
        <v>18.0</v>
      </c>
      <c r="B21" s="154" t="s">
        <v>1287</v>
      </c>
      <c r="C21" s="155"/>
      <c r="D21" s="156" t="s">
        <v>1282</v>
      </c>
      <c r="E21" s="153">
        <v>0.0</v>
      </c>
      <c r="F21" s="157">
        <v>8.0</v>
      </c>
      <c r="G21" s="158" t="s">
        <v>1276</v>
      </c>
      <c r="H21" s="153">
        <v>2.0</v>
      </c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</row>
    <row r="22" ht="15.75" customHeight="1">
      <c r="A22" s="153">
        <v>19.0</v>
      </c>
      <c r="B22" s="154" t="s">
        <v>1288</v>
      </c>
      <c r="C22" s="155"/>
      <c r="D22" s="156" t="s">
        <v>1282</v>
      </c>
      <c r="E22" s="153">
        <v>0.0</v>
      </c>
      <c r="F22" s="157">
        <v>9.0</v>
      </c>
      <c r="G22" s="158" t="s">
        <v>1277</v>
      </c>
      <c r="H22" s="153">
        <v>4.0</v>
      </c>
      <c r="I22" s="118"/>
      <c r="J22" s="118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</row>
    <row r="23" ht="15.75" customHeight="1">
      <c r="A23" s="153">
        <v>20.0</v>
      </c>
      <c r="B23" s="154" t="s">
        <v>1289</v>
      </c>
      <c r="C23" s="155"/>
      <c r="D23" s="156" t="s">
        <v>1290</v>
      </c>
      <c r="E23" s="153">
        <v>0.0</v>
      </c>
      <c r="F23" s="157">
        <v>3.0</v>
      </c>
      <c r="G23" s="158" t="s">
        <v>1268</v>
      </c>
      <c r="H23" s="153">
        <v>3.0</v>
      </c>
      <c r="I23" s="118"/>
      <c r="J23" s="118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</row>
    <row r="24" ht="15.75" customHeight="1">
      <c r="A24" s="153">
        <v>21.0</v>
      </c>
      <c r="B24" s="154" t="s">
        <v>1291</v>
      </c>
      <c r="C24" s="155"/>
      <c r="D24" s="156" t="s">
        <v>1290</v>
      </c>
      <c r="E24" s="153">
        <v>0.0</v>
      </c>
      <c r="F24" s="157">
        <v>4.0</v>
      </c>
      <c r="G24" s="158" t="s">
        <v>1270</v>
      </c>
      <c r="H24" s="153">
        <v>5.0</v>
      </c>
      <c r="I24" s="118"/>
      <c r="J24" s="118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</row>
    <row r="25" ht="15.75" customHeight="1">
      <c r="A25" s="153">
        <v>22.0</v>
      </c>
      <c r="B25" s="154" t="s">
        <v>1292</v>
      </c>
      <c r="C25" s="155"/>
      <c r="D25" s="156" t="s">
        <v>1290</v>
      </c>
      <c r="E25" s="153">
        <v>0.0</v>
      </c>
      <c r="F25" s="157">
        <v>5.0</v>
      </c>
      <c r="G25" s="158" t="s">
        <v>1271</v>
      </c>
      <c r="H25" s="153">
        <v>6.0</v>
      </c>
      <c r="I25" s="118"/>
      <c r="J25" s="118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</row>
    <row r="26" ht="15.75" customHeight="1">
      <c r="A26" s="153">
        <v>23.0</v>
      </c>
      <c r="B26" s="154" t="s">
        <v>1293</v>
      </c>
      <c r="C26" s="155"/>
      <c r="D26" s="156" t="s">
        <v>1290</v>
      </c>
      <c r="E26" s="153">
        <v>0.0</v>
      </c>
      <c r="F26" s="157">
        <v>6.0</v>
      </c>
      <c r="G26" s="158" t="s">
        <v>1273</v>
      </c>
      <c r="H26" s="153">
        <v>7.0</v>
      </c>
      <c r="I26" s="118"/>
      <c r="J26" s="118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</row>
    <row r="27" ht="15.75" customHeight="1">
      <c r="A27" s="153">
        <v>24.0</v>
      </c>
      <c r="B27" s="154" t="s">
        <v>1294</v>
      </c>
      <c r="C27" s="155"/>
      <c r="D27" s="156" t="s">
        <v>1290</v>
      </c>
      <c r="E27" s="153">
        <v>0.0</v>
      </c>
      <c r="F27" s="157">
        <v>7.0</v>
      </c>
      <c r="G27" s="158" t="s">
        <v>1274</v>
      </c>
      <c r="H27" s="153">
        <v>1.0</v>
      </c>
      <c r="I27" s="118"/>
      <c r="J27" s="118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</row>
    <row r="28" ht="15.75" customHeight="1">
      <c r="A28" s="153">
        <v>25.0</v>
      </c>
      <c r="B28" s="154" t="s">
        <v>1295</v>
      </c>
      <c r="C28" s="155"/>
      <c r="D28" s="156" t="s">
        <v>1290</v>
      </c>
      <c r="E28" s="153">
        <v>0.0</v>
      </c>
      <c r="F28" s="157">
        <v>8.0</v>
      </c>
      <c r="G28" s="158" t="s">
        <v>1276</v>
      </c>
      <c r="H28" s="153">
        <v>2.0</v>
      </c>
      <c r="I28" s="118"/>
      <c r="J28" s="118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</row>
    <row r="29" ht="15.75" customHeight="1">
      <c r="A29" s="153">
        <v>26.0</v>
      </c>
      <c r="B29" s="154" t="s">
        <v>1296</v>
      </c>
      <c r="C29" s="155"/>
      <c r="D29" s="156" t="s">
        <v>1290</v>
      </c>
      <c r="E29" s="153">
        <v>0.0</v>
      </c>
      <c r="F29" s="157">
        <v>9.0</v>
      </c>
      <c r="G29" s="158" t="s">
        <v>1277</v>
      </c>
      <c r="H29" s="153">
        <v>4.0</v>
      </c>
      <c r="I29" s="118"/>
      <c r="J29" s="118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</row>
    <row r="30" ht="15.75" customHeight="1">
      <c r="A30" s="153">
        <v>27.0</v>
      </c>
      <c r="B30" s="154" t="s">
        <v>1297</v>
      </c>
      <c r="C30" s="155"/>
      <c r="D30" s="156" t="s">
        <v>1298</v>
      </c>
      <c r="E30" s="153">
        <v>0.0</v>
      </c>
      <c r="F30" s="157">
        <v>1.0</v>
      </c>
      <c r="G30" s="158" t="s">
        <v>1299</v>
      </c>
      <c r="H30" s="153">
        <v>1.0</v>
      </c>
      <c r="I30" s="118"/>
      <c r="J30" s="118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</row>
    <row r="31" ht="15.75" customHeight="1">
      <c r="A31" s="153">
        <v>28.0</v>
      </c>
      <c r="B31" s="154" t="s">
        <v>1300</v>
      </c>
      <c r="C31" s="155"/>
      <c r="D31" s="156" t="s">
        <v>1298</v>
      </c>
      <c r="E31" s="153">
        <v>0.0</v>
      </c>
      <c r="F31" s="157">
        <v>12.0</v>
      </c>
      <c r="G31" s="158" t="s">
        <v>1301</v>
      </c>
      <c r="H31" s="153">
        <v>2.0</v>
      </c>
      <c r="I31" s="118"/>
      <c r="J31" s="118"/>
      <c r="K31" s="118"/>
      <c r="L31" s="118"/>
      <c r="M31" s="118"/>
      <c r="N31" s="118"/>
      <c r="O31" s="118"/>
      <c r="P31" s="118"/>
      <c r="Q31" s="118"/>
      <c r="R31" s="118"/>
      <c r="S31" s="118"/>
      <c r="T31" s="118"/>
      <c r="U31" s="118"/>
      <c r="V31" s="118"/>
      <c r="W31" s="118"/>
      <c r="X31" s="118"/>
      <c r="Y31" s="118"/>
      <c r="Z31" s="118"/>
      <c r="AA31" s="118"/>
      <c r="AB31" s="118"/>
    </row>
    <row r="32" ht="15.75" customHeight="1">
      <c r="A32" s="153">
        <v>29.0</v>
      </c>
      <c r="B32" s="154" t="s">
        <v>1302</v>
      </c>
      <c r="C32" s="155"/>
      <c r="D32" s="156" t="s">
        <v>1298</v>
      </c>
      <c r="E32" s="153">
        <v>0.0</v>
      </c>
      <c r="F32" s="157">
        <v>14.0</v>
      </c>
      <c r="G32" s="158" t="s">
        <v>1303</v>
      </c>
      <c r="H32" s="153">
        <v>3.0</v>
      </c>
      <c r="I32" s="118"/>
      <c r="J32" s="118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</row>
    <row r="33" ht="15.75" customHeight="1">
      <c r="A33" s="153">
        <v>30.0</v>
      </c>
      <c r="B33" s="154" t="s">
        <v>1304</v>
      </c>
      <c r="C33" s="155"/>
      <c r="D33" s="156" t="s">
        <v>1298</v>
      </c>
      <c r="E33" s="153">
        <v>0.0</v>
      </c>
      <c r="F33" s="157">
        <v>16.0</v>
      </c>
      <c r="G33" s="158" t="s">
        <v>1305</v>
      </c>
      <c r="H33" s="153">
        <v>5.0</v>
      </c>
      <c r="I33" s="118"/>
      <c r="J33" s="118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</row>
    <row r="34" ht="15.75" customHeight="1">
      <c r="A34" s="153">
        <v>31.0</v>
      </c>
      <c r="B34" s="154" t="s">
        <v>1306</v>
      </c>
      <c r="C34" s="155"/>
      <c r="D34" s="156" t="s">
        <v>1298</v>
      </c>
      <c r="E34" s="153">
        <v>0.0</v>
      </c>
      <c r="F34" s="157">
        <v>17.0</v>
      </c>
      <c r="G34" s="158" t="s">
        <v>1307</v>
      </c>
      <c r="H34" s="153">
        <v>6.0</v>
      </c>
      <c r="I34" s="118"/>
      <c r="J34" s="118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</row>
    <row r="35" ht="15.75" customHeight="1">
      <c r="A35" s="153">
        <v>32.0</v>
      </c>
      <c r="B35" s="154" t="s">
        <v>1308</v>
      </c>
      <c r="C35" s="155"/>
      <c r="D35" s="156" t="s">
        <v>1298</v>
      </c>
      <c r="E35" s="153">
        <v>3527108.0</v>
      </c>
      <c r="F35" s="157">
        <v>1.0</v>
      </c>
      <c r="G35" s="158" t="s">
        <v>1309</v>
      </c>
      <c r="H35" s="153">
        <v>7.0</v>
      </c>
      <c r="I35" s="118"/>
      <c r="J35" s="118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</row>
    <row r="36" ht="15.75" customHeight="1">
      <c r="A36" s="153">
        <v>33.0</v>
      </c>
      <c r="B36" s="154" t="s">
        <v>1310</v>
      </c>
      <c r="C36" s="155"/>
      <c r="D36" s="156" t="s">
        <v>1298</v>
      </c>
      <c r="E36" s="153">
        <v>3527108.0</v>
      </c>
      <c r="F36" s="157">
        <v>2.0</v>
      </c>
      <c r="G36" s="158" t="s">
        <v>1311</v>
      </c>
      <c r="H36" s="153">
        <v>11.0</v>
      </c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</row>
    <row r="37" ht="15.75" customHeight="1">
      <c r="A37" s="153">
        <v>34.0</v>
      </c>
      <c r="B37" s="154" t="s">
        <v>1312</v>
      </c>
      <c r="C37" s="155"/>
      <c r="D37" s="156" t="s">
        <v>1298</v>
      </c>
      <c r="E37" s="153">
        <v>3527108.0</v>
      </c>
      <c r="F37" s="157">
        <v>3.0</v>
      </c>
      <c r="G37" s="158" t="s">
        <v>1313</v>
      </c>
      <c r="H37" s="153">
        <v>3.0</v>
      </c>
      <c r="I37" s="118"/>
      <c r="J37" s="118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</row>
    <row r="38" ht="15.75" customHeight="1">
      <c r="A38" s="153">
        <v>35.0</v>
      </c>
      <c r="B38" s="154" t="s">
        <v>1314</v>
      </c>
      <c r="C38" s="155"/>
      <c r="D38" s="156" t="s">
        <v>1298</v>
      </c>
      <c r="E38" s="153">
        <v>3527108.0</v>
      </c>
      <c r="F38" s="157">
        <v>4.0</v>
      </c>
      <c r="G38" s="158" t="s">
        <v>1313</v>
      </c>
      <c r="H38" s="153">
        <v>4.0</v>
      </c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</row>
    <row r="39" ht="15.75" customHeight="1">
      <c r="A39" s="153">
        <v>36.0</v>
      </c>
      <c r="B39" s="154" t="s">
        <v>1315</v>
      </c>
      <c r="C39" s="155"/>
      <c r="D39" s="156" t="s">
        <v>1298</v>
      </c>
      <c r="E39" s="153">
        <v>3527108.0</v>
      </c>
      <c r="F39" s="157">
        <v>7.0</v>
      </c>
      <c r="G39" s="158" t="s">
        <v>1316</v>
      </c>
      <c r="H39" s="153">
        <v>1.0</v>
      </c>
      <c r="I39" s="118"/>
      <c r="J39" s="118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</row>
    <row r="40" ht="15.75" customHeight="1">
      <c r="A40" s="153">
        <v>37.0</v>
      </c>
      <c r="B40" s="154" t="s">
        <v>1317</v>
      </c>
      <c r="C40" s="155"/>
      <c r="D40" s="156" t="s">
        <v>1298</v>
      </c>
      <c r="E40" s="153">
        <v>3527108.0</v>
      </c>
      <c r="F40" s="157">
        <v>12.0</v>
      </c>
      <c r="G40" s="158" t="s">
        <v>1280</v>
      </c>
      <c r="H40" s="153">
        <v>4.0</v>
      </c>
      <c r="I40" s="118"/>
      <c r="J40" s="118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</row>
    <row r="41" ht="15.75" customHeight="1">
      <c r="A41" s="153">
        <v>38.0</v>
      </c>
      <c r="B41" s="154" t="s">
        <v>1318</v>
      </c>
      <c r="C41" s="155"/>
      <c r="D41" s="156" t="s">
        <v>1298</v>
      </c>
      <c r="E41" s="153">
        <v>3527108.0</v>
      </c>
      <c r="F41" s="157">
        <v>14.0</v>
      </c>
      <c r="G41" s="158" t="s">
        <v>1319</v>
      </c>
      <c r="H41" s="153">
        <v>3.0</v>
      </c>
      <c r="I41" s="118"/>
      <c r="J41" s="118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</row>
    <row r="42" ht="15.75" customHeight="1">
      <c r="A42" s="153">
        <v>39.0</v>
      </c>
      <c r="B42" s="154" t="s">
        <v>1320</v>
      </c>
      <c r="C42" s="155"/>
      <c r="D42" s="156" t="s">
        <v>1298</v>
      </c>
      <c r="E42" s="153">
        <v>3527108.0</v>
      </c>
      <c r="F42" s="157">
        <v>17.0</v>
      </c>
      <c r="G42" s="158" t="s">
        <v>1321</v>
      </c>
      <c r="H42" s="153">
        <v>12.0</v>
      </c>
      <c r="I42" s="118"/>
      <c r="J42" s="118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</row>
    <row r="43" ht="15.75" customHeight="1">
      <c r="A43" s="153">
        <v>40.0</v>
      </c>
      <c r="B43" s="154" t="s">
        <v>1322</v>
      </c>
      <c r="C43" s="155"/>
      <c r="D43" s="156" t="s">
        <v>1298</v>
      </c>
      <c r="E43" s="153">
        <v>3527108.0</v>
      </c>
      <c r="F43" s="157">
        <v>42.0</v>
      </c>
      <c r="G43" s="158" t="s">
        <v>1323</v>
      </c>
      <c r="H43" s="153">
        <v>6.0</v>
      </c>
      <c r="I43" s="118"/>
      <c r="J43" s="118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</row>
    <row r="44" ht="15.75" customHeight="1">
      <c r="A44" s="153">
        <v>41.0</v>
      </c>
      <c r="B44" s="154" t="s">
        <v>1324</v>
      </c>
      <c r="C44" s="155"/>
      <c r="D44" s="156" t="s">
        <v>1298</v>
      </c>
      <c r="E44" s="153">
        <v>3553302.0</v>
      </c>
      <c r="F44" s="157">
        <v>4.0</v>
      </c>
      <c r="G44" s="158" t="s">
        <v>1325</v>
      </c>
      <c r="H44" s="153">
        <v>4.0</v>
      </c>
      <c r="I44" s="118"/>
      <c r="J44" s="118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</row>
    <row r="45" ht="15.75" customHeight="1">
      <c r="A45" s="153">
        <v>42.0</v>
      </c>
      <c r="B45" s="154" t="s">
        <v>1323</v>
      </c>
      <c r="C45" s="155"/>
      <c r="D45" s="156" t="s">
        <v>1298</v>
      </c>
      <c r="E45" s="153">
        <v>3553302.0</v>
      </c>
      <c r="F45" s="157">
        <v>7.0</v>
      </c>
      <c r="G45" s="158" t="s">
        <v>1316</v>
      </c>
      <c r="H45" s="153">
        <v>1.0</v>
      </c>
      <c r="I45" s="118"/>
      <c r="J45" s="118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</row>
    <row r="46" ht="15.75" customHeight="1">
      <c r="A46" s="153">
        <v>43.0</v>
      </c>
      <c r="B46" s="154" t="s">
        <v>1326</v>
      </c>
      <c r="C46" s="155"/>
      <c r="D46" s="156" t="s">
        <v>1298</v>
      </c>
      <c r="E46" s="153">
        <v>3553302.0</v>
      </c>
      <c r="F46" s="157">
        <v>12.0</v>
      </c>
      <c r="G46" s="158" t="s">
        <v>1280</v>
      </c>
      <c r="H46" s="153">
        <v>3.0</v>
      </c>
      <c r="I46" s="118"/>
      <c r="J46" s="118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</row>
    <row r="47" ht="15.75" customHeight="1">
      <c r="A47" s="153">
        <v>51.0</v>
      </c>
      <c r="B47" s="154" t="s">
        <v>1327</v>
      </c>
      <c r="C47" s="155"/>
      <c r="D47" s="156" t="s">
        <v>1298</v>
      </c>
      <c r="E47" s="153">
        <v>3553302.0</v>
      </c>
      <c r="F47" s="157">
        <v>14.0</v>
      </c>
      <c r="G47" s="158" t="s">
        <v>1319</v>
      </c>
      <c r="H47" s="153">
        <v>2.0</v>
      </c>
      <c r="I47" s="118"/>
      <c r="J47" s="118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</row>
    <row r="48" ht="15.75" customHeight="1">
      <c r="A48" s="153">
        <v>52.0</v>
      </c>
      <c r="B48" s="154" t="s">
        <v>1328</v>
      </c>
      <c r="C48" s="155"/>
      <c r="D48" s="156" t="s">
        <v>1298</v>
      </c>
      <c r="E48" s="153">
        <v>3553302.0</v>
      </c>
      <c r="F48" s="157">
        <v>17.0</v>
      </c>
      <c r="G48" s="158" t="s">
        <v>1329</v>
      </c>
      <c r="H48" s="153">
        <v>5.0</v>
      </c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</row>
    <row r="49" ht="15.75" customHeight="1">
      <c r="A49" s="153">
        <v>58.0</v>
      </c>
      <c r="B49" s="154" t="s">
        <v>1330</v>
      </c>
      <c r="C49" s="155"/>
      <c r="D49" s="156" t="s">
        <v>1331</v>
      </c>
      <c r="E49" s="153">
        <v>0.0</v>
      </c>
      <c r="F49" s="157">
        <v>3.0</v>
      </c>
      <c r="G49" s="158" t="s">
        <v>1268</v>
      </c>
      <c r="H49" s="153">
        <v>3.0</v>
      </c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</row>
    <row r="50" ht="15.75" customHeight="1">
      <c r="A50" s="153">
        <v>59.0</v>
      </c>
      <c r="B50" s="154" t="s">
        <v>1332</v>
      </c>
      <c r="C50" s="155"/>
      <c r="D50" s="156" t="s">
        <v>1331</v>
      </c>
      <c r="E50" s="153">
        <v>0.0</v>
      </c>
      <c r="F50" s="157">
        <v>4.0</v>
      </c>
      <c r="G50" s="158" t="s">
        <v>1270</v>
      </c>
      <c r="H50" s="153">
        <v>5.0</v>
      </c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</row>
    <row r="51" ht="15.75" customHeight="1">
      <c r="A51" s="153">
        <v>61.0</v>
      </c>
      <c r="B51" s="154" t="s">
        <v>1333</v>
      </c>
      <c r="C51" s="155"/>
      <c r="D51" s="156" t="s">
        <v>1331</v>
      </c>
      <c r="E51" s="153">
        <v>0.0</v>
      </c>
      <c r="F51" s="157">
        <v>5.0</v>
      </c>
      <c r="G51" s="158" t="s">
        <v>1271</v>
      </c>
      <c r="H51" s="153">
        <v>6.0</v>
      </c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</row>
    <row r="52" ht="15.75" customHeight="1">
      <c r="A52" s="153">
        <v>62.0</v>
      </c>
      <c r="B52" s="154" t="s">
        <v>1334</v>
      </c>
      <c r="C52" s="155"/>
      <c r="D52" s="156" t="s">
        <v>1331</v>
      </c>
      <c r="E52" s="153">
        <v>0.0</v>
      </c>
      <c r="F52" s="157">
        <v>6.0</v>
      </c>
      <c r="G52" s="158" t="s">
        <v>1273</v>
      </c>
      <c r="H52" s="153">
        <v>7.0</v>
      </c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</row>
    <row r="53" ht="15.75" customHeight="1">
      <c r="A53" s="153">
        <v>63.0</v>
      </c>
      <c r="B53" s="154" t="s">
        <v>1335</v>
      </c>
      <c r="C53" s="155"/>
      <c r="D53" s="156" t="s">
        <v>1331</v>
      </c>
      <c r="E53" s="153">
        <v>0.0</v>
      </c>
      <c r="F53" s="157">
        <v>7.0</v>
      </c>
      <c r="G53" s="158" t="s">
        <v>1274</v>
      </c>
      <c r="H53" s="153">
        <v>1.0</v>
      </c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</row>
    <row r="54" ht="15.75" customHeight="1">
      <c r="A54" s="153">
        <v>64.0</v>
      </c>
      <c r="B54" s="154" t="s">
        <v>1336</v>
      </c>
      <c r="C54" s="155"/>
      <c r="D54" s="156" t="s">
        <v>1331</v>
      </c>
      <c r="E54" s="153">
        <v>0.0</v>
      </c>
      <c r="F54" s="157">
        <v>8.0</v>
      </c>
      <c r="G54" s="158" t="s">
        <v>1276</v>
      </c>
      <c r="H54" s="153">
        <v>2.0</v>
      </c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</row>
    <row r="55" ht="15.75" customHeight="1">
      <c r="A55" s="153">
        <v>68.0</v>
      </c>
      <c r="B55" s="154" t="s">
        <v>1337</v>
      </c>
      <c r="C55" s="155"/>
      <c r="D55" s="156" t="s">
        <v>1331</v>
      </c>
      <c r="E55" s="153">
        <v>0.0</v>
      </c>
      <c r="F55" s="157">
        <v>9.0</v>
      </c>
      <c r="G55" s="158" t="s">
        <v>1277</v>
      </c>
      <c r="H55" s="153">
        <v>4.0</v>
      </c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</row>
    <row r="56" ht="15.75" customHeight="1">
      <c r="A56" s="153">
        <v>69.0</v>
      </c>
      <c r="B56" s="154" t="s">
        <v>1338</v>
      </c>
      <c r="C56" s="155"/>
      <c r="D56" s="156" t="s">
        <v>1339</v>
      </c>
      <c r="E56" s="153">
        <v>0.0</v>
      </c>
      <c r="F56" s="157">
        <v>1.0</v>
      </c>
      <c r="G56" s="158" t="s">
        <v>1263</v>
      </c>
      <c r="H56" s="153">
        <v>1.0</v>
      </c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</row>
    <row r="57" ht="15.75" customHeight="1">
      <c r="A57" s="153">
        <v>78.0</v>
      </c>
      <c r="B57" s="154" t="s">
        <v>1340</v>
      </c>
      <c r="C57" s="155"/>
      <c r="D57" s="156" t="s">
        <v>1339</v>
      </c>
      <c r="E57" s="153">
        <v>0.0</v>
      </c>
      <c r="F57" s="157">
        <v>2.0</v>
      </c>
      <c r="G57" s="158" t="s">
        <v>1266</v>
      </c>
      <c r="H57" s="153">
        <v>2.0</v>
      </c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</row>
    <row r="58" ht="15.75" customHeight="1">
      <c r="A58" s="153">
        <v>511.0</v>
      </c>
      <c r="B58" s="154" t="s">
        <v>1341</v>
      </c>
      <c r="C58" s="155"/>
      <c r="D58" s="156" t="s">
        <v>1339</v>
      </c>
      <c r="E58" s="153">
        <v>0.0</v>
      </c>
      <c r="F58" s="157">
        <v>3.0</v>
      </c>
      <c r="G58" s="158" t="s">
        <v>1268</v>
      </c>
      <c r="H58" s="153">
        <v>3.0</v>
      </c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</row>
    <row r="59" ht="15.75" customHeight="1">
      <c r="A59" s="153">
        <v>512.0</v>
      </c>
      <c r="B59" s="154" t="s">
        <v>1342</v>
      </c>
      <c r="C59" s="155"/>
      <c r="D59" s="156" t="s">
        <v>1339</v>
      </c>
      <c r="E59" s="153">
        <v>0.0</v>
      </c>
      <c r="F59" s="157">
        <v>4.0</v>
      </c>
      <c r="G59" s="158" t="s">
        <v>1269</v>
      </c>
      <c r="H59" s="153">
        <v>4.0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</row>
    <row r="60" ht="15.75" customHeight="1">
      <c r="A60" s="153">
        <v>521.0</v>
      </c>
      <c r="B60" s="154" t="s">
        <v>1343</v>
      </c>
      <c r="C60" s="155"/>
      <c r="D60" s="156" t="s">
        <v>1339</v>
      </c>
      <c r="E60" s="153">
        <v>0.0</v>
      </c>
      <c r="F60" s="157">
        <v>5.0</v>
      </c>
      <c r="G60" s="158" t="s">
        <v>1271</v>
      </c>
      <c r="H60" s="153">
        <v>5.0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</row>
    <row r="61" ht="15.75" customHeight="1">
      <c r="A61" s="153">
        <v>522.0</v>
      </c>
      <c r="B61" s="154" t="s">
        <v>1344</v>
      </c>
      <c r="C61" s="155"/>
      <c r="D61" s="156" t="s">
        <v>1339</v>
      </c>
      <c r="E61" s="153">
        <v>0.0</v>
      </c>
      <c r="F61" s="157">
        <v>6.0</v>
      </c>
      <c r="G61" s="158" t="s">
        <v>1273</v>
      </c>
      <c r="H61" s="153">
        <v>6.0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 ht="15.75" customHeight="1">
      <c r="A62" s="153">
        <v>611.0</v>
      </c>
      <c r="B62" s="154" t="s">
        <v>1345</v>
      </c>
      <c r="C62" s="155"/>
      <c r="D62" s="156" t="s">
        <v>1339</v>
      </c>
      <c r="E62" s="153">
        <v>0.0</v>
      </c>
      <c r="F62" s="157">
        <v>8.0</v>
      </c>
      <c r="G62" s="158" t="s">
        <v>1276</v>
      </c>
      <c r="H62" s="153">
        <v>7.0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</row>
    <row r="63" ht="15.75" customHeight="1">
      <c r="A63" s="153">
        <v>612.0</v>
      </c>
      <c r="B63" s="154" t="s">
        <v>1346</v>
      </c>
      <c r="C63" s="155"/>
      <c r="D63" s="156" t="s">
        <v>1339</v>
      </c>
      <c r="E63" s="153">
        <v>0.0</v>
      </c>
      <c r="F63" s="157">
        <v>11.0</v>
      </c>
      <c r="G63" s="158" t="s">
        <v>1279</v>
      </c>
      <c r="H63" s="153">
        <v>8.0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</row>
    <row r="64" ht="15.75" customHeight="1">
      <c r="A64" s="153">
        <v>621.0</v>
      </c>
      <c r="B64" s="154" t="s">
        <v>1347</v>
      </c>
      <c r="C64" s="155"/>
      <c r="D64" s="156" t="s">
        <v>1348</v>
      </c>
      <c r="E64" s="153">
        <v>0.0</v>
      </c>
      <c r="F64" s="157">
        <v>1.0</v>
      </c>
      <c r="G64" s="158" t="s">
        <v>1263</v>
      </c>
      <c r="H64" s="153">
        <v>1.0</v>
      </c>
      <c r="I64" s="118"/>
      <c r="J64" s="118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</row>
    <row r="65" ht="15.75" customHeight="1">
      <c r="A65" s="153">
        <v>622.0</v>
      </c>
      <c r="B65" s="154" t="s">
        <v>1349</v>
      </c>
      <c r="C65" s="155"/>
      <c r="D65" s="156" t="s">
        <v>1348</v>
      </c>
      <c r="E65" s="153">
        <v>0.0</v>
      </c>
      <c r="F65" s="157">
        <v>2.0</v>
      </c>
      <c r="G65" s="158" t="s">
        <v>1266</v>
      </c>
      <c r="H65" s="153">
        <v>2.0</v>
      </c>
      <c r="I65" s="118"/>
      <c r="J65" s="118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</row>
    <row r="66" ht="15.75" customHeight="1">
      <c r="A66" s="153">
        <v>911.0</v>
      </c>
      <c r="B66" s="154" t="s">
        <v>1350</v>
      </c>
      <c r="C66" s="155"/>
      <c r="D66" s="156" t="s">
        <v>1348</v>
      </c>
      <c r="E66" s="153">
        <v>0.0</v>
      </c>
      <c r="F66" s="157">
        <v>3.0</v>
      </c>
      <c r="G66" s="158" t="s">
        <v>1268</v>
      </c>
      <c r="H66" s="153">
        <v>3.0</v>
      </c>
      <c r="I66" s="118"/>
      <c r="J66" s="118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</row>
    <row r="67" ht="15.75" customHeight="1">
      <c r="A67" s="153">
        <v>912.0</v>
      </c>
      <c r="B67" s="154" t="s">
        <v>1351</v>
      </c>
      <c r="C67" s="155"/>
      <c r="D67" s="156" t="s">
        <v>1348</v>
      </c>
      <c r="E67" s="153">
        <v>0.0</v>
      </c>
      <c r="F67" s="157">
        <v>4.0</v>
      </c>
      <c r="G67" s="158" t="s">
        <v>1269</v>
      </c>
      <c r="H67" s="153">
        <v>4.0</v>
      </c>
      <c r="I67" s="118"/>
      <c r="J67" s="118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</row>
    <row r="68" ht="15.75" customHeight="1">
      <c r="A68" s="153">
        <v>501.0</v>
      </c>
      <c r="B68" s="154" t="s">
        <v>1352</v>
      </c>
      <c r="C68" s="155"/>
      <c r="D68" s="156" t="s">
        <v>1348</v>
      </c>
      <c r="E68" s="153">
        <v>0.0</v>
      </c>
      <c r="F68" s="157">
        <v>5.0</v>
      </c>
      <c r="G68" s="158" t="s">
        <v>1271</v>
      </c>
      <c r="H68" s="153">
        <v>5.0</v>
      </c>
      <c r="I68" s="118"/>
      <c r="J68" s="118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</row>
    <row r="69" ht="15.75" customHeight="1">
      <c r="A69" s="153">
        <v>502.0</v>
      </c>
      <c r="B69" s="154" t="s">
        <v>1353</v>
      </c>
      <c r="C69" s="155"/>
      <c r="D69" s="156" t="s">
        <v>1348</v>
      </c>
      <c r="E69" s="153">
        <v>0.0</v>
      </c>
      <c r="F69" s="157">
        <v>6.0</v>
      </c>
      <c r="G69" s="158" t="s">
        <v>1273</v>
      </c>
      <c r="H69" s="153">
        <v>6.0</v>
      </c>
      <c r="I69" s="118"/>
      <c r="J69" s="118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</row>
    <row r="70" ht="15.75" customHeight="1">
      <c r="A70" s="153">
        <v>551.0</v>
      </c>
      <c r="B70" s="154" t="s">
        <v>1354</v>
      </c>
      <c r="C70" s="155"/>
      <c r="D70" s="156" t="s">
        <v>1348</v>
      </c>
      <c r="E70" s="153">
        <v>0.0</v>
      </c>
      <c r="F70" s="157">
        <v>8.0</v>
      </c>
      <c r="G70" s="158" t="s">
        <v>1276</v>
      </c>
      <c r="H70" s="153">
        <v>7.0</v>
      </c>
      <c r="I70" s="118"/>
      <c r="J70" s="118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</row>
    <row r="71" ht="15.75" customHeight="1">
      <c r="A71" s="153">
        <v>601.0</v>
      </c>
      <c r="B71" s="154" t="s">
        <v>1355</v>
      </c>
      <c r="C71" s="155"/>
      <c r="D71" s="156" t="s">
        <v>1348</v>
      </c>
      <c r="E71" s="153">
        <v>0.0</v>
      </c>
      <c r="F71" s="157">
        <v>11.0</v>
      </c>
      <c r="G71" s="158" t="s">
        <v>1279</v>
      </c>
      <c r="H71" s="153">
        <v>8.0</v>
      </c>
      <c r="I71" s="118"/>
      <c r="J71" s="118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</row>
    <row r="72" ht="15.75" customHeight="1">
      <c r="A72" s="153">
        <v>701.0</v>
      </c>
      <c r="B72" s="154" t="s">
        <v>1356</v>
      </c>
      <c r="C72" s="155"/>
      <c r="D72" s="156" t="s">
        <v>1357</v>
      </c>
      <c r="E72" s="153">
        <v>0.0</v>
      </c>
      <c r="F72" s="157">
        <v>3.0</v>
      </c>
      <c r="G72" s="158" t="s">
        <v>1268</v>
      </c>
      <c r="H72" s="153">
        <v>3.0</v>
      </c>
      <c r="I72" s="118"/>
      <c r="J72" s="118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</row>
    <row r="73" ht="15.75" customHeight="1">
      <c r="A73" s="159"/>
      <c r="B73" s="138"/>
      <c r="C73" s="155"/>
      <c r="D73" s="156" t="s">
        <v>1357</v>
      </c>
      <c r="E73" s="153">
        <v>0.0</v>
      </c>
      <c r="F73" s="157">
        <v>4.0</v>
      </c>
      <c r="G73" s="158" t="s">
        <v>1270</v>
      </c>
      <c r="H73" s="153">
        <v>5.0</v>
      </c>
      <c r="I73" s="118"/>
      <c r="J73" s="118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</row>
    <row r="74" ht="15.75" customHeight="1">
      <c r="A74" s="159"/>
      <c r="B74" s="138"/>
      <c r="C74" s="155"/>
      <c r="D74" s="156" t="s">
        <v>1357</v>
      </c>
      <c r="E74" s="153">
        <v>0.0</v>
      </c>
      <c r="F74" s="157">
        <v>5.0</v>
      </c>
      <c r="G74" s="158" t="s">
        <v>1271</v>
      </c>
      <c r="H74" s="153">
        <v>6.0</v>
      </c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</row>
    <row r="75" ht="15.75" customHeight="1">
      <c r="A75" s="159"/>
      <c r="B75" s="138"/>
      <c r="C75" s="155"/>
      <c r="D75" s="156" t="s">
        <v>1357</v>
      </c>
      <c r="E75" s="153">
        <v>0.0</v>
      </c>
      <c r="F75" s="157">
        <v>6.0</v>
      </c>
      <c r="G75" s="158" t="s">
        <v>1358</v>
      </c>
      <c r="H75" s="153">
        <v>7.0</v>
      </c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</row>
    <row r="76" ht="15.75" customHeight="1">
      <c r="A76" s="159"/>
      <c r="B76" s="138"/>
      <c r="C76" s="155"/>
      <c r="D76" s="156" t="s">
        <v>1357</v>
      </c>
      <c r="E76" s="153">
        <v>0.0</v>
      </c>
      <c r="F76" s="157">
        <v>7.0</v>
      </c>
      <c r="G76" s="158" t="s">
        <v>1274</v>
      </c>
      <c r="H76" s="153">
        <v>1.0</v>
      </c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</row>
    <row r="77" ht="15.75" customHeight="1">
      <c r="A77" s="159"/>
      <c r="B77" s="138"/>
      <c r="C77" s="155"/>
      <c r="D77" s="156" t="s">
        <v>1357</v>
      </c>
      <c r="E77" s="153">
        <v>0.0</v>
      </c>
      <c r="F77" s="157">
        <v>8.0</v>
      </c>
      <c r="G77" s="158" t="s">
        <v>1359</v>
      </c>
      <c r="H77" s="153">
        <v>2.0</v>
      </c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</row>
    <row r="78" ht="15.75" customHeight="1">
      <c r="A78" s="159"/>
      <c r="B78" s="138"/>
      <c r="C78" s="155"/>
      <c r="D78" s="156" t="s">
        <v>1357</v>
      </c>
      <c r="E78" s="153">
        <v>0.0</v>
      </c>
      <c r="F78" s="157">
        <v>9.0</v>
      </c>
      <c r="G78" s="158" t="s">
        <v>1277</v>
      </c>
      <c r="H78" s="153">
        <v>4.0</v>
      </c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</row>
    <row r="79" ht="15.75" customHeight="1">
      <c r="A79" s="159"/>
      <c r="B79" s="138"/>
      <c r="C79" s="155"/>
      <c r="D79" s="156" t="s">
        <v>1360</v>
      </c>
      <c r="E79" s="153">
        <v>0.0</v>
      </c>
      <c r="F79" s="157">
        <v>1.0</v>
      </c>
      <c r="G79" s="158" t="s">
        <v>1263</v>
      </c>
      <c r="H79" s="153">
        <v>1.0</v>
      </c>
      <c r="I79" s="118"/>
      <c r="J79" s="118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</row>
    <row r="80" ht="15.75" customHeight="1">
      <c r="A80" s="159"/>
      <c r="B80" s="138"/>
      <c r="C80" s="155"/>
      <c r="D80" s="156" t="s">
        <v>1360</v>
      </c>
      <c r="E80" s="153">
        <v>0.0</v>
      </c>
      <c r="F80" s="157">
        <v>2.0</v>
      </c>
      <c r="G80" s="158" t="s">
        <v>1266</v>
      </c>
      <c r="H80" s="153">
        <v>2.0</v>
      </c>
      <c r="I80" s="118"/>
      <c r="J80" s="118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</row>
    <row r="81" ht="15.75" customHeight="1">
      <c r="A81" s="159"/>
      <c r="B81" s="138"/>
      <c r="C81" s="155"/>
      <c r="D81" s="156" t="s">
        <v>1360</v>
      </c>
      <c r="E81" s="153">
        <v>0.0</v>
      </c>
      <c r="F81" s="157">
        <v>3.0</v>
      </c>
      <c r="G81" s="158" t="s">
        <v>1268</v>
      </c>
      <c r="H81" s="153">
        <v>3.0</v>
      </c>
      <c r="I81" s="118"/>
      <c r="J81" s="118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</row>
    <row r="82" ht="15.75" customHeight="1">
      <c r="A82" s="159"/>
      <c r="B82" s="138"/>
      <c r="C82" s="155"/>
      <c r="D82" s="156" t="s">
        <v>1360</v>
      </c>
      <c r="E82" s="153">
        <v>0.0</v>
      </c>
      <c r="F82" s="157">
        <v>4.0</v>
      </c>
      <c r="G82" s="158" t="s">
        <v>1269</v>
      </c>
      <c r="H82" s="153">
        <v>4.0</v>
      </c>
      <c r="I82" s="118"/>
      <c r="J82" s="118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</row>
    <row r="83" ht="15.75" customHeight="1">
      <c r="A83" s="159"/>
      <c r="B83" s="138"/>
      <c r="C83" s="155"/>
      <c r="D83" s="156" t="s">
        <v>1360</v>
      </c>
      <c r="E83" s="153">
        <v>0.0</v>
      </c>
      <c r="F83" s="157">
        <v>5.0</v>
      </c>
      <c r="G83" s="158" t="s">
        <v>1271</v>
      </c>
      <c r="H83" s="153">
        <v>5.0</v>
      </c>
      <c r="I83" s="118"/>
      <c r="J83" s="118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</row>
    <row r="84" ht="15.75" customHeight="1">
      <c r="A84" s="159"/>
      <c r="B84" s="138"/>
      <c r="C84" s="155"/>
      <c r="D84" s="156" t="s">
        <v>1360</v>
      </c>
      <c r="E84" s="153">
        <v>0.0</v>
      </c>
      <c r="F84" s="157">
        <v>6.0</v>
      </c>
      <c r="G84" s="158" t="s">
        <v>1273</v>
      </c>
      <c r="H84" s="153">
        <v>6.0</v>
      </c>
      <c r="I84" s="118"/>
      <c r="J84" s="118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</row>
    <row r="85" ht="15.75" customHeight="1">
      <c r="A85" s="159"/>
      <c r="B85" s="138"/>
      <c r="C85" s="155"/>
      <c r="D85" s="156" t="s">
        <v>1361</v>
      </c>
      <c r="E85" s="153">
        <v>0.0</v>
      </c>
      <c r="F85" s="157">
        <v>1.0</v>
      </c>
      <c r="G85" s="158" t="s">
        <v>1263</v>
      </c>
      <c r="H85" s="153">
        <v>1.0</v>
      </c>
      <c r="I85" s="118"/>
      <c r="J85" s="118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</row>
    <row r="86" ht="15.75" customHeight="1">
      <c r="A86" s="159"/>
      <c r="B86" s="138"/>
      <c r="C86" s="155"/>
      <c r="D86" s="156" t="s">
        <v>1361</v>
      </c>
      <c r="E86" s="153">
        <v>0.0</v>
      </c>
      <c r="F86" s="157">
        <v>2.0</v>
      </c>
      <c r="G86" s="158" t="s">
        <v>1266</v>
      </c>
      <c r="H86" s="153">
        <v>2.0</v>
      </c>
      <c r="I86" s="118"/>
      <c r="J86" s="118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</row>
    <row r="87" ht="15.75" customHeight="1">
      <c r="A87" s="159"/>
      <c r="B87" s="138"/>
      <c r="C87" s="155"/>
      <c r="D87" s="156" t="s">
        <v>1361</v>
      </c>
      <c r="E87" s="153">
        <v>0.0</v>
      </c>
      <c r="F87" s="157">
        <v>3.0</v>
      </c>
      <c r="G87" s="158" t="s">
        <v>1268</v>
      </c>
      <c r="H87" s="153">
        <v>3.0</v>
      </c>
      <c r="I87" s="118"/>
      <c r="J87" s="118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</row>
    <row r="88" ht="15.75" customHeight="1">
      <c r="A88" s="159"/>
      <c r="B88" s="138"/>
      <c r="C88" s="155"/>
      <c r="D88" s="156" t="s">
        <v>1361</v>
      </c>
      <c r="E88" s="153">
        <v>0.0</v>
      </c>
      <c r="F88" s="157">
        <v>4.0</v>
      </c>
      <c r="G88" s="158" t="s">
        <v>1269</v>
      </c>
      <c r="H88" s="153">
        <v>5.0</v>
      </c>
      <c r="I88" s="118"/>
      <c r="J88" s="118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</row>
    <row r="89" ht="15.75" customHeight="1">
      <c r="A89" s="159"/>
      <c r="B89" s="138"/>
      <c r="C89" s="155"/>
      <c r="D89" s="156" t="s">
        <v>1362</v>
      </c>
      <c r="E89" s="153">
        <v>0.0</v>
      </c>
      <c r="F89" s="157">
        <v>1.0</v>
      </c>
      <c r="G89" s="158" t="s">
        <v>1363</v>
      </c>
      <c r="H89" s="153">
        <v>1.0</v>
      </c>
      <c r="I89" s="118"/>
      <c r="J89" s="118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</row>
    <row r="90" ht="15.75" customHeight="1">
      <c r="A90" s="159"/>
      <c r="B90" s="138"/>
      <c r="C90" s="155"/>
      <c r="D90" s="156" t="s">
        <v>1362</v>
      </c>
      <c r="E90" s="153">
        <v>0.0</v>
      </c>
      <c r="F90" s="157">
        <v>2.0</v>
      </c>
      <c r="G90" s="158" t="s">
        <v>1364</v>
      </c>
      <c r="H90" s="153">
        <v>4.0</v>
      </c>
      <c r="I90" s="118"/>
      <c r="J90" s="118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</row>
    <row r="91" ht="15.75" customHeight="1">
      <c r="A91" s="159"/>
      <c r="B91" s="138"/>
      <c r="C91" s="155"/>
      <c r="D91" s="156" t="s">
        <v>1362</v>
      </c>
      <c r="E91" s="153">
        <v>0.0</v>
      </c>
      <c r="F91" s="157">
        <v>18.0</v>
      </c>
      <c r="G91" s="158" t="s">
        <v>1365</v>
      </c>
      <c r="H91" s="153">
        <v>2.0</v>
      </c>
      <c r="I91" s="118"/>
      <c r="J91" s="118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</row>
    <row r="92" ht="15.75" customHeight="1">
      <c r="A92" s="159"/>
      <c r="B92" s="138"/>
      <c r="C92" s="155"/>
      <c r="D92" s="156" t="s">
        <v>1362</v>
      </c>
      <c r="E92" s="153">
        <v>0.0</v>
      </c>
      <c r="F92" s="157">
        <v>19.0</v>
      </c>
      <c r="G92" s="158" t="s">
        <v>1288</v>
      </c>
      <c r="H92" s="153">
        <v>3.0</v>
      </c>
      <c r="I92" s="118"/>
      <c r="J92" s="118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</row>
    <row r="93" ht="15.75" customHeight="1">
      <c r="A93" s="159"/>
      <c r="B93" s="138"/>
      <c r="C93" s="155"/>
      <c r="D93" s="156" t="s">
        <v>1366</v>
      </c>
      <c r="E93" s="153">
        <v>0.0</v>
      </c>
      <c r="F93" s="157">
        <v>3.0</v>
      </c>
      <c r="G93" s="158" t="s">
        <v>1268</v>
      </c>
      <c r="H93" s="153">
        <v>3.0</v>
      </c>
      <c r="I93" s="118"/>
      <c r="J93" s="118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</row>
    <row r="94" ht="15.75" customHeight="1">
      <c r="A94" s="159"/>
      <c r="B94" s="138"/>
      <c r="C94" s="155"/>
      <c r="D94" s="156" t="s">
        <v>1366</v>
      </c>
      <c r="E94" s="153">
        <v>0.0</v>
      </c>
      <c r="F94" s="157">
        <v>4.0</v>
      </c>
      <c r="G94" s="158" t="s">
        <v>1270</v>
      </c>
      <c r="H94" s="153">
        <v>5.0</v>
      </c>
      <c r="I94" s="118"/>
      <c r="J94" s="118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</row>
    <row r="95" ht="15.75" customHeight="1">
      <c r="A95" s="159"/>
      <c r="B95" s="138"/>
      <c r="C95" s="155"/>
      <c r="D95" s="156" t="s">
        <v>1366</v>
      </c>
      <c r="E95" s="153">
        <v>0.0</v>
      </c>
      <c r="F95" s="157">
        <v>5.0</v>
      </c>
      <c r="G95" s="158" t="s">
        <v>1271</v>
      </c>
      <c r="H95" s="153">
        <v>6.0</v>
      </c>
      <c r="I95" s="118"/>
      <c r="J95" s="118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</row>
    <row r="96" ht="15.75" customHeight="1">
      <c r="A96" s="159"/>
      <c r="B96" s="138"/>
      <c r="C96" s="155"/>
      <c r="D96" s="156" t="s">
        <v>1366</v>
      </c>
      <c r="E96" s="153">
        <v>0.0</v>
      </c>
      <c r="F96" s="157">
        <v>6.0</v>
      </c>
      <c r="G96" s="158" t="s">
        <v>1273</v>
      </c>
      <c r="H96" s="153">
        <v>7.0</v>
      </c>
      <c r="I96" s="118"/>
      <c r="J96" s="118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</row>
    <row r="97" ht="15.75" customHeight="1">
      <c r="A97" s="159"/>
      <c r="B97" s="138"/>
      <c r="C97" s="155"/>
      <c r="D97" s="156" t="s">
        <v>1366</v>
      </c>
      <c r="E97" s="153">
        <v>0.0</v>
      </c>
      <c r="F97" s="157">
        <v>7.0</v>
      </c>
      <c r="G97" s="158" t="s">
        <v>1274</v>
      </c>
      <c r="H97" s="153">
        <v>1.0</v>
      </c>
      <c r="I97" s="118"/>
      <c r="J97" s="118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</row>
    <row r="98" ht="15.75" customHeight="1">
      <c r="A98" s="159"/>
      <c r="B98" s="138"/>
      <c r="C98" s="155"/>
      <c r="D98" s="156" t="s">
        <v>1366</v>
      </c>
      <c r="E98" s="153">
        <v>0.0</v>
      </c>
      <c r="F98" s="157">
        <v>8.0</v>
      </c>
      <c r="G98" s="158" t="s">
        <v>1276</v>
      </c>
      <c r="H98" s="153">
        <v>2.0</v>
      </c>
      <c r="I98" s="118"/>
      <c r="J98" s="118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</row>
    <row r="99" ht="15.75" customHeight="1">
      <c r="A99" s="159"/>
      <c r="B99" s="138"/>
      <c r="C99" s="155"/>
      <c r="D99" s="156" t="s">
        <v>1366</v>
      </c>
      <c r="E99" s="153">
        <v>0.0</v>
      </c>
      <c r="F99" s="157">
        <v>9.0</v>
      </c>
      <c r="G99" s="158" t="s">
        <v>1277</v>
      </c>
      <c r="H99" s="153">
        <v>4.0</v>
      </c>
      <c r="I99" s="118"/>
      <c r="J99" s="118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</row>
    <row r="100" ht="15.75" customHeight="1">
      <c r="A100" s="159"/>
      <c r="B100" s="138"/>
      <c r="C100" s="155"/>
      <c r="D100" s="156" t="s">
        <v>1367</v>
      </c>
      <c r="E100" s="153">
        <v>0.0</v>
      </c>
      <c r="F100" s="157">
        <v>1.0</v>
      </c>
      <c r="G100" s="158" t="s">
        <v>1316</v>
      </c>
      <c r="H100" s="153">
        <v>1.0</v>
      </c>
      <c r="I100" s="118"/>
      <c r="J100" s="118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</row>
    <row r="101" ht="15.75" customHeight="1">
      <c r="A101" s="159"/>
      <c r="B101" s="138"/>
      <c r="C101" s="155"/>
      <c r="D101" s="156" t="s">
        <v>1367</v>
      </c>
      <c r="E101" s="153">
        <v>0.0</v>
      </c>
      <c r="F101" s="157">
        <v>12.0</v>
      </c>
      <c r="G101" s="158" t="s">
        <v>1280</v>
      </c>
      <c r="H101" s="153">
        <v>4.0</v>
      </c>
      <c r="I101" s="118"/>
      <c r="J101" s="118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</row>
    <row r="102" ht="15.75" customHeight="1">
      <c r="A102" s="159"/>
      <c r="B102" s="138"/>
      <c r="C102" s="155"/>
      <c r="D102" s="156" t="s">
        <v>1367</v>
      </c>
      <c r="E102" s="153">
        <v>0.0</v>
      </c>
      <c r="F102" s="157">
        <v>15.0</v>
      </c>
      <c r="G102" s="158" t="s">
        <v>1368</v>
      </c>
      <c r="H102" s="153">
        <v>3.0</v>
      </c>
      <c r="I102" s="118"/>
      <c r="J102" s="118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</row>
    <row r="103" ht="15.75" customHeight="1">
      <c r="A103" s="159"/>
      <c r="B103" s="138"/>
      <c r="C103" s="155"/>
      <c r="D103" s="156" t="s">
        <v>1367</v>
      </c>
      <c r="E103" s="153">
        <v>0.0</v>
      </c>
      <c r="F103" s="157">
        <v>17.0</v>
      </c>
      <c r="G103" s="158" t="s">
        <v>1369</v>
      </c>
      <c r="H103" s="153">
        <v>6.0</v>
      </c>
      <c r="I103" s="118"/>
      <c r="J103" s="118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</row>
    <row r="104" ht="15.75" customHeight="1">
      <c r="A104" s="159"/>
      <c r="B104" s="138"/>
      <c r="C104" s="155"/>
      <c r="D104" s="156" t="s">
        <v>1367</v>
      </c>
      <c r="E104" s="153">
        <v>0.0</v>
      </c>
      <c r="F104" s="157">
        <v>502.0</v>
      </c>
      <c r="G104" s="158" t="s">
        <v>1370</v>
      </c>
      <c r="H104" s="153">
        <v>7.0</v>
      </c>
      <c r="I104" s="118"/>
      <c r="J104" s="118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</row>
    <row r="105" ht="15.75" customHeight="1">
      <c r="A105" s="159"/>
      <c r="B105" s="138"/>
      <c r="C105" s="155"/>
      <c r="D105" s="156" t="s">
        <v>1371</v>
      </c>
      <c r="E105" s="153">
        <v>0.0</v>
      </c>
      <c r="F105" s="157">
        <v>1.0</v>
      </c>
      <c r="G105" s="158" t="s">
        <v>1372</v>
      </c>
      <c r="H105" s="153">
        <v>1.0</v>
      </c>
      <c r="I105" s="118"/>
      <c r="J105" s="118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</row>
    <row r="106" ht="15.75" customHeight="1">
      <c r="A106" s="159"/>
      <c r="B106" s="138"/>
      <c r="C106" s="155"/>
      <c r="D106" s="156" t="s">
        <v>1371</v>
      </c>
      <c r="E106" s="153">
        <v>0.0</v>
      </c>
      <c r="F106" s="157">
        <v>3.0</v>
      </c>
      <c r="G106" s="158" t="s">
        <v>1373</v>
      </c>
      <c r="H106" s="153">
        <v>2.0</v>
      </c>
      <c r="I106" s="118"/>
      <c r="J106" s="118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</row>
    <row r="107" ht="15.75" customHeight="1">
      <c r="A107" s="159"/>
      <c r="B107" s="138"/>
      <c r="C107" s="155"/>
      <c r="D107" s="156" t="s">
        <v>1371</v>
      </c>
      <c r="E107" s="153">
        <v>0.0</v>
      </c>
      <c r="F107" s="157">
        <v>5.0</v>
      </c>
      <c r="G107" s="158" t="s">
        <v>1374</v>
      </c>
      <c r="H107" s="153">
        <v>3.0</v>
      </c>
      <c r="I107" s="118"/>
      <c r="J107" s="118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</row>
    <row r="108" ht="15.75" customHeight="1">
      <c r="A108" s="159"/>
      <c r="B108" s="138"/>
      <c r="C108" s="155"/>
      <c r="D108" s="156" t="s">
        <v>1371</v>
      </c>
      <c r="E108" s="153">
        <v>0.0</v>
      </c>
      <c r="F108" s="157">
        <v>6.0</v>
      </c>
      <c r="G108" s="158" t="s">
        <v>1374</v>
      </c>
      <c r="H108" s="153">
        <v>3.0</v>
      </c>
      <c r="I108" s="118"/>
      <c r="J108" s="118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</row>
    <row r="109" ht="15.75" customHeight="1">
      <c r="A109" s="159"/>
      <c r="B109" s="138"/>
      <c r="C109" s="155"/>
      <c r="D109" s="156" t="s">
        <v>1371</v>
      </c>
      <c r="E109" s="153">
        <v>0.0</v>
      </c>
      <c r="F109" s="157">
        <v>10.0</v>
      </c>
      <c r="G109" s="158" t="s">
        <v>1375</v>
      </c>
      <c r="H109" s="153">
        <v>5.0</v>
      </c>
      <c r="I109" s="118"/>
      <c r="J109" s="118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</row>
    <row r="110" ht="15.75" customHeight="1">
      <c r="A110" s="159"/>
      <c r="B110" s="138"/>
      <c r="C110" s="155"/>
      <c r="D110" s="156" t="s">
        <v>1371</v>
      </c>
      <c r="E110" s="153">
        <v>0.0</v>
      </c>
      <c r="F110" s="157">
        <v>12.0</v>
      </c>
      <c r="G110" s="158" t="s">
        <v>1280</v>
      </c>
      <c r="H110" s="153">
        <v>4.0</v>
      </c>
      <c r="I110" s="118"/>
      <c r="J110" s="118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</row>
    <row r="111" ht="15.75" customHeight="1">
      <c r="A111" s="159"/>
      <c r="B111" s="138"/>
      <c r="C111" s="155"/>
      <c r="D111" s="156" t="s">
        <v>1371</v>
      </c>
      <c r="E111" s="153">
        <v>0.0</v>
      </c>
      <c r="F111" s="157">
        <v>13.0</v>
      </c>
      <c r="G111" s="158" t="s">
        <v>1281</v>
      </c>
      <c r="H111" s="153">
        <v>6.0</v>
      </c>
      <c r="I111" s="118"/>
      <c r="J111" s="118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</row>
    <row r="112" ht="15.75" customHeight="1">
      <c r="A112" s="159"/>
      <c r="B112" s="138"/>
      <c r="C112" s="155"/>
      <c r="D112" s="156" t="s">
        <v>1376</v>
      </c>
      <c r="E112" s="153">
        <v>0.0</v>
      </c>
      <c r="F112" s="157">
        <v>2.0</v>
      </c>
      <c r="G112" s="158" t="s">
        <v>1377</v>
      </c>
      <c r="H112" s="153">
        <v>0.0</v>
      </c>
      <c r="I112" s="118"/>
      <c r="J112" s="118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</row>
    <row r="113" ht="15.75" customHeight="1">
      <c r="A113" s="159"/>
      <c r="B113" s="138"/>
      <c r="C113" s="155"/>
      <c r="D113" s="156" t="s">
        <v>1376</v>
      </c>
      <c r="E113" s="153">
        <v>0.0</v>
      </c>
      <c r="F113" s="157">
        <v>7.0</v>
      </c>
      <c r="G113" s="158" t="s">
        <v>1378</v>
      </c>
      <c r="H113" s="153">
        <v>2.0</v>
      </c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</row>
    <row r="114" ht="15.75" customHeight="1">
      <c r="A114" s="159"/>
      <c r="B114" s="138"/>
      <c r="C114" s="155"/>
      <c r="D114" s="156" t="s">
        <v>1376</v>
      </c>
      <c r="E114" s="153">
        <v>0.0</v>
      </c>
      <c r="F114" s="157">
        <v>12.0</v>
      </c>
      <c r="G114" s="158" t="s">
        <v>1280</v>
      </c>
      <c r="H114" s="153">
        <v>3.0</v>
      </c>
      <c r="I114" s="118"/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</row>
    <row r="115" ht="15.75" customHeight="1">
      <c r="A115" s="159"/>
      <c r="B115" s="138"/>
      <c r="C115" s="155"/>
      <c r="D115" s="156" t="s">
        <v>1376</v>
      </c>
      <c r="E115" s="153">
        <v>0.0</v>
      </c>
      <c r="F115" s="157">
        <v>15.0</v>
      </c>
      <c r="G115" s="158" t="s">
        <v>1379</v>
      </c>
      <c r="H115" s="153">
        <v>1.0</v>
      </c>
      <c r="I115" s="118"/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</row>
    <row r="116" ht="15.75" customHeight="1">
      <c r="A116" s="159"/>
      <c r="B116" s="160"/>
      <c r="C116" s="155"/>
      <c r="D116" s="156" t="s">
        <v>1376</v>
      </c>
      <c r="E116" s="153">
        <v>0.0</v>
      </c>
      <c r="F116" s="157">
        <v>17.0</v>
      </c>
      <c r="G116" s="158" t="s">
        <v>1380</v>
      </c>
      <c r="H116" s="153">
        <v>3.0</v>
      </c>
      <c r="I116" s="118"/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</row>
    <row r="117" ht="15.75" customHeight="1">
      <c r="A117" s="159"/>
      <c r="B117" s="160"/>
      <c r="C117" s="155"/>
      <c r="D117" s="156" t="s">
        <v>1381</v>
      </c>
      <c r="E117" s="153">
        <v>0.0</v>
      </c>
      <c r="F117" s="157">
        <v>3.0</v>
      </c>
      <c r="G117" s="158" t="s">
        <v>1268</v>
      </c>
      <c r="H117" s="153">
        <v>3.0</v>
      </c>
      <c r="I117" s="118"/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</row>
    <row r="118" ht="15.75" customHeight="1">
      <c r="A118" s="159"/>
      <c r="B118" s="160"/>
      <c r="C118" s="155"/>
      <c r="D118" s="156" t="s">
        <v>1381</v>
      </c>
      <c r="E118" s="153">
        <v>0.0</v>
      </c>
      <c r="F118" s="157">
        <v>4.0</v>
      </c>
      <c r="G118" s="158" t="s">
        <v>1270</v>
      </c>
      <c r="H118" s="153">
        <v>5.0</v>
      </c>
      <c r="I118" s="118"/>
      <c r="J118" s="118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</row>
    <row r="119" ht="15.75" customHeight="1">
      <c r="A119" s="159"/>
      <c r="B119" s="160"/>
      <c r="C119" s="155"/>
      <c r="D119" s="156" t="s">
        <v>1381</v>
      </c>
      <c r="E119" s="153">
        <v>0.0</v>
      </c>
      <c r="F119" s="157">
        <v>5.0</v>
      </c>
      <c r="G119" s="158" t="s">
        <v>1271</v>
      </c>
      <c r="H119" s="153">
        <v>6.0</v>
      </c>
      <c r="I119" s="118"/>
      <c r="J119" s="118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</row>
    <row r="120" ht="15.75" customHeight="1">
      <c r="A120" s="159"/>
      <c r="B120" s="160"/>
      <c r="C120" s="155"/>
      <c r="D120" s="156" t="s">
        <v>1381</v>
      </c>
      <c r="E120" s="153">
        <v>0.0</v>
      </c>
      <c r="F120" s="157">
        <v>6.0</v>
      </c>
      <c r="G120" s="158" t="s">
        <v>1273</v>
      </c>
      <c r="H120" s="153">
        <v>7.0</v>
      </c>
      <c r="I120" s="118"/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</row>
    <row r="121" ht="15.75" customHeight="1">
      <c r="A121" s="159"/>
      <c r="B121" s="160"/>
      <c r="C121" s="155"/>
      <c r="D121" s="156" t="s">
        <v>1381</v>
      </c>
      <c r="E121" s="153">
        <v>0.0</v>
      </c>
      <c r="F121" s="157">
        <v>7.0</v>
      </c>
      <c r="G121" s="158" t="s">
        <v>1274</v>
      </c>
      <c r="H121" s="153">
        <v>1.0</v>
      </c>
      <c r="I121" s="118"/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</row>
    <row r="122" ht="15.75" customHeight="1">
      <c r="A122" s="159"/>
      <c r="B122" s="160"/>
      <c r="C122" s="155"/>
      <c r="D122" s="156" t="s">
        <v>1381</v>
      </c>
      <c r="E122" s="153">
        <v>0.0</v>
      </c>
      <c r="F122" s="157">
        <v>8.0</v>
      </c>
      <c r="G122" s="158" t="s">
        <v>1276</v>
      </c>
      <c r="H122" s="153">
        <v>2.0</v>
      </c>
      <c r="I122" s="118"/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</row>
    <row r="123" ht="15.75" customHeight="1">
      <c r="A123" s="159"/>
      <c r="B123" s="160"/>
      <c r="C123" s="155"/>
      <c r="D123" s="156" t="s">
        <v>1381</v>
      </c>
      <c r="E123" s="153">
        <v>0.0</v>
      </c>
      <c r="F123" s="157">
        <v>9.0</v>
      </c>
      <c r="G123" s="158" t="s">
        <v>1277</v>
      </c>
      <c r="H123" s="153">
        <v>4.0</v>
      </c>
      <c r="I123" s="118"/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</row>
    <row r="124" ht="15.75" customHeight="1">
      <c r="A124" s="159"/>
      <c r="B124" s="160"/>
      <c r="C124" s="155"/>
      <c r="D124" s="156" t="s">
        <v>1382</v>
      </c>
      <c r="E124" s="153">
        <v>0.0</v>
      </c>
      <c r="F124" s="157">
        <v>1.0</v>
      </c>
      <c r="G124" s="158" t="s">
        <v>1383</v>
      </c>
      <c r="H124" s="153">
        <v>1.0</v>
      </c>
      <c r="I124" s="118"/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</row>
    <row r="125" ht="15.75" customHeight="1">
      <c r="A125" s="159"/>
      <c r="B125" s="160"/>
      <c r="C125" s="155"/>
      <c r="D125" s="156" t="s">
        <v>1382</v>
      </c>
      <c r="E125" s="153">
        <v>0.0</v>
      </c>
      <c r="F125" s="157">
        <v>3.0</v>
      </c>
      <c r="G125" s="158" t="s">
        <v>1384</v>
      </c>
      <c r="H125" s="153">
        <v>6.0</v>
      </c>
      <c r="I125" s="118"/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</row>
    <row r="126" ht="15.75" customHeight="1">
      <c r="A126" s="159"/>
      <c r="B126" s="160"/>
      <c r="C126" s="155"/>
      <c r="D126" s="156" t="s">
        <v>1382</v>
      </c>
      <c r="E126" s="153">
        <v>0.0</v>
      </c>
      <c r="F126" s="157">
        <v>4.0</v>
      </c>
      <c r="G126" s="158" t="s">
        <v>1269</v>
      </c>
      <c r="H126" s="153">
        <v>9.0</v>
      </c>
      <c r="I126" s="118"/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</row>
    <row r="127" ht="15.75" customHeight="1">
      <c r="A127" s="159"/>
      <c r="B127" s="160"/>
      <c r="C127" s="155"/>
      <c r="D127" s="156" t="s">
        <v>1382</v>
      </c>
      <c r="E127" s="153">
        <v>0.0</v>
      </c>
      <c r="F127" s="157">
        <v>5.0</v>
      </c>
      <c r="G127" s="158" t="s">
        <v>1271</v>
      </c>
      <c r="H127" s="153">
        <v>2.0</v>
      </c>
      <c r="I127" s="118"/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  <c r="AA127" s="118"/>
      <c r="AB127" s="118"/>
    </row>
    <row r="128" ht="15.75" customHeight="1">
      <c r="A128" s="159"/>
      <c r="B128" s="160"/>
      <c r="C128" s="155"/>
      <c r="D128" s="156" t="s">
        <v>1382</v>
      </c>
      <c r="E128" s="153">
        <v>0.0</v>
      </c>
      <c r="F128" s="157">
        <v>6.0</v>
      </c>
      <c r="G128" s="158" t="s">
        <v>1358</v>
      </c>
      <c r="H128" s="153">
        <v>3.0</v>
      </c>
      <c r="I128" s="118"/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  <c r="AA128" s="118"/>
      <c r="AB128" s="118"/>
    </row>
    <row r="129" ht="15.75" customHeight="1">
      <c r="A129" s="159"/>
      <c r="B129" s="160"/>
      <c r="C129" s="155"/>
      <c r="D129" s="156" t="s">
        <v>1382</v>
      </c>
      <c r="E129" s="153">
        <v>0.0</v>
      </c>
      <c r="F129" s="157">
        <v>8.0</v>
      </c>
      <c r="G129" s="158" t="s">
        <v>1385</v>
      </c>
      <c r="H129" s="153">
        <v>7.0</v>
      </c>
      <c r="I129" s="118"/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8"/>
      <c r="V129" s="118"/>
      <c r="W129" s="118"/>
      <c r="X129" s="118"/>
      <c r="Y129" s="118"/>
      <c r="Z129" s="118"/>
      <c r="AA129" s="118"/>
      <c r="AB129" s="118"/>
    </row>
    <row r="130" ht="15.75" customHeight="1">
      <c r="A130" s="159"/>
      <c r="B130" s="160"/>
      <c r="C130" s="155"/>
      <c r="D130" s="156" t="s">
        <v>1382</v>
      </c>
      <c r="E130" s="153">
        <v>0.0</v>
      </c>
      <c r="F130" s="157">
        <v>12.0</v>
      </c>
      <c r="G130" s="158" t="s">
        <v>1386</v>
      </c>
      <c r="H130" s="153">
        <v>5.0</v>
      </c>
      <c r="I130" s="118"/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  <c r="AA130" s="118"/>
      <c r="AB130" s="118"/>
    </row>
    <row r="131" ht="15.75" customHeight="1">
      <c r="A131" s="159"/>
      <c r="B131" s="160"/>
      <c r="C131" s="155"/>
      <c r="D131" s="156" t="s">
        <v>1382</v>
      </c>
      <c r="E131" s="153">
        <v>0.0</v>
      </c>
      <c r="F131" s="157">
        <v>17.0</v>
      </c>
      <c r="G131" s="158" t="s">
        <v>1387</v>
      </c>
      <c r="H131" s="153">
        <v>8.0</v>
      </c>
      <c r="I131" s="118"/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  <c r="AA131" s="118"/>
      <c r="AB131" s="118"/>
    </row>
    <row r="132" ht="15.75" customHeight="1">
      <c r="A132" s="159"/>
      <c r="B132" s="160"/>
      <c r="C132" s="155"/>
      <c r="D132" s="156" t="s">
        <v>1388</v>
      </c>
      <c r="E132" s="153">
        <v>0.0</v>
      </c>
      <c r="F132" s="157">
        <v>1.0</v>
      </c>
      <c r="G132" s="158" t="s">
        <v>1263</v>
      </c>
      <c r="H132" s="153">
        <v>1.0</v>
      </c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  <c r="AA132" s="118"/>
      <c r="AB132" s="118"/>
    </row>
    <row r="133" ht="15.75" customHeight="1">
      <c r="A133" s="159"/>
      <c r="B133" s="160"/>
      <c r="C133" s="155"/>
      <c r="D133" s="156" t="s">
        <v>1388</v>
      </c>
      <c r="E133" s="153">
        <v>0.0</v>
      </c>
      <c r="F133" s="157">
        <v>2.0</v>
      </c>
      <c r="G133" s="158" t="s">
        <v>1266</v>
      </c>
      <c r="H133" s="153">
        <v>2.0</v>
      </c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8"/>
      <c r="V133" s="118"/>
      <c r="W133" s="118"/>
      <c r="X133" s="118"/>
      <c r="Y133" s="118"/>
      <c r="Z133" s="118"/>
      <c r="AA133" s="118"/>
      <c r="AB133" s="118"/>
    </row>
    <row r="134" ht="15.75" customHeight="1">
      <c r="A134" s="159"/>
      <c r="B134" s="160"/>
      <c r="C134" s="155"/>
      <c r="D134" s="156" t="s">
        <v>1388</v>
      </c>
      <c r="E134" s="153">
        <v>0.0</v>
      </c>
      <c r="F134" s="157">
        <v>3.0</v>
      </c>
      <c r="G134" s="158" t="s">
        <v>1268</v>
      </c>
      <c r="H134" s="153">
        <v>3.0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</row>
    <row r="135" ht="15.75" customHeight="1">
      <c r="A135" s="159"/>
      <c r="B135" s="160"/>
      <c r="C135" s="155"/>
      <c r="D135" s="156" t="s">
        <v>1388</v>
      </c>
      <c r="E135" s="153">
        <v>0.0</v>
      </c>
      <c r="F135" s="157">
        <v>4.0</v>
      </c>
      <c r="G135" s="158" t="s">
        <v>1269</v>
      </c>
      <c r="H135" s="153">
        <v>4.0</v>
      </c>
      <c r="I135" s="118"/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</row>
    <row r="136" ht="15.75" customHeight="1">
      <c r="A136" s="159"/>
      <c r="B136" s="160"/>
      <c r="C136" s="155"/>
      <c r="D136" s="156" t="s">
        <v>1388</v>
      </c>
      <c r="E136" s="153">
        <v>0.0</v>
      </c>
      <c r="F136" s="157">
        <v>5.0</v>
      </c>
      <c r="G136" s="158" t="s">
        <v>1271</v>
      </c>
      <c r="H136" s="153">
        <v>5.0</v>
      </c>
      <c r="I136" s="118"/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</row>
    <row r="137" ht="15.75" customHeight="1">
      <c r="A137" s="159"/>
      <c r="B137" s="160"/>
      <c r="C137" s="155"/>
      <c r="D137" s="156" t="s">
        <v>1388</v>
      </c>
      <c r="E137" s="153">
        <v>0.0</v>
      </c>
      <c r="F137" s="157">
        <v>6.0</v>
      </c>
      <c r="G137" s="158" t="s">
        <v>1273</v>
      </c>
      <c r="H137" s="153">
        <v>6.0</v>
      </c>
      <c r="I137" s="118"/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</row>
    <row r="138" ht="15.75" customHeight="1">
      <c r="A138" s="159"/>
      <c r="B138" s="160"/>
      <c r="C138" s="155"/>
      <c r="D138" s="156" t="s">
        <v>1389</v>
      </c>
      <c r="E138" s="153">
        <v>0.0</v>
      </c>
      <c r="F138" s="157">
        <v>1.0</v>
      </c>
      <c r="G138" s="158" t="s">
        <v>1390</v>
      </c>
      <c r="H138" s="153" t="s">
        <v>1391</v>
      </c>
      <c r="I138" s="118"/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</row>
    <row r="139" ht="15.75" customHeight="1">
      <c r="A139" s="159"/>
      <c r="B139" s="160"/>
      <c r="C139" s="155"/>
      <c r="D139" s="156" t="s">
        <v>1389</v>
      </c>
      <c r="E139" s="153">
        <v>0.0</v>
      </c>
      <c r="F139" s="157">
        <v>2.0</v>
      </c>
      <c r="G139" s="158" t="s">
        <v>1392</v>
      </c>
      <c r="H139" s="153" t="s">
        <v>1393</v>
      </c>
      <c r="I139" s="118"/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</row>
    <row r="140" ht="15.75" customHeight="1">
      <c r="A140" s="159"/>
      <c r="B140" s="160"/>
      <c r="C140" s="155"/>
      <c r="D140" s="156" t="s">
        <v>1389</v>
      </c>
      <c r="E140" s="153">
        <v>0.0</v>
      </c>
      <c r="F140" s="157">
        <v>3.0</v>
      </c>
      <c r="G140" s="158" t="s">
        <v>1268</v>
      </c>
      <c r="H140" s="153" t="s">
        <v>1394</v>
      </c>
      <c r="I140" s="118"/>
      <c r="J140" s="118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</row>
    <row r="141" ht="15.75" customHeight="1">
      <c r="A141" s="159"/>
      <c r="B141" s="160"/>
      <c r="C141" s="155"/>
      <c r="D141" s="156" t="s">
        <v>1389</v>
      </c>
      <c r="E141" s="153">
        <v>0.0</v>
      </c>
      <c r="F141" s="157">
        <v>4.0</v>
      </c>
      <c r="G141" s="158" t="s">
        <v>1269</v>
      </c>
      <c r="H141" s="153" t="s">
        <v>1394</v>
      </c>
      <c r="I141" s="118"/>
      <c r="J141" s="118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</row>
    <row r="142" ht="15.75" customHeight="1">
      <c r="A142" s="159"/>
      <c r="B142" s="160"/>
      <c r="C142" s="155"/>
      <c r="D142" s="156" t="s">
        <v>1395</v>
      </c>
      <c r="E142" s="153">
        <v>0.0</v>
      </c>
      <c r="F142" s="157">
        <v>3.0</v>
      </c>
      <c r="G142" s="158" t="s">
        <v>1268</v>
      </c>
      <c r="H142" s="153">
        <v>3.0</v>
      </c>
      <c r="I142" s="118"/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</row>
    <row r="143" ht="15.75" customHeight="1">
      <c r="A143" s="159"/>
      <c r="B143" s="160"/>
      <c r="C143" s="155"/>
      <c r="D143" s="156" t="s">
        <v>1395</v>
      </c>
      <c r="E143" s="153">
        <v>0.0</v>
      </c>
      <c r="F143" s="157">
        <v>4.0</v>
      </c>
      <c r="G143" s="158" t="s">
        <v>1270</v>
      </c>
      <c r="H143" s="153">
        <v>5.0</v>
      </c>
      <c r="I143" s="118"/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</row>
    <row r="144" ht="15.75" customHeight="1">
      <c r="A144" s="159"/>
      <c r="B144" s="160"/>
      <c r="C144" s="155"/>
      <c r="D144" s="156" t="s">
        <v>1395</v>
      </c>
      <c r="E144" s="153">
        <v>0.0</v>
      </c>
      <c r="F144" s="157">
        <v>5.0</v>
      </c>
      <c r="G144" s="158" t="s">
        <v>1271</v>
      </c>
      <c r="H144" s="153">
        <v>6.0</v>
      </c>
      <c r="I144" s="118"/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</row>
    <row r="145" ht="15.75" customHeight="1">
      <c r="A145" s="159"/>
      <c r="B145" s="160"/>
      <c r="C145" s="155"/>
      <c r="D145" s="156" t="s">
        <v>1395</v>
      </c>
      <c r="E145" s="153">
        <v>0.0</v>
      </c>
      <c r="F145" s="157">
        <v>6.0</v>
      </c>
      <c r="G145" s="158" t="s">
        <v>1273</v>
      </c>
      <c r="H145" s="153">
        <v>7.0</v>
      </c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</row>
    <row r="146" ht="15.75" customHeight="1">
      <c r="A146" s="159"/>
      <c r="B146" s="160"/>
      <c r="C146" s="155"/>
      <c r="D146" s="156" t="s">
        <v>1395</v>
      </c>
      <c r="E146" s="153">
        <v>0.0</v>
      </c>
      <c r="F146" s="157">
        <v>7.0</v>
      </c>
      <c r="G146" s="158" t="s">
        <v>1274</v>
      </c>
      <c r="H146" s="153">
        <v>1.0</v>
      </c>
      <c r="I146" s="118"/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</row>
    <row r="147" ht="15.75" customHeight="1">
      <c r="A147" s="159"/>
      <c r="B147" s="160"/>
      <c r="C147" s="155"/>
      <c r="D147" s="156" t="s">
        <v>1395</v>
      </c>
      <c r="E147" s="153">
        <v>0.0</v>
      </c>
      <c r="F147" s="157">
        <v>8.0</v>
      </c>
      <c r="G147" s="158" t="s">
        <v>1276</v>
      </c>
      <c r="H147" s="153">
        <v>2.0</v>
      </c>
      <c r="I147" s="118"/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</row>
    <row r="148" ht="15.75" customHeight="1">
      <c r="A148" s="159"/>
      <c r="B148" s="160"/>
      <c r="C148" s="155"/>
      <c r="D148" s="156" t="s">
        <v>1395</v>
      </c>
      <c r="E148" s="153">
        <v>0.0</v>
      </c>
      <c r="F148" s="157">
        <v>9.0</v>
      </c>
      <c r="G148" s="158" t="s">
        <v>1277</v>
      </c>
      <c r="H148" s="153">
        <v>4.0</v>
      </c>
      <c r="I148" s="118"/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</row>
    <row r="149" ht="15.75" customHeight="1">
      <c r="A149" s="159"/>
      <c r="B149" s="160"/>
      <c r="C149" s="155"/>
      <c r="D149" s="156" t="s">
        <v>1396</v>
      </c>
      <c r="E149" s="153">
        <v>0.0</v>
      </c>
      <c r="F149" s="157">
        <v>1.0</v>
      </c>
      <c r="G149" s="158" t="s">
        <v>1263</v>
      </c>
      <c r="H149" s="153" t="s">
        <v>1391</v>
      </c>
      <c r="I149" s="118"/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</row>
    <row r="150" ht="15.75" customHeight="1">
      <c r="A150" s="159"/>
      <c r="B150" s="160"/>
      <c r="C150" s="155"/>
      <c r="D150" s="156" t="s">
        <v>1396</v>
      </c>
      <c r="E150" s="153">
        <v>0.0</v>
      </c>
      <c r="F150" s="157">
        <v>2.0</v>
      </c>
      <c r="G150" s="158" t="s">
        <v>1266</v>
      </c>
      <c r="H150" s="153" t="s">
        <v>23</v>
      </c>
      <c r="I150" s="118"/>
      <c r="J150" s="118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</row>
    <row r="151" ht="15.75" customHeight="1">
      <c r="A151" s="159"/>
      <c r="B151" s="160"/>
      <c r="C151" s="155"/>
      <c r="D151" s="156" t="s">
        <v>1396</v>
      </c>
      <c r="E151" s="153">
        <v>0.0</v>
      </c>
      <c r="F151" s="157">
        <v>3.0</v>
      </c>
      <c r="G151" s="158" t="s">
        <v>1268</v>
      </c>
      <c r="H151" s="153" t="s">
        <v>1397</v>
      </c>
      <c r="I151" s="118"/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</row>
    <row r="152" ht="15.75" customHeight="1">
      <c r="A152" s="159"/>
      <c r="B152" s="160"/>
      <c r="C152" s="155"/>
      <c r="D152" s="156" t="s">
        <v>1396</v>
      </c>
      <c r="E152" s="153">
        <v>0.0</v>
      </c>
      <c r="F152" s="157">
        <v>4.0</v>
      </c>
      <c r="G152" s="158" t="s">
        <v>1269</v>
      </c>
      <c r="H152" s="153" t="s">
        <v>1398</v>
      </c>
      <c r="I152" s="118"/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</row>
    <row r="153" ht="15.75" customHeight="1">
      <c r="A153" s="159"/>
      <c r="B153" s="160"/>
      <c r="C153" s="155"/>
      <c r="D153" s="156" t="s">
        <v>1396</v>
      </c>
      <c r="E153" s="153">
        <v>0.0</v>
      </c>
      <c r="F153" s="157">
        <v>5.0</v>
      </c>
      <c r="G153" s="158" t="s">
        <v>1271</v>
      </c>
      <c r="H153" s="153" t="s">
        <v>1399</v>
      </c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</row>
    <row r="154" ht="15.75" customHeight="1">
      <c r="A154" s="159"/>
      <c r="B154" s="160"/>
      <c r="C154" s="155"/>
      <c r="D154" s="156" t="s">
        <v>1396</v>
      </c>
      <c r="E154" s="153">
        <v>0.0</v>
      </c>
      <c r="F154" s="157">
        <v>6.0</v>
      </c>
      <c r="G154" s="158" t="s">
        <v>1273</v>
      </c>
      <c r="H154" s="153" t="s">
        <v>1399</v>
      </c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</row>
    <row r="155" ht="15.75" customHeight="1">
      <c r="A155" s="159"/>
      <c r="B155" s="160"/>
      <c r="C155" s="155"/>
      <c r="D155" s="156" t="s">
        <v>1396</v>
      </c>
      <c r="E155" s="153">
        <v>0.0</v>
      </c>
      <c r="F155" s="157">
        <v>10.0</v>
      </c>
      <c r="G155" s="158" t="s">
        <v>1400</v>
      </c>
      <c r="H155" s="153" t="s">
        <v>13</v>
      </c>
      <c r="I155" s="118"/>
      <c r="J155" s="118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</row>
    <row r="156" ht="15.75" customHeight="1">
      <c r="A156" s="159"/>
      <c r="B156" s="160"/>
      <c r="C156" s="155"/>
      <c r="D156" s="156" t="s">
        <v>1396</v>
      </c>
      <c r="E156" s="153">
        <v>0.0</v>
      </c>
      <c r="F156" s="157">
        <v>12.0</v>
      </c>
      <c r="G156" s="158" t="s">
        <v>1401</v>
      </c>
      <c r="H156" s="153" t="s">
        <v>1402</v>
      </c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</row>
    <row r="157" ht="15.75" customHeight="1">
      <c r="A157" s="159"/>
      <c r="B157" s="160"/>
      <c r="C157" s="155"/>
      <c r="D157" s="156" t="s">
        <v>1396</v>
      </c>
      <c r="E157" s="153">
        <v>0.0</v>
      </c>
      <c r="F157" s="157">
        <v>17.0</v>
      </c>
      <c r="G157" s="158" t="s">
        <v>1403</v>
      </c>
      <c r="H157" s="153" t="s">
        <v>1404</v>
      </c>
      <c r="I157" s="118"/>
      <c r="J157" s="118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</row>
    <row r="158" ht="15.75" customHeight="1">
      <c r="A158" s="159"/>
      <c r="B158" s="160"/>
      <c r="C158" s="155"/>
      <c r="D158" s="156" t="s">
        <v>1405</v>
      </c>
      <c r="E158" s="153">
        <v>0.0</v>
      </c>
      <c r="F158" s="157">
        <v>1.0</v>
      </c>
      <c r="G158" s="158" t="s">
        <v>1263</v>
      </c>
      <c r="H158" s="153">
        <v>1.0</v>
      </c>
      <c r="I158" s="118"/>
      <c r="J158" s="118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</row>
    <row r="159" ht="15.75" customHeight="1">
      <c r="A159" s="159"/>
      <c r="B159" s="160"/>
      <c r="C159" s="155"/>
      <c r="D159" s="156" t="s">
        <v>1405</v>
      </c>
      <c r="E159" s="153">
        <v>0.0</v>
      </c>
      <c r="F159" s="157">
        <v>2.0</v>
      </c>
      <c r="G159" s="158" t="s">
        <v>1266</v>
      </c>
      <c r="H159" s="153">
        <v>2.0</v>
      </c>
      <c r="I159" s="118"/>
      <c r="J159" s="118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</row>
    <row r="160" ht="15.75" customHeight="1">
      <c r="A160" s="159"/>
      <c r="B160" s="160"/>
      <c r="C160" s="155"/>
      <c r="D160" s="156" t="s">
        <v>1405</v>
      </c>
      <c r="E160" s="153">
        <v>0.0</v>
      </c>
      <c r="F160" s="157">
        <v>3.0</v>
      </c>
      <c r="G160" s="158" t="s">
        <v>1268</v>
      </c>
      <c r="H160" s="153">
        <v>3.0</v>
      </c>
      <c r="I160" s="118"/>
      <c r="J160" s="118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</row>
    <row r="161" ht="15.75" customHeight="1">
      <c r="A161" s="159"/>
      <c r="B161" s="160"/>
      <c r="C161" s="155"/>
      <c r="D161" s="156" t="s">
        <v>1405</v>
      </c>
      <c r="E161" s="153">
        <v>0.0</v>
      </c>
      <c r="F161" s="157">
        <v>4.0</v>
      </c>
      <c r="G161" s="158" t="s">
        <v>1269</v>
      </c>
      <c r="H161" s="153">
        <v>4.0</v>
      </c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</row>
    <row r="162" ht="15.75" customHeight="1">
      <c r="A162" s="159"/>
      <c r="B162" s="160"/>
      <c r="C162" s="155"/>
      <c r="D162" s="156" t="s">
        <v>1405</v>
      </c>
      <c r="E162" s="153">
        <v>0.0</v>
      </c>
      <c r="F162" s="157">
        <v>5.0</v>
      </c>
      <c r="G162" s="158" t="s">
        <v>1271</v>
      </c>
      <c r="H162" s="153">
        <v>5.0</v>
      </c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</row>
    <row r="163" ht="15.75" customHeight="1">
      <c r="A163" s="159"/>
      <c r="B163" s="160"/>
      <c r="C163" s="155"/>
      <c r="D163" s="156" t="s">
        <v>1405</v>
      </c>
      <c r="E163" s="153">
        <v>0.0</v>
      </c>
      <c r="F163" s="157">
        <v>6.0</v>
      </c>
      <c r="G163" s="158" t="s">
        <v>1273</v>
      </c>
      <c r="H163" s="153">
        <v>6.0</v>
      </c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</row>
    <row r="164" ht="15.75" customHeight="1">
      <c r="A164" s="159"/>
      <c r="B164" s="160"/>
      <c r="C164" s="155"/>
      <c r="D164" s="156" t="s">
        <v>1406</v>
      </c>
      <c r="E164" s="153">
        <v>0.0</v>
      </c>
      <c r="F164" s="157">
        <v>3.0</v>
      </c>
      <c r="G164" s="158" t="s">
        <v>1268</v>
      </c>
      <c r="H164" s="153">
        <v>3.0</v>
      </c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</row>
    <row r="165" ht="15.75" customHeight="1">
      <c r="A165" s="159"/>
      <c r="B165" s="160"/>
      <c r="C165" s="155"/>
      <c r="D165" s="156" t="s">
        <v>1406</v>
      </c>
      <c r="E165" s="153">
        <v>0.0</v>
      </c>
      <c r="F165" s="157">
        <v>4.0</v>
      </c>
      <c r="G165" s="158" t="s">
        <v>1270</v>
      </c>
      <c r="H165" s="153">
        <v>5.0</v>
      </c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</row>
    <row r="166" ht="15.75" customHeight="1">
      <c r="A166" s="159"/>
      <c r="B166" s="160"/>
      <c r="C166" s="155"/>
      <c r="D166" s="156" t="s">
        <v>1406</v>
      </c>
      <c r="E166" s="153">
        <v>0.0</v>
      </c>
      <c r="F166" s="157">
        <v>5.0</v>
      </c>
      <c r="G166" s="158" t="s">
        <v>1271</v>
      </c>
      <c r="H166" s="153">
        <v>6.0</v>
      </c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</row>
    <row r="167" ht="15.75" customHeight="1">
      <c r="A167" s="159"/>
      <c r="B167" s="160"/>
      <c r="C167" s="155"/>
      <c r="D167" s="156" t="s">
        <v>1406</v>
      </c>
      <c r="E167" s="153">
        <v>0.0</v>
      </c>
      <c r="F167" s="157">
        <v>6.0</v>
      </c>
      <c r="G167" s="158" t="s">
        <v>1273</v>
      </c>
      <c r="H167" s="153">
        <v>7.0</v>
      </c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</row>
    <row r="168" ht="15.75" customHeight="1">
      <c r="A168" s="159"/>
      <c r="B168" s="160"/>
      <c r="C168" s="155"/>
      <c r="D168" s="156" t="s">
        <v>1406</v>
      </c>
      <c r="E168" s="153">
        <v>0.0</v>
      </c>
      <c r="F168" s="157">
        <v>7.0</v>
      </c>
      <c r="G168" s="158" t="s">
        <v>1274</v>
      </c>
      <c r="H168" s="153">
        <v>1.0</v>
      </c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</row>
    <row r="169" ht="15.75" customHeight="1">
      <c r="A169" s="159"/>
      <c r="B169" s="160"/>
      <c r="C169" s="155"/>
      <c r="D169" s="156" t="s">
        <v>1406</v>
      </c>
      <c r="E169" s="153">
        <v>0.0</v>
      </c>
      <c r="F169" s="157">
        <v>8.0</v>
      </c>
      <c r="G169" s="158" t="s">
        <v>1276</v>
      </c>
      <c r="H169" s="153">
        <v>2.0</v>
      </c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</row>
    <row r="170" ht="15.75" customHeight="1">
      <c r="A170" s="159"/>
      <c r="B170" s="160"/>
      <c r="C170" s="155"/>
      <c r="D170" s="156" t="s">
        <v>1406</v>
      </c>
      <c r="E170" s="153">
        <v>0.0</v>
      </c>
      <c r="F170" s="157">
        <v>9.0</v>
      </c>
      <c r="G170" s="158" t="s">
        <v>1277</v>
      </c>
      <c r="H170" s="153">
        <v>4.0</v>
      </c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</row>
    <row r="171" ht="15.75" customHeight="1">
      <c r="A171" s="159"/>
      <c r="B171" s="160"/>
      <c r="C171" s="155"/>
      <c r="D171" s="156" t="s">
        <v>1407</v>
      </c>
      <c r="E171" s="153">
        <v>0.0</v>
      </c>
      <c r="F171" s="157">
        <v>1.0</v>
      </c>
      <c r="G171" s="158" t="s">
        <v>1263</v>
      </c>
      <c r="H171" s="153">
        <v>1.0</v>
      </c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</row>
    <row r="172" ht="15.75" customHeight="1">
      <c r="A172" s="159"/>
      <c r="B172" s="160"/>
      <c r="C172" s="155"/>
      <c r="D172" s="156" t="s">
        <v>1407</v>
      </c>
      <c r="E172" s="153">
        <v>0.0</v>
      </c>
      <c r="F172" s="157">
        <v>2.0</v>
      </c>
      <c r="G172" s="158" t="s">
        <v>1266</v>
      </c>
      <c r="H172" s="153">
        <v>2.0</v>
      </c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</row>
    <row r="173" ht="15.75" customHeight="1">
      <c r="A173" s="159"/>
      <c r="B173" s="160"/>
      <c r="C173" s="155"/>
      <c r="D173" s="156" t="s">
        <v>1407</v>
      </c>
      <c r="E173" s="153">
        <v>0.0</v>
      </c>
      <c r="F173" s="157">
        <v>3.0</v>
      </c>
      <c r="G173" s="158" t="s">
        <v>1268</v>
      </c>
      <c r="H173" s="153">
        <v>3.0</v>
      </c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</row>
    <row r="174" ht="15.75" customHeight="1">
      <c r="A174" s="159"/>
      <c r="B174" s="160"/>
      <c r="C174" s="155"/>
      <c r="D174" s="156" t="s">
        <v>1407</v>
      </c>
      <c r="E174" s="153">
        <v>0.0</v>
      </c>
      <c r="F174" s="157">
        <v>4.0</v>
      </c>
      <c r="G174" s="158" t="s">
        <v>1269</v>
      </c>
      <c r="H174" s="153">
        <v>4.0</v>
      </c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</row>
    <row r="175" ht="15.75" customHeight="1">
      <c r="A175" s="159"/>
      <c r="B175" s="160"/>
      <c r="C175" s="155"/>
      <c r="D175" s="156" t="s">
        <v>1407</v>
      </c>
      <c r="E175" s="153">
        <v>0.0</v>
      </c>
      <c r="F175" s="157">
        <v>5.0</v>
      </c>
      <c r="G175" s="158" t="s">
        <v>1271</v>
      </c>
      <c r="H175" s="153">
        <v>5.0</v>
      </c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</row>
    <row r="176" ht="15.75" customHeight="1">
      <c r="A176" s="159"/>
      <c r="B176" s="160"/>
      <c r="C176" s="155"/>
      <c r="D176" s="156" t="s">
        <v>1407</v>
      </c>
      <c r="E176" s="153">
        <v>0.0</v>
      </c>
      <c r="F176" s="157">
        <v>6.0</v>
      </c>
      <c r="G176" s="158" t="s">
        <v>1358</v>
      </c>
      <c r="H176" s="153">
        <v>6.0</v>
      </c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</row>
    <row r="177" ht="15.75" customHeight="1">
      <c r="A177" s="159"/>
      <c r="B177" s="160"/>
      <c r="C177" s="155"/>
      <c r="D177" s="156" t="s">
        <v>1408</v>
      </c>
      <c r="E177" s="153">
        <v>0.0</v>
      </c>
      <c r="F177" s="157">
        <v>3.0</v>
      </c>
      <c r="G177" s="158" t="s">
        <v>1268</v>
      </c>
      <c r="H177" s="153">
        <v>3.0</v>
      </c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</row>
    <row r="178" ht="15.75" customHeight="1">
      <c r="A178" s="159"/>
      <c r="B178" s="160"/>
      <c r="C178" s="155"/>
      <c r="D178" s="156" t="s">
        <v>1408</v>
      </c>
      <c r="E178" s="153">
        <v>0.0</v>
      </c>
      <c r="F178" s="157">
        <v>4.0</v>
      </c>
      <c r="G178" s="158" t="s">
        <v>1270</v>
      </c>
      <c r="H178" s="153">
        <v>5.0</v>
      </c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</row>
    <row r="179" ht="15.75" customHeight="1">
      <c r="A179" s="159"/>
      <c r="B179" s="160"/>
      <c r="C179" s="155"/>
      <c r="D179" s="156" t="s">
        <v>1408</v>
      </c>
      <c r="E179" s="153">
        <v>0.0</v>
      </c>
      <c r="F179" s="157">
        <v>5.0</v>
      </c>
      <c r="G179" s="158" t="s">
        <v>1271</v>
      </c>
      <c r="H179" s="153">
        <v>6.0</v>
      </c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</row>
    <row r="180" ht="15.75" customHeight="1">
      <c r="A180" s="159"/>
      <c r="B180" s="160"/>
      <c r="C180" s="155"/>
      <c r="D180" s="156" t="s">
        <v>1408</v>
      </c>
      <c r="E180" s="153">
        <v>0.0</v>
      </c>
      <c r="F180" s="157">
        <v>6.0</v>
      </c>
      <c r="G180" s="158" t="s">
        <v>1358</v>
      </c>
      <c r="H180" s="153">
        <v>7.0</v>
      </c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</row>
    <row r="181" ht="15.75" customHeight="1">
      <c r="A181" s="159"/>
      <c r="B181" s="160"/>
      <c r="C181" s="155"/>
      <c r="D181" s="156" t="s">
        <v>1408</v>
      </c>
      <c r="E181" s="153">
        <v>0.0</v>
      </c>
      <c r="F181" s="157">
        <v>7.0</v>
      </c>
      <c r="G181" s="158" t="s">
        <v>1274</v>
      </c>
      <c r="H181" s="153">
        <v>1.0</v>
      </c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</row>
    <row r="182" ht="15.75" customHeight="1">
      <c r="A182" s="159"/>
      <c r="B182" s="160"/>
      <c r="C182" s="155"/>
      <c r="D182" s="156" t="s">
        <v>1408</v>
      </c>
      <c r="E182" s="153">
        <v>0.0</v>
      </c>
      <c r="F182" s="157">
        <v>8.0</v>
      </c>
      <c r="G182" s="158" t="s">
        <v>1359</v>
      </c>
      <c r="H182" s="153">
        <v>2.0</v>
      </c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</row>
    <row r="183" ht="15.75" customHeight="1">
      <c r="A183" s="159"/>
      <c r="B183" s="160"/>
      <c r="C183" s="155"/>
      <c r="D183" s="156" t="s">
        <v>1408</v>
      </c>
      <c r="E183" s="153">
        <v>0.0</v>
      </c>
      <c r="F183" s="157">
        <v>9.0</v>
      </c>
      <c r="G183" s="158" t="s">
        <v>1277</v>
      </c>
      <c r="H183" s="153">
        <v>4.0</v>
      </c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</row>
    <row r="184" ht="15.75" customHeight="1">
      <c r="A184" s="159"/>
      <c r="B184" s="160"/>
      <c r="C184" s="155"/>
      <c r="D184" s="156" t="s">
        <v>1409</v>
      </c>
      <c r="E184" s="153">
        <v>0.0</v>
      </c>
      <c r="F184" s="157">
        <v>7.0</v>
      </c>
      <c r="G184" s="158" t="s">
        <v>1274</v>
      </c>
      <c r="H184" s="153">
        <v>2.0</v>
      </c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</row>
    <row r="185" ht="15.75" customHeight="1">
      <c r="A185" s="159"/>
      <c r="B185" s="160"/>
      <c r="C185" s="155"/>
      <c r="D185" s="156" t="s">
        <v>1409</v>
      </c>
      <c r="E185" s="153">
        <v>0.0</v>
      </c>
      <c r="F185" s="157">
        <v>9.0</v>
      </c>
      <c r="G185" s="158" t="s">
        <v>1277</v>
      </c>
      <c r="H185" s="153">
        <v>1.0</v>
      </c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</row>
    <row r="186" ht="15.75" customHeight="1">
      <c r="A186" s="159"/>
      <c r="B186" s="160"/>
      <c r="C186" s="155"/>
      <c r="D186" s="156" t="s">
        <v>1410</v>
      </c>
      <c r="E186" s="153">
        <v>0.0</v>
      </c>
      <c r="F186" s="157">
        <v>3.0</v>
      </c>
      <c r="G186" s="158" t="s">
        <v>1268</v>
      </c>
      <c r="H186" s="153">
        <v>3.0</v>
      </c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</row>
    <row r="187" ht="15.75" customHeight="1">
      <c r="A187" s="159"/>
      <c r="B187" s="160"/>
      <c r="C187" s="155"/>
      <c r="D187" s="156" t="s">
        <v>1410</v>
      </c>
      <c r="E187" s="153">
        <v>0.0</v>
      </c>
      <c r="F187" s="157">
        <v>4.0</v>
      </c>
      <c r="G187" s="158" t="s">
        <v>1270</v>
      </c>
      <c r="H187" s="153">
        <v>5.0</v>
      </c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</row>
    <row r="188" ht="15.75" customHeight="1">
      <c r="A188" s="159"/>
      <c r="B188" s="160"/>
      <c r="C188" s="155"/>
      <c r="D188" s="156" t="s">
        <v>1410</v>
      </c>
      <c r="E188" s="153">
        <v>0.0</v>
      </c>
      <c r="F188" s="157">
        <v>5.0</v>
      </c>
      <c r="G188" s="158" t="s">
        <v>1271</v>
      </c>
      <c r="H188" s="153">
        <v>6.0</v>
      </c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</row>
    <row r="189" ht="15.75" customHeight="1">
      <c r="A189" s="159"/>
      <c r="B189" s="160"/>
      <c r="C189" s="155"/>
      <c r="D189" s="156" t="s">
        <v>1410</v>
      </c>
      <c r="E189" s="153">
        <v>0.0</v>
      </c>
      <c r="F189" s="157">
        <v>6.0</v>
      </c>
      <c r="G189" s="158" t="s">
        <v>1358</v>
      </c>
      <c r="H189" s="153">
        <v>7.0</v>
      </c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</row>
    <row r="190" ht="15.75" customHeight="1">
      <c r="A190" s="159"/>
      <c r="B190" s="160"/>
      <c r="C190" s="155"/>
      <c r="D190" s="156" t="s">
        <v>1410</v>
      </c>
      <c r="E190" s="153">
        <v>0.0</v>
      </c>
      <c r="F190" s="157">
        <v>7.0</v>
      </c>
      <c r="G190" s="158" t="s">
        <v>1274</v>
      </c>
      <c r="H190" s="153">
        <v>1.0</v>
      </c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</row>
    <row r="191" ht="15.75" customHeight="1">
      <c r="A191" s="159"/>
      <c r="B191" s="160"/>
      <c r="C191" s="155"/>
      <c r="D191" s="156" t="s">
        <v>1410</v>
      </c>
      <c r="E191" s="153">
        <v>0.0</v>
      </c>
      <c r="F191" s="157">
        <v>8.0</v>
      </c>
      <c r="G191" s="158" t="s">
        <v>1359</v>
      </c>
      <c r="H191" s="153">
        <v>2.0</v>
      </c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</row>
    <row r="192" ht="15.75" customHeight="1">
      <c r="A192" s="159"/>
      <c r="B192" s="160"/>
      <c r="C192" s="155"/>
      <c r="D192" s="156" t="s">
        <v>1410</v>
      </c>
      <c r="E192" s="153">
        <v>0.0</v>
      </c>
      <c r="F192" s="157">
        <v>9.0</v>
      </c>
      <c r="G192" s="158" t="s">
        <v>1277</v>
      </c>
      <c r="H192" s="153">
        <v>4.0</v>
      </c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</row>
    <row r="193" ht="15.75" customHeight="1">
      <c r="A193" s="159"/>
      <c r="B193" s="160"/>
      <c r="C193" s="155"/>
      <c r="D193" s="156" t="s">
        <v>1411</v>
      </c>
      <c r="E193" s="153">
        <v>0.0</v>
      </c>
      <c r="F193" s="157">
        <v>1.0</v>
      </c>
      <c r="G193" s="158" t="s">
        <v>1263</v>
      </c>
      <c r="H193" s="153">
        <v>1.0</v>
      </c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</row>
    <row r="194" ht="15.75" customHeight="1">
      <c r="A194" s="159"/>
      <c r="B194" s="160"/>
      <c r="C194" s="155"/>
      <c r="D194" s="156" t="s">
        <v>1411</v>
      </c>
      <c r="E194" s="153">
        <v>0.0</v>
      </c>
      <c r="F194" s="157">
        <v>2.0</v>
      </c>
      <c r="G194" s="158" t="s">
        <v>1266</v>
      </c>
      <c r="H194" s="153">
        <v>2.0</v>
      </c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</row>
    <row r="195" ht="15.75" customHeight="1">
      <c r="A195" s="159"/>
      <c r="B195" s="160"/>
      <c r="C195" s="155"/>
      <c r="D195" s="156" t="s">
        <v>1411</v>
      </c>
      <c r="E195" s="153">
        <v>0.0</v>
      </c>
      <c r="F195" s="157">
        <v>3.0</v>
      </c>
      <c r="G195" s="158" t="s">
        <v>1268</v>
      </c>
      <c r="H195" s="153">
        <v>3.0</v>
      </c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</row>
    <row r="196" ht="15.75" customHeight="1">
      <c r="A196" s="159"/>
      <c r="B196" s="160"/>
      <c r="C196" s="155"/>
      <c r="D196" s="156" t="s">
        <v>1411</v>
      </c>
      <c r="E196" s="153">
        <v>0.0</v>
      </c>
      <c r="F196" s="157">
        <v>4.0</v>
      </c>
      <c r="G196" s="158" t="s">
        <v>1269</v>
      </c>
      <c r="H196" s="153">
        <v>3.0</v>
      </c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</row>
    <row r="197" ht="15.75" customHeight="1">
      <c r="A197" s="159"/>
      <c r="B197" s="160"/>
      <c r="C197" s="155"/>
      <c r="D197" s="156" t="s">
        <v>1411</v>
      </c>
      <c r="E197" s="153">
        <v>0.0</v>
      </c>
      <c r="F197" s="157">
        <v>5.0</v>
      </c>
      <c r="G197" s="158" t="s">
        <v>1271</v>
      </c>
      <c r="H197" s="153">
        <v>4.0</v>
      </c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</row>
    <row r="198" ht="15.75" customHeight="1">
      <c r="A198" s="159"/>
      <c r="B198" s="160"/>
      <c r="C198" s="155"/>
      <c r="D198" s="156" t="s">
        <v>1412</v>
      </c>
      <c r="E198" s="153">
        <v>0.0</v>
      </c>
      <c r="F198" s="157">
        <v>3.0</v>
      </c>
      <c r="G198" s="158" t="s">
        <v>1268</v>
      </c>
      <c r="H198" s="153">
        <v>3.0</v>
      </c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</row>
    <row r="199" ht="15.75" customHeight="1">
      <c r="A199" s="159"/>
      <c r="B199" s="160"/>
      <c r="C199" s="155"/>
      <c r="D199" s="156" t="s">
        <v>1412</v>
      </c>
      <c r="E199" s="153">
        <v>0.0</v>
      </c>
      <c r="F199" s="157">
        <v>4.0</v>
      </c>
      <c r="G199" s="158" t="s">
        <v>1270</v>
      </c>
      <c r="H199" s="153">
        <v>5.0</v>
      </c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</row>
    <row r="200" ht="15.75" customHeight="1">
      <c r="A200" s="159"/>
      <c r="B200" s="160"/>
      <c r="C200" s="155"/>
      <c r="D200" s="156" t="s">
        <v>1412</v>
      </c>
      <c r="E200" s="153">
        <v>0.0</v>
      </c>
      <c r="F200" s="157">
        <v>5.0</v>
      </c>
      <c r="G200" s="158" t="s">
        <v>1271</v>
      </c>
      <c r="H200" s="153">
        <v>6.0</v>
      </c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</row>
    <row r="201" ht="15.75" customHeight="1">
      <c r="A201" s="159"/>
      <c r="B201" s="160"/>
      <c r="C201" s="155"/>
      <c r="D201" s="156" t="s">
        <v>1412</v>
      </c>
      <c r="E201" s="153">
        <v>0.0</v>
      </c>
      <c r="F201" s="157">
        <v>6.0</v>
      </c>
      <c r="G201" s="158" t="s">
        <v>1273</v>
      </c>
      <c r="H201" s="153">
        <v>7.0</v>
      </c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</row>
    <row r="202" ht="15.75" customHeight="1">
      <c r="A202" s="159"/>
      <c r="B202" s="160"/>
      <c r="C202" s="155"/>
      <c r="D202" s="156" t="s">
        <v>1412</v>
      </c>
      <c r="E202" s="153">
        <v>0.0</v>
      </c>
      <c r="F202" s="157">
        <v>7.0</v>
      </c>
      <c r="G202" s="158" t="s">
        <v>1274</v>
      </c>
      <c r="H202" s="153">
        <v>1.0</v>
      </c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</row>
    <row r="203" ht="15.75" customHeight="1">
      <c r="A203" s="159"/>
      <c r="B203" s="160"/>
      <c r="C203" s="155"/>
      <c r="D203" s="156" t="s">
        <v>1412</v>
      </c>
      <c r="E203" s="153">
        <v>0.0</v>
      </c>
      <c r="F203" s="157">
        <v>8.0</v>
      </c>
      <c r="G203" s="158" t="s">
        <v>1276</v>
      </c>
      <c r="H203" s="153">
        <v>2.0</v>
      </c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</row>
    <row r="204" ht="15.75" customHeight="1">
      <c r="A204" s="159"/>
      <c r="B204" s="160"/>
      <c r="C204" s="155"/>
      <c r="D204" s="156" t="s">
        <v>1412</v>
      </c>
      <c r="E204" s="153">
        <v>0.0</v>
      </c>
      <c r="F204" s="157">
        <v>9.0</v>
      </c>
      <c r="G204" s="158" t="s">
        <v>1277</v>
      </c>
      <c r="H204" s="153">
        <v>4.0</v>
      </c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</row>
    <row r="205" ht="15.75" customHeight="1">
      <c r="A205" s="159"/>
      <c r="B205" s="160"/>
      <c r="C205" s="155"/>
      <c r="D205" s="156" t="s">
        <v>1413</v>
      </c>
      <c r="E205" s="153">
        <v>0.0</v>
      </c>
      <c r="F205" s="157">
        <v>3.0</v>
      </c>
      <c r="G205" s="158" t="s">
        <v>1268</v>
      </c>
      <c r="H205" s="153">
        <v>3.0</v>
      </c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</row>
    <row r="206" ht="15.75" customHeight="1">
      <c r="A206" s="159"/>
      <c r="B206" s="160"/>
      <c r="C206" s="155"/>
      <c r="D206" s="156" t="s">
        <v>1413</v>
      </c>
      <c r="E206" s="153">
        <v>0.0</v>
      </c>
      <c r="F206" s="157">
        <v>4.0</v>
      </c>
      <c r="G206" s="158" t="s">
        <v>1270</v>
      </c>
      <c r="H206" s="153">
        <v>5.0</v>
      </c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</row>
    <row r="207" ht="15.75" customHeight="1">
      <c r="A207" s="159"/>
      <c r="B207" s="160"/>
      <c r="C207" s="155"/>
      <c r="D207" s="156" t="s">
        <v>1413</v>
      </c>
      <c r="E207" s="153">
        <v>0.0</v>
      </c>
      <c r="F207" s="157">
        <v>5.0</v>
      </c>
      <c r="G207" s="158" t="s">
        <v>1271</v>
      </c>
      <c r="H207" s="153">
        <v>6.0</v>
      </c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</row>
    <row r="208" ht="15.75" customHeight="1">
      <c r="A208" s="159"/>
      <c r="B208" s="160"/>
      <c r="C208" s="155"/>
      <c r="D208" s="156" t="s">
        <v>1413</v>
      </c>
      <c r="E208" s="153">
        <v>0.0</v>
      </c>
      <c r="F208" s="157">
        <v>6.0</v>
      </c>
      <c r="G208" s="158" t="s">
        <v>1273</v>
      </c>
      <c r="H208" s="153">
        <v>7.0</v>
      </c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</row>
    <row r="209" ht="15.75" customHeight="1">
      <c r="A209" s="159"/>
      <c r="B209" s="160"/>
      <c r="C209" s="155"/>
      <c r="D209" s="156" t="s">
        <v>1413</v>
      </c>
      <c r="E209" s="153">
        <v>0.0</v>
      </c>
      <c r="F209" s="157">
        <v>7.0</v>
      </c>
      <c r="G209" s="158" t="s">
        <v>1274</v>
      </c>
      <c r="H209" s="153">
        <v>1.0</v>
      </c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</row>
    <row r="210" ht="15.75" customHeight="1">
      <c r="A210" s="159"/>
      <c r="B210" s="160"/>
      <c r="C210" s="155"/>
      <c r="D210" s="156" t="s">
        <v>1413</v>
      </c>
      <c r="E210" s="153">
        <v>0.0</v>
      </c>
      <c r="F210" s="157">
        <v>8.0</v>
      </c>
      <c r="G210" s="158" t="s">
        <v>1276</v>
      </c>
      <c r="H210" s="153">
        <v>2.0</v>
      </c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</row>
    <row r="211" ht="15.75" customHeight="1">
      <c r="A211" s="159"/>
      <c r="B211" s="160"/>
      <c r="C211" s="155"/>
      <c r="D211" s="156" t="s">
        <v>1413</v>
      </c>
      <c r="E211" s="153">
        <v>0.0</v>
      </c>
      <c r="F211" s="157">
        <v>9.0</v>
      </c>
      <c r="G211" s="158" t="s">
        <v>1277</v>
      </c>
      <c r="H211" s="153">
        <v>4.0</v>
      </c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</row>
    <row r="212" ht="15.75" customHeight="1">
      <c r="A212" s="159"/>
      <c r="B212" s="160"/>
      <c r="C212" s="155"/>
      <c r="D212" s="156" t="s">
        <v>1414</v>
      </c>
      <c r="E212" s="153">
        <v>0.0</v>
      </c>
      <c r="F212" s="157">
        <v>3.0</v>
      </c>
      <c r="G212" s="158" t="s">
        <v>1268</v>
      </c>
      <c r="H212" s="153">
        <v>3.0</v>
      </c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</row>
    <row r="213" ht="15.75" customHeight="1">
      <c r="A213" s="159"/>
      <c r="B213" s="160"/>
      <c r="C213" s="155"/>
      <c r="D213" s="156" t="s">
        <v>1414</v>
      </c>
      <c r="E213" s="153">
        <v>0.0</v>
      </c>
      <c r="F213" s="157">
        <v>4.0</v>
      </c>
      <c r="G213" s="158" t="s">
        <v>1270</v>
      </c>
      <c r="H213" s="153">
        <v>5.0</v>
      </c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</row>
    <row r="214" ht="15.75" customHeight="1">
      <c r="A214" s="159"/>
      <c r="B214" s="160"/>
      <c r="C214" s="155"/>
      <c r="D214" s="156" t="s">
        <v>1414</v>
      </c>
      <c r="E214" s="153">
        <v>0.0</v>
      </c>
      <c r="F214" s="157">
        <v>5.0</v>
      </c>
      <c r="G214" s="158" t="s">
        <v>1415</v>
      </c>
      <c r="H214" s="153">
        <v>6.0</v>
      </c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</row>
    <row r="215" ht="15.75" customHeight="1">
      <c r="A215" s="159"/>
      <c r="B215" s="160"/>
      <c r="C215" s="155"/>
      <c r="D215" s="156" t="s">
        <v>1414</v>
      </c>
      <c r="E215" s="153">
        <v>0.0</v>
      </c>
      <c r="F215" s="157">
        <v>6.0</v>
      </c>
      <c r="G215" s="158" t="s">
        <v>1416</v>
      </c>
      <c r="H215" s="153">
        <v>7.0</v>
      </c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</row>
    <row r="216" ht="15.75" customHeight="1">
      <c r="A216" s="159"/>
      <c r="B216" s="160"/>
      <c r="C216" s="155"/>
      <c r="D216" s="156" t="s">
        <v>1414</v>
      </c>
      <c r="E216" s="153">
        <v>0.0</v>
      </c>
      <c r="F216" s="157">
        <v>7.0</v>
      </c>
      <c r="G216" s="158" t="s">
        <v>1274</v>
      </c>
      <c r="H216" s="153">
        <v>1.0</v>
      </c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</row>
    <row r="217" ht="15.75" customHeight="1">
      <c r="A217" s="159"/>
      <c r="B217" s="160"/>
      <c r="C217" s="155"/>
      <c r="D217" s="156" t="s">
        <v>1414</v>
      </c>
      <c r="E217" s="153">
        <v>0.0</v>
      </c>
      <c r="F217" s="157">
        <v>8.0</v>
      </c>
      <c r="G217" s="158" t="s">
        <v>1276</v>
      </c>
      <c r="H217" s="153">
        <v>2.0</v>
      </c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</row>
    <row r="218" ht="15.75" customHeight="1">
      <c r="A218" s="159"/>
      <c r="B218" s="160"/>
      <c r="C218" s="155"/>
      <c r="D218" s="156" t="s">
        <v>1414</v>
      </c>
      <c r="E218" s="153">
        <v>0.0</v>
      </c>
      <c r="F218" s="157">
        <v>9.0</v>
      </c>
      <c r="G218" s="158" t="s">
        <v>1277</v>
      </c>
      <c r="H218" s="153">
        <v>4.0</v>
      </c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</row>
    <row r="219" ht="15.75" customHeight="1">
      <c r="A219" s="159"/>
      <c r="B219" s="160"/>
      <c r="C219" s="155"/>
      <c r="D219" s="156" t="s">
        <v>1417</v>
      </c>
      <c r="E219" s="153">
        <v>0.0</v>
      </c>
      <c r="F219" s="157">
        <v>3.0</v>
      </c>
      <c r="G219" s="158" t="s">
        <v>1268</v>
      </c>
      <c r="H219" s="153">
        <v>3.0</v>
      </c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</row>
    <row r="220" ht="15.75" customHeight="1">
      <c r="A220" s="159"/>
      <c r="B220" s="160"/>
      <c r="C220" s="155"/>
      <c r="D220" s="156" t="s">
        <v>1417</v>
      </c>
      <c r="E220" s="153">
        <v>0.0</v>
      </c>
      <c r="F220" s="157">
        <v>4.0</v>
      </c>
      <c r="G220" s="158" t="s">
        <v>1270</v>
      </c>
      <c r="H220" s="153">
        <v>5.0</v>
      </c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</row>
    <row r="221" ht="15.75" customHeight="1">
      <c r="A221" s="159"/>
      <c r="B221" s="160"/>
      <c r="C221" s="155"/>
      <c r="D221" s="156" t="s">
        <v>1417</v>
      </c>
      <c r="E221" s="153">
        <v>0.0</v>
      </c>
      <c r="F221" s="157">
        <v>5.0</v>
      </c>
      <c r="G221" s="158" t="s">
        <v>1271</v>
      </c>
      <c r="H221" s="153">
        <v>6.0</v>
      </c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</row>
    <row r="222" ht="15.75" customHeight="1">
      <c r="A222" s="159"/>
      <c r="B222" s="160"/>
      <c r="C222" s="155"/>
      <c r="D222" s="156" t="s">
        <v>1417</v>
      </c>
      <c r="E222" s="153">
        <v>0.0</v>
      </c>
      <c r="F222" s="157">
        <v>6.0</v>
      </c>
      <c r="G222" s="158" t="s">
        <v>1273</v>
      </c>
      <c r="H222" s="153">
        <v>7.0</v>
      </c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</row>
    <row r="223" ht="15.75" customHeight="1">
      <c r="A223" s="159"/>
      <c r="B223" s="160"/>
      <c r="C223" s="155"/>
      <c r="D223" s="156" t="s">
        <v>1417</v>
      </c>
      <c r="E223" s="153">
        <v>0.0</v>
      </c>
      <c r="F223" s="157">
        <v>7.0</v>
      </c>
      <c r="G223" s="158" t="s">
        <v>1274</v>
      </c>
      <c r="H223" s="153">
        <v>1.0</v>
      </c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</row>
    <row r="224" ht="15.75" customHeight="1">
      <c r="A224" s="159"/>
      <c r="B224" s="160"/>
      <c r="C224" s="155"/>
      <c r="D224" s="156" t="s">
        <v>1417</v>
      </c>
      <c r="E224" s="153">
        <v>0.0</v>
      </c>
      <c r="F224" s="157">
        <v>8.0</v>
      </c>
      <c r="G224" s="158" t="s">
        <v>1276</v>
      </c>
      <c r="H224" s="153">
        <v>2.0</v>
      </c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</row>
    <row r="225" ht="15.75" customHeight="1">
      <c r="A225" s="159"/>
      <c r="B225" s="160"/>
      <c r="C225" s="155"/>
      <c r="D225" s="156" t="s">
        <v>1417</v>
      </c>
      <c r="E225" s="153">
        <v>0.0</v>
      </c>
      <c r="F225" s="157">
        <v>9.0</v>
      </c>
      <c r="G225" s="158" t="s">
        <v>1277</v>
      </c>
      <c r="H225" s="153">
        <v>4.0</v>
      </c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</row>
    <row r="226" ht="15.75" customHeight="1">
      <c r="A226" s="159"/>
      <c r="B226" s="160"/>
      <c r="C226" s="155"/>
      <c r="D226" s="156" t="s">
        <v>1417</v>
      </c>
      <c r="E226" s="153">
        <v>0.0</v>
      </c>
      <c r="F226" s="157">
        <v>10.0</v>
      </c>
      <c r="G226" s="158" t="s">
        <v>1375</v>
      </c>
      <c r="H226" s="153">
        <v>8.0</v>
      </c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</row>
    <row r="227" ht="15.75" customHeight="1">
      <c r="A227" s="159"/>
      <c r="B227" s="160"/>
      <c r="C227" s="155"/>
      <c r="D227" s="156" t="s">
        <v>1418</v>
      </c>
      <c r="E227" s="153">
        <v>0.0</v>
      </c>
      <c r="F227" s="157">
        <v>1.0</v>
      </c>
      <c r="G227" s="158" t="s">
        <v>1263</v>
      </c>
      <c r="H227" s="153">
        <v>1.0</v>
      </c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</row>
    <row r="228" ht="15.75" customHeight="1">
      <c r="A228" s="159"/>
      <c r="B228" s="160"/>
      <c r="C228" s="155"/>
      <c r="D228" s="156" t="s">
        <v>1418</v>
      </c>
      <c r="E228" s="153">
        <v>0.0</v>
      </c>
      <c r="F228" s="157">
        <v>2.0</v>
      </c>
      <c r="G228" s="158" t="s">
        <v>1266</v>
      </c>
      <c r="H228" s="153">
        <v>2.0</v>
      </c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</row>
    <row r="229" ht="15.75" customHeight="1">
      <c r="A229" s="159"/>
      <c r="B229" s="160"/>
      <c r="C229" s="155"/>
      <c r="D229" s="156" t="s">
        <v>1418</v>
      </c>
      <c r="E229" s="153">
        <v>0.0</v>
      </c>
      <c r="F229" s="157">
        <v>3.0</v>
      </c>
      <c r="G229" s="158" t="s">
        <v>1268</v>
      </c>
      <c r="H229" s="153">
        <v>3.0</v>
      </c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</row>
    <row r="230" ht="15.75" customHeight="1">
      <c r="A230" s="159"/>
      <c r="B230" s="160"/>
      <c r="C230" s="155"/>
      <c r="D230" s="156" t="s">
        <v>1418</v>
      </c>
      <c r="E230" s="153">
        <v>0.0</v>
      </c>
      <c r="F230" s="157">
        <v>4.0</v>
      </c>
      <c r="G230" s="158" t="s">
        <v>1269</v>
      </c>
      <c r="H230" s="153">
        <v>4.0</v>
      </c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</row>
    <row r="231" ht="15.75" customHeight="1">
      <c r="A231" s="159"/>
      <c r="B231" s="160"/>
      <c r="C231" s="155"/>
      <c r="D231" s="156" t="s">
        <v>1418</v>
      </c>
      <c r="E231" s="153">
        <v>0.0</v>
      </c>
      <c r="F231" s="157">
        <v>5.0</v>
      </c>
      <c r="G231" s="158" t="s">
        <v>1271</v>
      </c>
      <c r="H231" s="153">
        <v>5.0</v>
      </c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</row>
    <row r="232" ht="15.75" customHeight="1">
      <c r="A232" s="159"/>
      <c r="B232" s="160"/>
      <c r="C232" s="155"/>
      <c r="D232" s="156" t="s">
        <v>1418</v>
      </c>
      <c r="E232" s="153">
        <v>0.0</v>
      </c>
      <c r="F232" s="157">
        <v>6.0</v>
      </c>
      <c r="G232" s="158" t="s">
        <v>1273</v>
      </c>
      <c r="H232" s="153">
        <v>6.0</v>
      </c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</row>
    <row r="233" ht="15.75" customHeight="1">
      <c r="A233" s="159"/>
      <c r="B233" s="160"/>
      <c r="C233" s="155"/>
      <c r="D233" s="156" t="s">
        <v>1419</v>
      </c>
      <c r="E233" s="153">
        <v>0.0</v>
      </c>
      <c r="F233" s="157">
        <v>3.0</v>
      </c>
      <c r="G233" s="158" t="s">
        <v>1268</v>
      </c>
      <c r="H233" s="153">
        <v>3.0</v>
      </c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</row>
    <row r="234" ht="15.75" customHeight="1">
      <c r="A234" s="159"/>
      <c r="B234" s="160"/>
      <c r="C234" s="155"/>
      <c r="D234" s="156" t="s">
        <v>1419</v>
      </c>
      <c r="E234" s="153">
        <v>0.0</v>
      </c>
      <c r="F234" s="157">
        <v>4.0</v>
      </c>
      <c r="G234" s="158" t="s">
        <v>1270</v>
      </c>
      <c r="H234" s="153">
        <v>5.0</v>
      </c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</row>
    <row r="235" ht="15.75" customHeight="1">
      <c r="A235" s="159"/>
      <c r="B235" s="160"/>
      <c r="C235" s="155"/>
      <c r="D235" s="156" t="s">
        <v>1419</v>
      </c>
      <c r="E235" s="153">
        <v>0.0</v>
      </c>
      <c r="F235" s="157">
        <v>5.0</v>
      </c>
      <c r="G235" s="158" t="s">
        <v>1271</v>
      </c>
      <c r="H235" s="153">
        <v>6.0</v>
      </c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</row>
    <row r="236" ht="15.75" customHeight="1">
      <c r="A236" s="159"/>
      <c r="B236" s="160"/>
      <c r="C236" s="155"/>
      <c r="D236" s="156" t="s">
        <v>1419</v>
      </c>
      <c r="E236" s="153">
        <v>0.0</v>
      </c>
      <c r="F236" s="157">
        <v>6.0</v>
      </c>
      <c r="G236" s="158" t="s">
        <v>1273</v>
      </c>
      <c r="H236" s="153">
        <v>7.0</v>
      </c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</row>
    <row r="237" ht="15.75" customHeight="1">
      <c r="A237" s="159"/>
      <c r="B237" s="160"/>
      <c r="C237" s="155"/>
      <c r="D237" s="156" t="s">
        <v>1419</v>
      </c>
      <c r="E237" s="153">
        <v>0.0</v>
      </c>
      <c r="F237" s="157">
        <v>7.0</v>
      </c>
      <c r="G237" s="158" t="s">
        <v>1274</v>
      </c>
      <c r="H237" s="153">
        <v>1.0</v>
      </c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</row>
    <row r="238" ht="15.75" customHeight="1">
      <c r="A238" s="159"/>
      <c r="B238" s="160"/>
      <c r="C238" s="155"/>
      <c r="D238" s="156" t="s">
        <v>1419</v>
      </c>
      <c r="E238" s="153">
        <v>0.0</v>
      </c>
      <c r="F238" s="157">
        <v>8.0</v>
      </c>
      <c r="G238" s="158" t="s">
        <v>1276</v>
      </c>
      <c r="H238" s="153">
        <v>2.0</v>
      </c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</row>
    <row r="239" ht="15.75" customHeight="1">
      <c r="A239" s="159"/>
      <c r="B239" s="160"/>
      <c r="C239" s="155"/>
      <c r="D239" s="156" t="s">
        <v>1419</v>
      </c>
      <c r="E239" s="153">
        <v>0.0</v>
      </c>
      <c r="F239" s="157">
        <v>9.0</v>
      </c>
      <c r="G239" s="158" t="s">
        <v>1277</v>
      </c>
      <c r="H239" s="153">
        <v>4.0</v>
      </c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</row>
    <row r="240" ht="15.75" customHeight="1">
      <c r="A240" s="159"/>
      <c r="B240" s="160"/>
      <c r="C240" s="155"/>
      <c r="D240" s="156" t="s">
        <v>1420</v>
      </c>
      <c r="E240" s="153">
        <v>0.0</v>
      </c>
      <c r="F240" s="157">
        <v>1.0</v>
      </c>
      <c r="G240" s="158" t="s">
        <v>1372</v>
      </c>
      <c r="H240" s="153">
        <v>1.0</v>
      </c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</row>
    <row r="241" ht="15.75" customHeight="1">
      <c r="A241" s="159"/>
      <c r="B241" s="160"/>
      <c r="C241" s="155"/>
      <c r="D241" s="156" t="s">
        <v>1420</v>
      </c>
      <c r="E241" s="153">
        <v>0.0</v>
      </c>
      <c r="F241" s="157">
        <v>3.0</v>
      </c>
      <c r="G241" s="158" t="s">
        <v>1373</v>
      </c>
      <c r="H241" s="153">
        <v>2.0</v>
      </c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</row>
    <row r="242" ht="15.75" customHeight="1">
      <c r="A242" s="159"/>
      <c r="B242" s="160"/>
      <c r="C242" s="155"/>
      <c r="D242" s="156" t="s">
        <v>1420</v>
      </c>
      <c r="E242" s="153">
        <v>0.0</v>
      </c>
      <c r="F242" s="157">
        <v>4.0</v>
      </c>
      <c r="G242" s="158" t="s">
        <v>1373</v>
      </c>
      <c r="H242" s="153">
        <v>2.0</v>
      </c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</row>
    <row r="243" ht="15.75" customHeight="1">
      <c r="A243" s="159"/>
      <c r="B243" s="160"/>
      <c r="C243" s="155"/>
      <c r="D243" s="156" t="s">
        <v>1420</v>
      </c>
      <c r="E243" s="153">
        <v>0.0</v>
      </c>
      <c r="F243" s="157">
        <v>5.0</v>
      </c>
      <c r="G243" s="158" t="s">
        <v>1374</v>
      </c>
      <c r="H243" s="153">
        <v>3.0</v>
      </c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</row>
    <row r="244" ht="15.75" customHeight="1">
      <c r="A244" s="159"/>
      <c r="B244" s="160"/>
      <c r="C244" s="155"/>
      <c r="D244" s="156" t="s">
        <v>1420</v>
      </c>
      <c r="E244" s="153">
        <v>0.0</v>
      </c>
      <c r="F244" s="157">
        <v>10.0</v>
      </c>
      <c r="G244" s="158" t="s">
        <v>1280</v>
      </c>
      <c r="H244" s="153">
        <v>5.0</v>
      </c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</row>
    <row r="245" ht="15.75" customHeight="1">
      <c r="A245" s="159"/>
      <c r="B245" s="160"/>
      <c r="C245" s="155"/>
      <c r="D245" s="156" t="s">
        <v>1420</v>
      </c>
      <c r="E245" s="153">
        <v>0.0</v>
      </c>
      <c r="F245" s="157">
        <v>12.0</v>
      </c>
      <c r="G245" s="158" t="s">
        <v>1375</v>
      </c>
      <c r="H245" s="153">
        <v>4.0</v>
      </c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</row>
    <row r="246" ht="15.75" customHeight="1">
      <c r="A246" s="159"/>
      <c r="B246" s="160"/>
      <c r="C246" s="155"/>
      <c r="D246" s="156" t="s">
        <v>1420</v>
      </c>
      <c r="E246" s="153">
        <v>0.0</v>
      </c>
      <c r="F246" s="157">
        <v>13.0</v>
      </c>
      <c r="G246" s="158" t="s">
        <v>1281</v>
      </c>
      <c r="H246" s="153">
        <v>6.0</v>
      </c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</row>
    <row r="247" ht="15.75" customHeight="1">
      <c r="A247" s="159"/>
      <c r="B247" s="160"/>
      <c r="C247" s="155"/>
      <c r="D247" s="156" t="s">
        <v>1421</v>
      </c>
      <c r="E247" s="153">
        <v>0.0</v>
      </c>
      <c r="F247" s="157">
        <v>3.0</v>
      </c>
      <c r="G247" s="158" t="s">
        <v>1268</v>
      </c>
      <c r="H247" s="153">
        <v>3.0</v>
      </c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</row>
    <row r="248" ht="15.75" customHeight="1">
      <c r="A248" s="159"/>
      <c r="B248" s="160"/>
      <c r="C248" s="155"/>
      <c r="D248" s="156" t="s">
        <v>1421</v>
      </c>
      <c r="E248" s="153">
        <v>0.0</v>
      </c>
      <c r="F248" s="157">
        <v>4.0</v>
      </c>
      <c r="G248" s="158" t="s">
        <v>1270</v>
      </c>
      <c r="H248" s="153">
        <v>5.0</v>
      </c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</row>
    <row r="249" ht="15.75" customHeight="1">
      <c r="A249" s="159"/>
      <c r="B249" s="160"/>
      <c r="C249" s="155"/>
      <c r="D249" s="156" t="s">
        <v>1421</v>
      </c>
      <c r="E249" s="153">
        <v>0.0</v>
      </c>
      <c r="F249" s="157">
        <v>5.0</v>
      </c>
      <c r="G249" s="158" t="s">
        <v>1271</v>
      </c>
      <c r="H249" s="153">
        <v>6.0</v>
      </c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</row>
    <row r="250" ht="15.75" customHeight="1">
      <c r="A250" s="159"/>
      <c r="B250" s="160"/>
      <c r="C250" s="155"/>
      <c r="D250" s="156" t="s">
        <v>1421</v>
      </c>
      <c r="E250" s="153">
        <v>0.0</v>
      </c>
      <c r="F250" s="157">
        <v>6.0</v>
      </c>
      <c r="G250" s="158" t="s">
        <v>1358</v>
      </c>
      <c r="H250" s="153">
        <v>7.0</v>
      </c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</row>
    <row r="251" ht="15.75" customHeight="1">
      <c r="A251" s="159"/>
      <c r="B251" s="160"/>
      <c r="C251" s="155"/>
      <c r="D251" s="156" t="s">
        <v>1421</v>
      </c>
      <c r="E251" s="153">
        <v>0.0</v>
      </c>
      <c r="F251" s="157">
        <v>7.0</v>
      </c>
      <c r="G251" s="158" t="s">
        <v>1274</v>
      </c>
      <c r="H251" s="153">
        <v>1.0</v>
      </c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</row>
    <row r="252" ht="15.75" customHeight="1">
      <c r="A252" s="159"/>
      <c r="B252" s="160"/>
      <c r="C252" s="155"/>
      <c r="D252" s="156" t="s">
        <v>1421</v>
      </c>
      <c r="E252" s="153">
        <v>0.0</v>
      </c>
      <c r="F252" s="157">
        <v>8.0</v>
      </c>
      <c r="G252" s="158" t="s">
        <v>1359</v>
      </c>
      <c r="H252" s="153">
        <v>2.0</v>
      </c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</row>
    <row r="253" ht="15.75" customHeight="1">
      <c r="A253" s="159"/>
      <c r="B253" s="160"/>
      <c r="C253" s="155"/>
      <c r="D253" s="156" t="s">
        <v>1421</v>
      </c>
      <c r="E253" s="153">
        <v>0.0</v>
      </c>
      <c r="F253" s="157">
        <v>9.0</v>
      </c>
      <c r="G253" s="158" t="s">
        <v>1277</v>
      </c>
      <c r="H253" s="153">
        <v>4.0</v>
      </c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</row>
    <row r="254" ht="15.75" customHeight="1">
      <c r="A254" s="159"/>
      <c r="B254" s="160"/>
      <c r="C254" s="155"/>
      <c r="D254" s="156" t="s">
        <v>1422</v>
      </c>
      <c r="E254" s="153">
        <v>0.0</v>
      </c>
      <c r="F254" s="157">
        <v>3.0</v>
      </c>
      <c r="G254" s="158" t="s">
        <v>1268</v>
      </c>
      <c r="H254" s="153">
        <v>3.0</v>
      </c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</row>
    <row r="255" ht="15.75" customHeight="1">
      <c r="A255" s="159"/>
      <c r="B255" s="160"/>
      <c r="C255" s="155"/>
      <c r="D255" s="156" t="s">
        <v>1422</v>
      </c>
      <c r="E255" s="153">
        <v>0.0</v>
      </c>
      <c r="F255" s="157">
        <v>4.0</v>
      </c>
      <c r="G255" s="158" t="s">
        <v>1270</v>
      </c>
      <c r="H255" s="153">
        <v>5.0</v>
      </c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</row>
    <row r="256" ht="15.75" customHeight="1">
      <c r="A256" s="159"/>
      <c r="B256" s="160"/>
      <c r="C256" s="155"/>
      <c r="D256" s="156" t="s">
        <v>1422</v>
      </c>
      <c r="E256" s="153">
        <v>0.0</v>
      </c>
      <c r="F256" s="157">
        <v>5.0</v>
      </c>
      <c r="G256" s="158" t="s">
        <v>1271</v>
      </c>
      <c r="H256" s="153">
        <v>6.0</v>
      </c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</row>
    <row r="257" ht="15.75" customHeight="1">
      <c r="A257" s="159"/>
      <c r="B257" s="160"/>
      <c r="C257" s="155"/>
      <c r="D257" s="156" t="s">
        <v>1422</v>
      </c>
      <c r="E257" s="153">
        <v>0.0</v>
      </c>
      <c r="F257" s="157">
        <v>6.0</v>
      </c>
      <c r="G257" s="158" t="s">
        <v>1358</v>
      </c>
      <c r="H257" s="153">
        <v>7.0</v>
      </c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</row>
    <row r="258" ht="15.75" customHeight="1">
      <c r="A258" s="159"/>
      <c r="B258" s="160"/>
      <c r="C258" s="155"/>
      <c r="D258" s="156" t="s">
        <v>1422</v>
      </c>
      <c r="E258" s="153">
        <v>0.0</v>
      </c>
      <c r="F258" s="157">
        <v>7.0</v>
      </c>
      <c r="G258" s="158" t="s">
        <v>1274</v>
      </c>
      <c r="H258" s="153">
        <v>1.0</v>
      </c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</row>
    <row r="259" ht="15.75" customHeight="1">
      <c r="A259" s="159"/>
      <c r="B259" s="160"/>
      <c r="C259" s="155"/>
      <c r="D259" s="156" t="s">
        <v>1422</v>
      </c>
      <c r="E259" s="153">
        <v>0.0</v>
      </c>
      <c r="F259" s="157">
        <v>8.0</v>
      </c>
      <c r="G259" s="158" t="s">
        <v>1359</v>
      </c>
      <c r="H259" s="153">
        <v>2.0</v>
      </c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</row>
    <row r="260" ht="15.75" customHeight="1">
      <c r="A260" s="159"/>
      <c r="B260" s="160"/>
      <c r="C260" s="155"/>
      <c r="D260" s="156" t="s">
        <v>1422</v>
      </c>
      <c r="E260" s="153">
        <v>0.0</v>
      </c>
      <c r="F260" s="157">
        <v>9.0</v>
      </c>
      <c r="G260" s="158" t="s">
        <v>1277</v>
      </c>
      <c r="H260" s="153">
        <v>4.0</v>
      </c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</row>
    <row r="261" ht="15.75" customHeight="1">
      <c r="A261" s="159"/>
      <c r="B261" s="160"/>
      <c r="C261" s="155"/>
      <c r="D261" s="156" t="s">
        <v>1423</v>
      </c>
      <c r="E261" s="153">
        <v>0.0</v>
      </c>
      <c r="F261" s="157">
        <v>1.0</v>
      </c>
      <c r="G261" s="158" t="s">
        <v>1263</v>
      </c>
      <c r="H261" s="153">
        <v>1.0</v>
      </c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</row>
    <row r="262" ht="15.75" customHeight="1">
      <c r="A262" s="159"/>
      <c r="B262" s="160"/>
      <c r="C262" s="155"/>
      <c r="D262" s="156" t="s">
        <v>1423</v>
      </c>
      <c r="E262" s="153">
        <v>0.0</v>
      </c>
      <c r="F262" s="157">
        <v>2.0</v>
      </c>
      <c r="G262" s="158" t="s">
        <v>1266</v>
      </c>
      <c r="H262" s="153">
        <v>2.0</v>
      </c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</row>
    <row r="263" ht="15.75" customHeight="1">
      <c r="A263" s="159"/>
      <c r="B263" s="160"/>
      <c r="C263" s="155"/>
      <c r="D263" s="156" t="s">
        <v>1423</v>
      </c>
      <c r="E263" s="153">
        <v>0.0</v>
      </c>
      <c r="F263" s="157">
        <v>3.0</v>
      </c>
      <c r="G263" s="158" t="s">
        <v>1268</v>
      </c>
      <c r="H263" s="153">
        <v>3.0</v>
      </c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</row>
    <row r="264" ht="15.75" customHeight="1">
      <c r="A264" s="159"/>
      <c r="B264" s="160"/>
      <c r="C264" s="155"/>
      <c r="D264" s="156" t="s">
        <v>1423</v>
      </c>
      <c r="E264" s="153">
        <v>0.0</v>
      </c>
      <c r="F264" s="157">
        <v>4.0</v>
      </c>
      <c r="G264" s="158" t="s">
        <v>1269</v>
      </c>
      <c r="H264" s="153">
        <v>4.0</v>
      </c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</row>
    <row r="265" ht="15.75" customHeight="1">
      <c r="A265" s="159"/>
      <c r="B265" s="160"/>
      <c r="C265" s="155"/>
      <c r="D265" s="156" t="s">
        <v>1423</v>
      </c>
      <c r="E265" s="153">
        <v>0.0</v>
      </c>
      <c r="F265" s="157">
        <v>5.0</v>
      </c>
      <c r="G265" s="158" t="s">
        <v>1271</v>
      </c>
      <c r="H265" s="153">
        <v>5.0</v>
      </c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</row>
    <row r="266" ht="15.75" customHeight="1">
      <c r="A266" s="159"/>
      <c r="B266" s="160"/>
      <c r="C266" s="155"/>
      <c r="D266" s="156" t="s">
        <v>1423</v>
      </c>
      <c r="E266" s="153">
        <v>0.0</v>
      </c>
      <c r="F266" s="157">
        <v>6.0</v>
      </c>
      <c r="G266" s="158" t="s">
        <v>1273</v>
      </c>
      <c r="H266" s="153">
        <v>6.0</v>
      </c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</row>
    <row r="267" ht="15.75" customHeight="1">
      <c r="A267" s="159"/>
      <c r="B267" s="160"/>
      <c r="C267" s="155"/>
      <c r="D267" s="156" t="s">
        <v>1424</v>
      </c>
      <c r="E267" s="153">
        <v>0.0</v>
      </c>
      <c r="F267" s="157">
        <v>3.0</v>
      </c>
      <c r="G267" s="158" t="s">
        <v>1268</v>
      </c>
      <c r="H267" s="153">
        <v>3.0</v>
      </c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</row>
    <row r="268" ht="15.75" customHeight="1">
      <c r="A268" s="159"/>
      <c r="B268" s="160"/>
      <c r="C268" s="155"/>
      <c r="D268" s="156" t="s">
        <v>1424</v>
      </c>
      <c r="E268" s="153">
        <v>0.0</v>
      </c>
      <c r="F268" s="157">
        <v>4.0</v>
      </c>
      <c r="G268" s="158" t="s">
        <v>1270</v>
      </c>
      <c r="H268" s="153">
        <v>5.0</v>
      </c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18"/>
    </row>
    <row r="269" ht="15.75" customHeight="1">
      <c r="A269" s="159"/>
      <c r="B269" s="160"/>
      <c r="C269" s="155"/>
      <c r="D269" s="156" t="s">
        <v>1424</v>
      </c>
      <c r="E269" s="153">
        <v>0.0</v>
      </c>
      <c r="F269" s="157">
        <v>5.0</v>
      </c>
      <c r="G269" s="158" t="s">
        <v>1271</v>
      </c>
      <c r="H269" s="153">
        <v>6.0</v>
      </c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  <c r="AA269" s="118"/>
      <c r="AB269" s="118"/>
    </row>
    <row r="270" ht="15.75" customHeight="1">
      <c r="A270" s="159"/>
      <c r="B270" s="160"/>
      <c r="C270" s="155"/>
      <c r="D270" s="156" t="s">
        <v>1424</v>
      </c>
      <c r="E270" s="153">
        <v>0.0</v>
      </c>
      <c r="F270" s="157">
        <v>6.0</v>
      </c>
      <c r="G270" s="158" t="s">
        <v>1273</v>
      </c>
      <c r="H270" s="153">
        <v>7.0</v>
      </c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  <c r="AA270" s="118"/>
      <c r="AB270" s="118"/>
    </row>
    <row r="271" ht="15.75" customHeight="1">
      <c r="A271" s="159"/>
      <c r="B271" s="160"/>
      <c r="C271" s="155"/>
      <c r="D271" s="156" t="s">
        <v>1424</v>
      </c>
      <c r="E271" s="153">
        <v>0.0</v>
      </c>
      <c r="F271" s="157">
        <v>7.0</v>
      </c>
      <c r="G271" s="158" t="s">
        <v>1274</v>
      </c>
      <c r="H271" s="153">
        <v>1.0</v>
      </c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</row>
    <row r="272" ht="15.75" customHeight="1">
      <c r="A272" s="159"/>
      <c r="B272" s="160"/>
      <c r="C272" s="155"/>
      <c r="D272" s="156" t="s">
        <v>1424</v>
      </c>
      <c r="E272" s="153">
        <v>0.0</v>
      </c>
      <c r="F272" s="157">
        <v>8.0</v>
      </c>
      <c r="G272" s="158" t="s">
        <v>1276</v>
      </c>
      <c r="H272" s="153">
        <v>2.0</v>
      </c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  <c r="AA272" s="118"/>
      <c r="AB272" s="118"/>
    </row>
    <row r="273" ht="15.75" customHeight="1">
      <c r="A273" s="159"/>
      <c r="B273" s="160"/>
      <c r="C273" s="155"/>
      <c r="D273" s="156" t="s">
        <v>1424</v>
      </c>
      <c r="E273" s="153">
        <v>0.0</v>
      </c>
      <c r="F273" s="157">
        <v>9.0</v>
      </c>
      <c r="G273" s="158" t="s">
        <v>1277</v>
      </c>
      <c r="H273" s="153">
        <v>4.0</v>
      </c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</row>
    <row r="274" ht="15.75" customHeight="1">
      <c r="A274" s="159"/>
      <c r="B274" s="160"/>
      <c r="C274" s="155"/>
      <c r="D274" s="156" t="s">
        <v>1425</v>
      </c>
      <c r="E274" s="153">
        <v>0.0</v>
      </c>
      <c r="F274" s="157">
        <v>1.0</v>
      </c>
      <c r="G274" s="158" t="s">
        <v>1316</v>
      </c>
      <c r="H274" s="153">
        <v>0.0</v>
      </c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</row>
    <row r="275" ht="15.75" customHeight="1">
      <c r="A275" s="159"/>
      <c r="B275" s="160"/>
      <c r="C275" s="155"/>
      <c r="D275" s="156" t="s">
        <v>1425</v>
      </c>
      <c r="E275" s="153">
        <v>0.0</v>
      </c>
      <c r="F275" s="157">
        <v>3.0</v>
      </c>
      <c r="G275" s="158" t="s">
        <v>1426</v>
      </c>
      <c r="H275" s="153">
        <v>3.0</v>
      </c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</row>
    <row r="276" ht="15.75" customHeight="1">
      <c r="A276" s="159"/>
      <c r="B276" s="160"/>
      <c r="C276" s="155"/>
      <c r="D276" s="156" t="s">
        <v>1425</v>
      </c>
      <c r="E276" s="153">
        <v>0.0</v>
      </c>
      <c r="F276" s="157">
        <v>4.0</v>
      </c>
      <c r="G276" s="158" t="s">
        <v>1269</v>
      </c>
      <c r="H276" s="153">
        <v>4.0</v>
      </c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</row>
    <row r="277" ht="15.75" customHeight="1">
      <c r="A277" s="159"/>
      <c r="B277" s="160"/>
      <c r="C277" s="155"/>
      <c r="D277" s="156" t="s">
        <v>1425</v>
      </c>
      <c r="E277" s="153">
        <v>0.0</v>
      </c>
      <c r="F277" s="157">
        <v>8.0</v>
      </c>
      <c r="G277" s="158" t="s">
        <v>1359</v>
      </c>
      <c r="H277" s="153">
        <v>7.0</v>
      </c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</row>
    <row r="278" ht="15.75" customHeight="1">
      <c r="A278" s="159"/>
      <c r="B278" s="160"/>
      <c r="C278" s="155"/>
      <c r="D278" s="156" t="s">
        <v>1425</v>
      </c>
      <c r="E278" s="153">
        <v>0.0</v>
      </c>
      <c r="F278" s="157">
        <v>10.0</v>
      </c>
      <c r="G278" s="158" t="s">
        <v>1427</v>
      </c>
      <c r="H278" s="153">
        <v>9.0</v>
      </c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  <c r="AA278" s="118"/>
      <c r="AB278" s="118"/>
    </row>
    <row r="279" ht="15.75" customHeight="1">
      <c r="A279" s="159"/>
      <c r="B279" s="160"/>
      <c r="C279" s="155"/>
      <c r="D279" s="156" t="s">
        <v>1425</v>
      </c>
      <c r="E279" s="153">
        <v>0.0</v>
      </c>
      <c r="F279" s="157">
        <v>12.0</v>
      </c>
      <c r="G279" s="158" t="s">
        <v>1280</v>
      </c>
      <c r="H279" s="153">
        <v>11.0</v>
      </c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</row>
    <row r="280" ht="15.75" customHeight="1">
      <c r="A280" s="159"/>
      <c r="B280" s="160"/>
      <c r="C280" s="155"/>
      <c r="D280" s="156" t="s">
        <v>1425</v>
      </c>
      <c r="E280" s="153">
        <v>0.0</v>
      </c>
      <c r="F280" s="157">
        <v>14.0</v>
      </c>
      <c r="G280" s="158" t="s">
        <v>1283</v>
      </c>
      <c r="H280" s="153">
        <v>2.0</v>
      </c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</row>
    <row r="281" ht="15.75" customHeight="1">
      <c r="A281" s="159"/>
      <c r="B281" s="160"/>
      <c r="C281" s="155"/>
      <c r="D281" s="156" t="s">
        <v>1425</v>
      </c>
      <c r="E281" s="153">
        <v>0.0</v>
      </c>
      <c r="F281" s="157">
        <v>17.0</v>
      </c>
      <c r="G281" s="158" t="s">
        <v>1428</v>
      </c>
      <c r="H281" s="153">
        <v>12.0</v>
      </c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</row>
    <row r="282" ht="15.75" customHeight="1">
      <c r="A282" s="159"/>
      <c r="B282" s="160"/>
      <c r="C282" s="155"/>
      <c r="D282" s="156" t="s">
        <v>1425</v>
      </c>
      <c r="E282" s="153">
        <v>0.0</v>
      </c>
      <c r="F282" s="157">
        <v>24.0</v>
      </c>
      <c r="G282" s="158" t="s">
        <v>1326</v>
      </c>
      <c r="H282" s="153">
        <v>8.0</v>
      </c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  <c r="AA282" s="118"/>
      <c r="AB282" s="118"/>
    </row>
    <row r="283" ht="15.75" customHeight="1">
      <c r="A283" s="159"/>
      <c r="B283" s="160"/>
      <c r="C283" s="155"/>
      <c r="D283" s="156" t="s">
        <v>1429</v>
      </c>
      <c r="E283" s="153">
        <v>0.0</v>
      </c>
      <c r="F283" s="157">
        <v>1.0</v>
      </c>
      <c r="G283" s="158" t="s">
        <v>1316</v>
      </c>
      <c r="H283" s="153">
        <v>0.0</v>
      </c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  <c r="AA283" s="118"/>
      <c r="AB283" s="118"/>
    </row>
    <row r="284" ht="15.75" customHeight="1">
      <c r="A284" s="159"/>
      <c r="B284" s="160"/>
      <c r="C284" s="155"/>
      <c r="D284" s="156" t="s">
        <v>1429</v>
      </c>
      <c r="E284" s="153">
        <v>0.0</v>
      </c>
      <c r="F284" s="157">
        <v>2.0</v>
      </c>
      <c r="G284" s="158" t="s">
        <v>1430</v>
      </c>
      <c r="H284" s="153">
        <v>5.0</v>
      </c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  <c r="AA284" s="118"/>
      <c r="AB284" s="118"/>
    </row>
    <row r="285" ht="15.75" customHeight="1">
      <c r="A285" s="159"/>
      <c r="B285" s="160"/>
      <c r="C285" s="155"/>
      <c r="D285" s="156" t="s">
        <v>1429</v>
      </c>
      <c r="E285" s="153">
        <v>0.0</v>
      </c>
      <c r="F285" s="157">
        <v>3.0</v>
      </c>
      <c r="G285" s="158" t="s">
        <v>1426</v>
      </c>
      <c r="H285" s="153">
        <v>3.0</v>
      </c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  <c r="AA285" s="118"/>
      <c r="AB285" s="118"/>
    </row>
    <row r="286" ht="15.75" customHeight="1">
      <c r="A286" s="159"/>
      <c r="B286" s="160"/>
      <c r="C286" s="155"/>
      <c r="D286" s="156" t="s">
        <v>1429</v>
      </c>
      <c r="E286" s="153">
        <v>0.0</v>
      </c>
      <c r="F286" s="157">
        <v>4.0</v>
      </c>
      <c r="G286" s="158" t="s">
        <v>1269</v>
      </c>
      <c r="H286" s="153">
        <v>4.0</v>
      </c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  <c r="AA286" s="118"/>
      <c r="AB286" s="118"/>
    </row>
    <row r="287" ht="15.75" customHeight="1">
      <c r="A287" s="159"/>
      <c r="B287" s="160"/>
      <c r="C287" s="155"/>
      <c r="D287" s="156" t="s">
        <v>1429</v>
      </c>
      <c r="E287" s="153">
        <v>0.0</v>
      </c>
      <c r="F287" s="157">
        <v>8.0</v>
      </c>
      <c r="G287" s="158" t="s">
        <v>1359</v>
      </c>
      <c r="H287" s="153">
        <v>6.0</v>
      </c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  <c r="AA287" s="118"/>
      <c r="AB287" s="118"/>
    </row>
    <row r="288" ht="15.75" customHeight="1">
      <c r="A288" s="159"/>
      <c r="B288" s="160"/>
      <c r="C288" s="155"/>
      <c r="D288" s="156" t="s">
        <v>1429</v>
      </c>
      <c r="E288" s="153">
        <v>0.0</v>
      </c>
      <c r="F288" s="157">
        <v>10.0</v>
      </c>
      <c r="G288" s="158" t="s">
        <v>1427</v>
      </c>
      <c r="H288" s="153">
        <v>9.0</v>
      </c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</row>
    <row r="289" ht="15.75" customHeight="1">
      <c r="A289" s="159"/>
      <c r="B289" s="160"/>
      <c r="C289" s="155"/>
      <c r="D289" s="156" t="s">
        <v>1429</v>
      </c>
      <c r="E289" s="153">
        <v>0.0</v>
      </c>
      <c r="F289" s="157">
        <v>12.0</v>
      </c>
      <c r="G289" s="158" t="s">
        <v>1280</v>
      </c>
      <c r="H289" s="153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  <c r="AA289" s="118"/>
      <c r="AB289" s="118"/>
    </row>
    <row r="290" ht="15.75" customHeight="1">
      <c r="A290" s="159"/>
      <c r="B290" s="160"/>
      <c r="C290" s="155"/>
      <c r="D290" s="156" t="s">
        <v>1429</v>
      </c>
      <c r="E290" s="153">
        <v>0.0</v>
      </c>
      <c r="F290" s="157">
        <v>14.0</v>
      </c>
      <c r="G290" s="158" t="s">
        <v>1283</v>
      </c>
      <c r="H290" s="153">
        <v>2.0</v>
      </c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  <c r="AA290" s="118"/>
      <c r="AB290" s="118"/>
    </row>
    <row r="291" ht="15.75" customHeight="1">
      <c r="A291" s="159"/>
      <c r="B291" s="160"/>
      <c r="C291" s="155"/>
      <c r="D291" s="156" t="s">
        <v>1429</v>
      </c>
      <c r="E291" s="153">
        <v>0.0</v>
      </c>
      <c r="F291" s="157">
        <v>15.0</v>
      </c>
      <c r="G291" s="158" t="s">
        <v>1431</v>
      </c>
      <c r="H291" s="153">
        <v>1.0</v>
      </c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  <c r="AA291" s="118"/>
      <c r="AB291" s="118"/>
    </row>
    <row r="292" ht="15.75" customHeight="1">
      <c r="A292" s="159"/>
      <c r="B292" s="160"/>
      <c r="C292" s="155"/>
      <c r="D292" s="156" t="s">
        <v>1429</v>
      </c>
      <c r="E292" s="153">
        <v>0.0</v>
      </c>
      <c r="F292" s="157">
        <v>43.0</v>
      </c>
      <c r="G292" s="158" t="s">
        <v>1326</v>
      </c>
      <c r="H292" s="153">
        <v>8.0</v>
      </c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  <c r="AA292" s="118"/>
      <c r="AB292" s="118"/>
    </row>
    <row r="293" ht="15.75" customHeight="1">
      <c r="A293" s="159"/>
      <c r="B293" s="160"/>
      <c r="C293" s="155"/>
      <c r="D293" s="156" t="s">
        <v>1432</v>
      </c>
      <c r="E293" s="153">
        <v>0.0</v>
      </c>
      <c r="F293" s="157">
        <v>3.0</v>
      </c>
      <c r="G293" s="158" t="s">
        <v>1268</v>
      </c>
      <c r="H293" s="153">
        <v>3.0</v>
      </c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  <c r="AA293" s="118"/>
      <c r="AB293" s="118"/>
    </row>
    <row r="294" ht="15.75" customHeight="1">
      <c r="A294" s="159"/>
      <c r="B294" s="160"/>
      <c r="C294" s="155"/>
      <c r="D294" s="156" t="s">
        <v>1432</v>
      </c>
      <c r="E294" s="153">
        <v>0.0</v>
      </c>
      <c r="F294" s="157">
        <v>4.0</v>
      </c>
      <c r="G294" s="158" t="s">
        <v>1270</v>
      </c>
      <c r="H294" s="153">
        <v>5.0</v>
      </c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  <c r="AA294" s="118"/>
      <c r="AB294" s="118"/>
    </row>
    <row r="295" ht="15.75" customHeight="1">
      <c r="A295" s="159"/>
      <c r="B295" s="160"/>
      <c r="C295" s="155"/>
      <c r="D295" s="156" t="s">
        <v>1432</v>
      </c>
      <c r="E295" s="153">
        <v>0.0</v>
      </c>
      <c r="F295" s="157">
        <v>5.0</v>
      </c>
      <c r="G295" s="158" t="s">
        <v>1271</v>
      </c>
      <c r="H295" s="153">
        <v>6.0</v>
      </c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  <c r="AA295" s="118"/>
      <c r="AB295" s="118"/>
    </row>
    <row r="296" ht="15.75" customHeight="1">
      <c r="A296" s="159"/>
      <c r="B296" s="160"/>
      <c r="C296" s="155"/>
      <c r="D296" s="156" t="s">
        <v>1432</v>
      </c>
      <c r="E296" s="153">
        <v>0.0</v>
      </c>
      <c r="F296" s="157">
        <v>6.0</v>
      </c>
      <c r="G296" s="158" t="s">
        <v>1273</v>
      </c>
      <c r="H296" s="153">
        <v>7.0</v>
      </c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  <c r="AA296" s="118"/>
      <c r="AB296" s="118"/>
    </row>
    <row r="297" ht="15.75" customHeight="1">
      <c r="A297" s="159"/>
      <c r="B297" s="160"/>
      <c r="C297" s="155"/>
      <c r="D297" s="156" t="s">
        <v>1432</v>
      </c>
      <c r="E297" s="153">
        <v>0.0</v>
      </c>
      <c r="F297" s="157">
        <v>7.0</v>
      </c>
      <c r="G297" s="158" t="s">
        <v>1274</v>
      </c>
      <c r="H297" s="153">
        <v>1.0</v>
      </c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  <c r="AA297" s="118"/>
      <c r="AB297" s="118"/>
    </row>
    <row r="298" ht="15.75" customHeight="1">
      <c r="A298" s="159"/>
      <c r="B298" s="160"/>
      <c r="C298" s="155"/>
      <c r="D298" s="156" t="s">
        <v>1432</v>
      </c>
      <c r="E298" s="153">
        <v>0.0</v>
      </c>
      <c r="F298" s="157">
        <v>8.0</v>
      </c>
      <c r="G298" s="158" t="s">
        <v>1276</v>
      </c>
      <c r="H298" s="153">
        <v>2.0</v>
      </c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  <c r="AA298" s="118"/>
      <c r="AB298" s="118"/>
    </row>
    <row r="299" ht="15.75" customHeight="1">
      <c r="A299" s="159"/>
      <c r="B299" s="160"/>
      <c r="C299" s="155"/>
      <c r="D299" s="156" t="s">
        <v>1432</v>
      </c>
      <c r="E299" s="153">
        <v>0.0</v>
      </c>
      <c r="F299" s="157">
        <v>9.0</v>
      </c>
      <c r="G299" s="158" t="s">
        <v>1277</v>
      </c>
      <c r="H299" s="153">
        <v>4.0</v>
      </c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</row>
    <row r="300" ht="15.75" customHeight="1">
      <c r="A300" s="159"/>
      <c r="B300" s="160"/>
      <c r="C300" s="155"/>
      <c r="D300" s="156" t="s">
        <v>1433</v>
      </c>
      <c r="E300" s="153">
        <v>0.0</v>
      </c>
      <c r="F300" s="157">
        <v>1.0</v>
      </c>
      <c r="G300" s="158" t="s">
        <v>1263</v>
      </c>
      <c r="H300" s="153">
        <v>1.0</v>
      </c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  <c r="AA300" s="118"/>
      <c r="AB300" s="118"/>
    </row>
    <row r="301" ht="15.75" customHeight="1">
      <c r="A301" s="159"/>
      <c r="B301" s="160"/>
      <c r="C301" s="155"/>
      <c r="D301" s="156" t="s">
        <v>1433</v>
      </c>
      <c r="E301" s="153">
        <v>0.0</v>
      </c>
      <c r="F301" s="157">
        <v>2.0</v>
      </c>
      <c r="G301" s="158" t="s">
        <v>1266</v>
      </c>
      <c r="H301" s="153">
        <v>2.0</v>
      </c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  <c r="AA301" s="118"/>
      <c r="AB301" s="118"/>
    </row>
    <row r="302" ht="15.75" customHeight="1">
      <c r="A302" s="159"/>
      <c r="B302" s="160"/>
      <c r="C302" s="155"/>
      <c r="D302" s="156" t="s">
        <v>1433</v>
      </c>
      <c r="E302" s="153">
        <v>0.0</v>
      </c>
      <c r="F302" s="157">
        <v>3.0</v>
      </c>
      <c r="G302" s="158" t="s">
        <v>1268</v>
      </c>
      <c r="H302" s="153">
        <v>3.0</v>
      </c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  <c r="AA302" s="118"/>
      <c r="AB302" s="118"/>
    </row>
    <row r="303" ht="15.75" customHeight="1">
      <c r="A303" s="159"/>
      <c r="B303" s="160"/>
      <c r="C303" s="155"/>
      <c r="D303" s="156" t="s">
        <v>1433</v>
      </c>
      <c r="E303" s="153">
        <v>0.0</v>
      </c>
      <c r="F303" s="157">
        <v>4.0</v>
      </c>
      <c r="G303" s="158" t="s">
        <v>1269</v>
      </c>
      <c r="H303" s="153">
        <v>4.0</v>
      </c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  <c r="AA303" s="118"/>
      <c r="AB303" s="118"/>
    </row>
    <row r="304" ht="15.75" customHeight="1">
      <c r="A304" s="159"/>
      <c r="B304" s="160"/>
      <c r="C304" s="155"/>
      <c r="D304" s="156" t="s">
        <v>1433</v>
      </c>
      <c r="E304" s="153">
        <v>0.0</v>
      </c>
      <c r="F304" s="157">
        <v>5.0</v>
      </c>
      <c r="G304" s="158" t="s">
        <v>1271</v>
      </c>
      <c r="H304" s="153">
        <v>5.0</v>
      </c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</row>
    <row r="305" ht="15.75" customHeight="1">
      <c r="A305" s="159"/>
      <c r="B305" s="160"/>
      <c r="C305" s="155"/>
      <c r="D305" s="156" t="s">
        <v>1433</v>
      </c>
      <c r="E305" s="153">
        <v>0.0</v>
      </c>
      <c r="F305" s="157">
        <v>6.0</v>
      </c>
      <c r="G305" s="158" t="s">
        <v>1273</v>
      </c>
      <c r="H305" s="153">
        <v>6.0</v>
      </c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  <c r="AA305" s="118"/>
      <c r="AB305" s="118"/>
    </row>
    <row r="306" ht="15.75" customHeight="1">
      <c r="A306" s="159"/>
      <c r="B306" s="160"/>
      <c r="C306" s="155"/>
      <c r="D306" s="156" t="s">
        <v>1434</v>
      </c>
      <c r="E306" s="153">
        <v>0.0</v>
      </c>
      <c r="F306" s="157">
        <v>1.0</v>
      </c>
      <c r="G306" s="158" t="s">
        <v>1263</v>
      </c>
      <c r="H306" s="153">
        <v>1.0</v>
      </c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  <c r="AA306" s="118"/>
      <c r="AB306" s="118"/>
    </row>
    <row r="307" ht="15.75" customHeight="1">
      <c r="A307" s="159"/>
      <c r="B307" s="160"/>
      <c r="C307" s="155"/>
      <c r="D307" s="156" t="s">
        <v>1434</v>
      </c>
      <c r="E307" s="153">
        <v>0.0</v>
      </c>
      <c r="F307" s="157">
        <v>2.0</v>
      </c>
      <c r="G307" s="158" t="s">
        <v>1266</v>
      </c>
      <c r="H307" s="153">
        <v>2.0</v>
      </c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  <c r="AA307" s="118"/>
      <c r="AB307" s="118"/>
    </row>
    <row r="308" ht="15.75" customHeight="1">
      <c r="A308" s="159"/>
      <c r="B308" s="160"/>
      <c r="C308" s="155"/>
      <c r="D308" s="156" t="s">
        <v>1434</v>
      </c>
      <c r="E308" s="153">
        <v>0.0</v>
      </c>
      <c r="F308" s="157">
        <v>3.0</v>
      </c>
      <c r="G308" s="158" t="s">
        <v>1268</v>
      </c>
      <c r="H308" s="153">
        <v>3.0</v>
      </c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  <c r="AA308" s="118"/>
      <c r="AB308" s="118"/>
    </row>
    <row r="309" ht="15.75" customHeight="1">
      <c r="A309" s="159"/>
      <c r="B309" s="160"/>
      <c r="C309" s="155"/>
      <c r="D309" s="156" t="s">
        <v>1434</v>
      </c>
      <c r="E309" s="153">
        <v>0.0</v>
      </c>
      <c r="F309" s="157">
        <v>4.0</v>
      </c>
      <c r="G309" s="158" t="s">
        <v>1269</v>
      </c>
      <c r="H309" s="153">
        <v>4.0</v>
      </c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  <c r="AA309" s="118"/>
      <c r="AB309" s="118"/>
    </row>
    <row r="310" ht="15.75" customHeight="1">
      <c r="A310" s="159"/>
      <c r="B310" s="160"/>
      <c r="C310" s="155"/>
      <c r="D310" s="156" t="s">
        <v>1434</v>
      </c>
      <c r="E310" s="153">
        <v>0.0</v>
      </c>
      <c r="F310" s="157">
        <v>5.0</v>
      </c>
      <c r="G310" s="158" t="s">
        <v>1271</v>
      </c>
      <c r="H310" s="153">
        <v>5.0</v>
      </c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  <c r="AA310" s="118"/>
      <c r="AB310" s="118"/>
    </row>
    <row r="311" ht="15.75" customHeight="1">
      <c r="A311" s="159"/>
      <c r="B311" s="160"/>
      <c r="C311" s="155"/>
      <c r="D311" s="156" t="s">
        <v>1434</v>
      </c>
      <c r="E311" s="153">
        <v>0.0</v>
      </c>
      <c r="F311" s="157">
        <v>6.0</v>
      </c>
      <c r="G311" s="158" t="s">
        <v>1273</v>
      </c>
      <c r="H311" s="153">
        <v>6.0</v>
      </c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</row>
    <row r="312" ht="15.75" customHeight="1">
      <c r="A312" s="159"/>
      <c r="B312" s="160"/>
      <c r="C312" s="155"/>
      <c r="D312" s="156" t="s">
        <v>1435</v>
      </c>
      <c r="E312" s="153">
        <v>0.0</v>
      </c>
      <c r="F312" s="157">
        <v>1.0</v>
      </c>
      <c r="G312" s="158" t="s">
        <v>1263</v>
      </c>
      <c r="H312" s="153">
        <v>1.0</v>
      </c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</row>
    <row r="313" ht="15.75" customHeight="1">
      <c r="A313" s="159"/>
      <c r="B313" s="160"/>
      <c r="C313" s="155"/>
      <c r="D313" s="156" t="s">
        <v>1435</v>
      </c>
      <c r="E313" s="153">
        <v>0.0</v>
      </c>
      <c r="F313" s="157">
        <v>2.0</v>
      </c>
      <c r="G313" s="158" t="s">
        <v>1266</v>
      </c>
      <c r="H313" s="153">
        <v>2.0</v>
      </c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  <c r="AA313" s="118"/>
      <c r="AB313" s="118"/>
    </row>
    <row r="314" ht="15.75" customHeight="1">
      <c r="A314" s="159"/>
      <c r="B314" s="160"/>
      <c r="C314" s="155"/>
      <c r="D314" s="156" t="s">
        <v>1435</v>
      </c>
      <c r="E314" s="153">
        <v>0.0</v>
      </c>
      <c r="F314" s="157">
        <v>3.0</v>
      </c>
      <c r="G314" s="158" t="s">
        <v>1268</v>
      </c>
      <c r="H314" s="153">
        <v>3.0</v>
      </c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  <c r="AA314" s="118"/>
      <c r="AB314" s="118"/>
    </row>
    <row r="315" ht="15.75" customHeight="1">
      <c r="A315" s="159"/>
      <c r="B315" s="160"/>
      <c r="C315" s="155"/>
      <c r="D315" s="156" t="s">
        <v>1435</v>
      </c>
      <c r="E315" s="153">
        <v>0.0</v>
      </c>
      <c r="F315" s="157">
        <v>4.0</v>
      </c>
      <c r="G315" s="158" t="s">
        <v>1269</v>
      </c>
      <c r="H315" s="153">
        <v>4.0</v>
      </c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  <c r="AA315" s="118"/>
      <c r="AB315" s="118"/>
    </row>
    <row r="316" ht="15.75" customHeight="1">
      <c r="A316" s="159"/>
      <c r="B316" s="160"/>
      <c r="C316" s="155"/>
      <c r="D316" s="156" t="s">
        <v>1435</v>
      </c>
      <c r="E316" s="153">
        <v>0.0</v>
      </c>
      <c r="F316" s="157">
        <v>5.0</v>
      </c>
      <c r="G316" s="158" t="s">
        <v>1271</v>
      </c>
      <c r="H316" s="153">
        <v>5.0</v>
      </c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  <c r="AA316" s="118"/>
      <c r="AB316" s="118"/>
    </row>
    <row r="317" ht="15.75" customHeight="1">
      <c r="A317" s="159"/>
      <c r="B317" s="160"/>
      <c r="C317" s="155"/>
      <c r="D317" s="156" t="s">
        <v>1435</v>
      </c>
      <c r="E317" s="153">
        <v>0.0</v>
      </c>
      <c r="F317" s="157">
        <v>6.0</v>
      </c>
      <c r="G317" s="158" t="s">
        <v>1273</v>
      </c>
      <c r="H317" s="153">
        <v>6.0</v>
      </c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  <c r="AA317" s="118"/>
      <c r="AB317" s="118"/>
    </row>
    <row r="318" ht="15.75" customHeight="1">
      <c r="A318" s="159"/>
      <c r="B318" s="160"/>
      <c r="C318" s="155"/>
      <c r="D318" s="156" t="s">
        <v>1436</v>
      </c>
      <c r="E318" s="153">
        <v>0.0</v>
      </c>
      <c r="F318" s="157">
        <v>1.0</v>
      </c>
      <c r="G318" s="158" t="s">
        <v>1263</v>
      </c>
      <c r="H318" s="153">
        <v>1.0</v>
      </c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  <c r="AA318" s="118"/>
      <c r="AB318" s="118"/>
    </row>
    <row r="319" ht="15.75" customHeight="1">
      <c r="A319" s="159"/>
      <c r="B319" s="160"/>
      <c r="C319" s="155"/>
      <c r="D319" s="156" t="s">
        <v>1436</v>
      </c>
      <c r="E319" s="153">
        <v>0.0</v>
      </c>
      <c r="F319" s="157">
        <v>2.0</v>
      </c>
      <c r="G319" s="158" t="s">
        <v>1266</v>
      </c>
      <c r="H319" s="153">
        <v>2.0</v>
      </c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  <c r="AA319" s="118"/>
      <c r="AB319" s="118"/>
    </row>
    <row r="320" ht="15.75" customHeight="1">
      <c r="A320" s="159"/>
      <c r="B320" s="160"/>
      <c r="C320" s="155"/>
      <c r="D320" s="156" t="s">
        <v>1436</v>
      </c>
      <c r="E320" s="153">
        <v>0.0</v>
      </c>
      <c r="F320" s="157">
        <v>3.0</v>
      </c>
      <c r="G320" s="158" t="s">
        <v>1268</v>
      </c>
      <c r="H320" s="153">
        <v>3.0</v>
      </c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  <c r="AA320" s="118"/>
      <c r="AB320" s="118"/>
    </row>
    <row r="321" ht="15.75" customHeight="1">
      <c r="A321" s="159"/>
      <c r="B321" s="160"/>
      <c r="C321" s="155"/>
      <c r="D321" s="156" t="s">
        <v>1436</v>
      </c>
      <c r="E321" s="153">
        <v>0.0</v>
      </c>
      <c r="F321" s="157">
        <v>4.0</v>
      </c>
      <c r="G321" s="158" t="s">
        <v>1269</v>
      </c>
      <c r="H321" s="153">
        <v>4.0</v>
      </c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  <c r="AA321" s="118"/>
      <c r="AB321" s="118"/>
    </row>
    <row r="322" ht="15.75" customHeight="1">
      <c r="A322" s="159"/>
      <c r="B322" s="160"/>
      <c r="C322" s="155"/>
      <c r="D322" s="156" t="s">
        <v>1436</v>
      </c>
      <c r="E322" s="153">
        <v>0.0</v>
      </c>
      <c r="F322" s="157">
        <v>5.0</v>
      </c>
      <c r="G322" s="158" t="s">
        <v>1271</v>
      </c>
      <c r="H322" s="153">
        <v>5.0</v>
      </c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  <c r="AA322" s="118"/>
      <c r="AB322" s="118"/>
    </row>
    <row r="323" ht="15.75" customHeight="1">
      <c r="A323" s="159"/>
      <c r="B323" s="160"/>
      <c r="C323" s="155"/>
      <c r="D323" s="156" t="s">
        <v>1436</v>
      </c>
      <c r="E323" s="153">
        <v>0.0</v>
      </c>
      <c r="F323" s="157">
        <v>6.0</v>
      </c>
      <c r="G323" s="158" t="s">
        <v>1273</v>
      </c>
      <c r="H323" s="153">
        <v>6.0</v>
      </c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  <c r="AA323" s="118"/>
      <c r="AB323" s="118"/>
    </row>
    <row r="324" ht="15.75" customHeight="1">
      <c r="A324" s="159"/>
      <c r="B324" s="160"/>
      <c r="C324" s="155"/>
      <c r="D324" s="156" t="s">
        <v>1437</v>
      </c>
      <c r="E324" s="153">
        <v>0.0</v>
      </c>
      <c r="F324" s="157">
        <v>1.0</v>
      </c>
      <c r="G324" s="158" t="s">
        <v>1263</v>
      </c>
      <c r="H324" s="153">
        <v>1.0</v>
      </c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  <c r="AA324" s="118"/>
      <c r="AB324" s="118"/>
    </row>
    <row r="325" ht="15.75" customHeight="1">
      <c r="A325" s="159"/>
      <c r="B325" s="160"/>
      <c r="C325" s="155"/>
      <c r="D325" s="156" t="s">
        <v>1437</v>
      </c>
      <c r="E325" s="153">
        <v>0.0</v>
      </c>
      <c r="F325" s="157">
        <v>2.0</v>
      </c>
      <c r="G325" s="158" t="s">
        <v>1266</v>
      </c>
      <c r="H325" s="153">
        <v>2.0</v>
      </c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  <c r="AA325" s="118"/>
      <c r="AB325" s="118"/>
    </row>
    <row r="326" ht="15.75" customHeight="1">
      <c r="A326" s="159"/>
      <c r="B326" s="160"/>
      <c r="C326" s="155"/>
      <c r="D326" s="156" t="s">
        <v>1437</v>
      </c>
      <c r="E326" s="153">
        <v>0.0</v>
      </c>
      <c r="F326" s="157">
        <v>3.0</v>
      </c>
      <c r="G326" s="158" t="s">
        <v>1268</v>
      </c>
      <c r="H326" s="153">
        <v>3.0</v>
      </c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  <c r="AA326" s="118"/>
      <c r="AB326" s="118"/>
    </row>
    <row r="327" ht="15.75" customHeight="1">
      <c r="A327" s="159"/>
      <c r="B327" s="160"/>
      <c r="C327" s="155"/>
      <c r="D327" s="156" t="s">
        <v>1437</v>
      </c>
      <c r="E327" s="153">
        <v>0.0</v>
      </c>
      <c r="F327" s="157">
        <v>4.0</v>
      </c>
      <c r="G327" s="158" t="s">
        <v>1269</v>
      </c>
      <c r="H327" s="153">
        <v>4.0</v>
      </c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  <c r="AA327" s="118"/>
      <c r="AB327" s="118"/>
    </row>
    <row r="328" ht="15.75" customHeight="1">
      <c r="A328" s="159"/>
      <c r="B328" s="160"/>
      <c r="C328" s="155"/>
      <c r="D328" s="156" t="s">
        <v>1437</v>
      </c>
      <c r="E328" s="153">
        <v>0.0</v>
      </c>
      <c r="F328" s="157">
        <v>5.0</v>
      </c>
      <c r="G328" s="158" t="s">
        <v>1271</v>
      </c>
      <c r="H328" s="153">
        <v>5.0</v>
      </c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  <c r="AA328" s="118"/>
      <c r="AB328" s="118"/>
    </row>
    <row r="329" ht="15.75" customHeight="1">
      <c r="A329" s="159"/>
      <c r="B329" s="160"/>
      <c r="C329" s="155"/>
      <c r="D329" s="156" t="s">
        <v>1437</v>
      </c>
      <c r="E329" s="153">
        <v>0.0</v>
      </c>
      <c r="F329" s="157">
        <v>6.0</v>
      </c>
      <c r="G329" s="158" t="s">
        <v>1273</v>
      </c>
      <c r="H329" s="153">
        <v>6.0</v>
      </c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  <c r="AA329" s="118"/>
      <c r="AB329" s="118"/>
    </row>
    <row r="330" ht="15.75" customHeight="1">
      <c r="A330" s="159"/>
      <c r="B330" s="160"/>
      <c r="C330" s="155"/>
      <c r="D330" s="156" t="s">
        <v>1438</v>
      </c>
      <c r="E330" s="153">
        <v>0.0</v>
      </c>
      <c r="F330" s="157">
        <v>1.0</v>
      </c>
      <c r="G330" s="158" t="s">
        <v>1263</v>
      </c>
      <c r="H330" s="153">
        <v>1.0</v>
      </c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  <c r="AA330" s="118"/>
      <c r="AB330" s="118"/>
    </row>
    <row r="331" ht="15.75" customHeight="1">
      <c r="A331" s="159"/>
      <c r="B331" s="160"/>
      <c r="C331" s="155"/>
      <c r="D331" s="156" t="s">
        <v>1438</v>
      </c>
      <c r="E331" s="153">
        <v>0.0</v>
      </c>
      <c r="F331" s="157">
        <v>2.0</v>
      </c>
      <c r="G331" s="158" t="s">
        <v>1266</v>
      </c>
      <c r="H331" s="153">
        <v>2.0</v>
      </c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  <c r="AA331" s="118"/>
      <c r="AB331" s="118"/>
    </row>
    <row r="332" ht="15.75" customHeight="1">
      <c r="A332" s="159"/>
      <c r="B332" s="160"/>
      <c r="C332" s="155"/>
      <c r="D332" s="156" t="s">
        <v>1438</v>
      </c>
      <c r="E332" s="153">
        <v>0.0</v>
      </c>
      <c r="F332" s="157">
        <v>3.0</v>
      </c>
      <c r="G332" s="158" t="s">
        <v>1268</v>
      </c>
      <c r="H332" s="153">
        <v>3.0</v>
      </c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  <c r="AA332" s="118"/>
      <c r="AB332" s="118"/>
    </row>
    <row r="333" ht="15.75" customHeight="1">
      <c r="A333" s="159"/>
      <c r="B333" s="160"/>
      <c r="C333" s="155"/>
      <c r="D333" s="156" t="s">
        <v>1438</v>
      </c>
      <c r="E333" s="153">
        <v>0.0</v>
      </c>
      <c r="F333" s="157">
        <v>4.0</v>
      </c>
      <c r="G333" s="158" t="s">
        <v>1269</v>
      </c>
      <c r="H333" s="153">
        <v>4.0</v>
      </c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18"/>
    </row>
    <row r="334" ht="15.75" customHeight="1">
      <c r="A334" s="159"/>
      <c r="B334" s="160"/>
      <c r="C334" s="155"/>
      <c r="D334" s="156" t="s">
        <v>1438</v>
      </c>
      <c r="E334" s="153">
        <v>0.0</v>
      </c>
      <c r="F334" s="157">
        <v>5.0</v>
      </c>
      <c r="G334" s="158" t="s">
        <v>1271</v>
      </c>
      <c r="H334" s="153">
        <v>5.0</v>
      </c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  <c r="AA334" s="118"/>
      <c r="AB334" s="118"/>
    </row>
    <row r="335" ht="15.75" customHeight="1">
      <c r="A335" s="159"/>
      <c r="B335" s="160"/>
      <c r="C335" s="155"/>
      <c r="D335" s="156" t="s">
        <v>1438</v>
      </c>
      <c r="E335" s="153">
        <v>0.0</v>
      </c>
      <c r="F335" s="157">
        <v>6.0</v>
      </c>
      <c r="G335" s="158" t="s">
        <v>1273</v>
      </c>
      <c r="H335" s="153">
        <v>6.0</v>
      </c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  <c r="AA335" s="118"/>
      <c r="AB335" s="118"/>
    </row>
    <row r="336" ht="15.75" customHeight="1">
      <c r="A336" s="159"/>
      <c r="B336" s="160"/>
      <c r="C336" s="155"/>
      <c r="D336" s="156" t="s">
        <v>1439</v>
      </c>
      <c r="E336" s="153">
        <v>0.0</v>
      </c>
      <c r="F336" s="157">
        <v>1.0</v>
      </c>
      <c r="G336" s="158" t="s">
        <v>1440</v>
      </c>
      <c r="H336" s="153">
        <v>0.0</v>
      </c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  <c r="AA336" s="118"/>
      <c r="AB336" s="118"/>
    </row>
    <row r="337" ht="15.75" customHeight="1">
      <c r="A337" s="159"/>
      <c r="B337" s="160"/>
      <c r="C337" s="155"/>
      <c r="D337" s="156" t="s">
        <v>1439</v>
      </c>
      <c r="E337" s="153">
        <v>0.0</v>
      </c>
      <c r="F337" s="157">
        <v>2.0</v>
      </c>
      <c r="G337" s="158" t="s">
        <v>1441</v>
      </c>
      <c r="H337" s="153">
        <v>0.0</v>
      </c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  <c r="AA337" s="118"/>
      <c r="AB337" s="118"/>
    </row>
    <row r="338" ht="15.75" customHeight="1">
      <c r="A338" s="159"/>
      <c r="B338" s="160"/>
      <c r="C338" s="155"/>
      <c r="D338" s="156" t="s">
        <v>1439</v>
      </c>
      <c r="E338" s="153">
        <v>0.0</v>
      </c>
      <c r="F338" s="157">
        <v>3.0</v>
      </c>
      <c r="G338" s="158" t="s">
        <v>1442</v>
      </c>
      <c r="H338" s="153">
        <v>6.0</v>
      </c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  <c r="AA338" s="118"/>
      <c r="AB338" s="118"/>
    </row>
    <row r="339" ht="15.75" customHeight="1">
      <c r="A339" s="159"/>
      <c r="B339" s="160"/>
      <c r="C339" s="155"/>
      <c r="D339" s="156" t="s">
        <v>1439</v>
      </c>
      <c r="E339" s="153">
        <v>0.0</v>
      </c>
      <c r="F339" s="157">
        <v>4.0</v>
      </c>
      <c r="G339" s="158" t="s">
        <v>1269</v>
      </c>
      <c r="H339" s="153">
        <v>7.0</v>
      </c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  <c r="AA339" s="118"/>
      <c r="AB339" s="118"/>
    </row>
    <row r="340" ht="15.75" customHeight="1">
      <c r="A340" s="159"/>
      <c r="B340" s="160"/>
      <c r="C340" s="155"/>
      <c r="D340" s="156" t="s">
        <v>1439</v>
      </c>
      <c r="E340" s="153">
        <v>0.0</v>
      </c>
      <c r="F340" s="157">
        <v>10.0</v>
      </c>
      <c r="G340" s="158" t="s">
        <v>1443</v>
      </c>
      <c r="H340" s="153">
        <v>8.0</v>
      </c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  <c r="AA340" s="118"/>
      <c r="AB340" s="118"/>
    </row>
    <row r="341" ht="15.75" customHeight="1">
      <c r="A341" s="159"/>
      <c r="B341" s="160"/>
      <c r="C341" s="155"/>
      <c r="D341" s="156" t="s">
        <v>1439</v>
      </c>
      <c r="E341" s="153">
        <v>0.0</v>
      </c>
      <c r="F341" s="157">
        <v>11.0</v>
      </c>
      <c r="G341" s="158" t="s">
        <v>1444</v>
      </c>
      <c r="H341" s="153">
        <v>2.0</v>
      </c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  <c r="AA341" s="118"/>
      <c r="AB341" s="118"/>
    </row>
    <row r="342" ht="15.75" customHeight="1">
      <c r="A342" s="159"/>
      <c r="B342" s="160"/>
      <c r="C342" s="155"/>
      <c r="D342" s="156" t="s">
        <v>1439</v>
      </c>
      <c r="E342" s="153">
        <v>0.0</v>
      </c>
      <c r="F342" s="157">
        <v>20.0</v>
      </c>
      <c r="G342" s="158" t="s">
        <v>1445</v>
      </c>
      <c r="H342" s="153">
        <v>1.0</v>
      </c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  <c r="AA342" s="118"/>
      <c r="AB342" s="118"/>
    </row>
    <row r="343" ht="15.75" customHeight="1">
      <c r="A343" s="159"/>
      <c r="B343" s="160"/>
      <c r="C343" s="155"/>
      <c r="D343" s="156" t="s">
        <v>1439</v>
      </c>
      <c r="E343" s="153">
        <v>0.0</v>
      </c>
      <c r="F343" s="157">
        <v>21.0</v>
      </c>
      <c r="G343" s="158" t="s">
        <v>1291</v>
      </c>
      <c r="H343" s="153">
        <v>3.0</v>
      </c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  <c r="AA343" s="118"/>
      <c r="AB343" s="118"/>
    </row>
    <row r="344" ht="15.75" customHeight="1">
      <c r="A344" s="159"/>
      <c r="B344" s="160"/>
      <c r="C344" s="155"/>
      <c r="D344" s="156" t="s">
        <v>1439</v>
      </c>
      <c r="E344" s="153">
        <v>0.0</v>
      </c>
      <c r="F344" s="157">
        <v>22.0</v>
      </c>
      <c r="G344" s="158" t="s">
        <v>1292</v>
      </c>
      <c r="H344" s="153">
        <v>4.0</v>
      </c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  <c r="AA344" s="118"/>
      <c r="AB344" s="118"/>
    </row>
    <row r="345" ht="15.75" customHeight="1">
      <c r="A345" s="159"/>
      <c r="B345" s="160"/>
      <c r="C345" s="155"/>
      <c r="D345" s="156" t="s">
        <v>1439</v>
      </c>
      <c r="E345" s="153">
        <v>0.0</v>
      </c>
      <c r="F345" s="157">
        <v>23.0</v>
      </c>
      <c r="G345" s="158" t="s">
        <v>1446</v>
      </c>
      <c r="H345" s="153">
        <v>5.0</v>
      </c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  <c r="AA345" s="118"/>
      <c r="AB345" s="118"/>
    </row>
    <row r="346" ht="15.75" customHeight="1">
      <c r="A346" s="159"/>
      <c r="B346" s="160"/>
      <c r="C346" s="155"/>
      <c r="D346" s="156" t="s">
        <v>1439</v>
      </c>
      <c r="E346" s="153">
        <v>0.0</v>
      </c>
      <c r="F346" s="157">
        <v>24.0</v>
      </c>
      <c r="G346" s="158" t="s">
        <v>1447</v>
      </c>
      <c r="H346" s="153">
        <v>9.0</v>
      </c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  <c r="AA346" s="118"/>
      <c r="AB346" s="118"/>
    </row>
    <row r="347" ht="15.75" customHeight="1">
      <c r="A347" s="159"/>
      <c r="B347" s="160"/>
      <c r="C347" s="155"/>
      <c r="D347" s="156" t="s">
        <v>1439</v>
      </c>
      <c r="E347" s="153">
        <v>0.0</v>
      </c>
      <c r="F347" s="157">
        <v>25.0</v>
      </c>
      <c r="G347" s="158" t="s">
        <v>1448</v>
      </c>
      <c r="H347" s="153">
        <v>10.0</v>
      </c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  <c r="AA347" s="118"/>
      <c r="AB347" s="118"/>
    </row>
    <row r="348" ht="15.75" customHeight="1">
      <c r="A348" s="159"/>
      <c r="B348" s="160"/>
      <c r="C348" s="155"/>
      <c r="D348" s="156" t="s">
        <v>1439</v>
      </c>
      <c r="E348" s="153">
        <v>0.0</v>
      </c>
      <c r="F348" s="157">
        <v>26.0</v>
      </c>
      <c r="G348" s="158" t="s">
        <v>1296</v>
      </c>
      <c r="H348" s="153">
        <v>15.0</v>
      </c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  <c r="AA348" s="118"/>
      <c r="AB348" s="118"/>
    </row>
    <row r="349" ht="15.75" customHeight="1">
      <c r="A349" s="159"/>
      <c r="B349" s="160"/>
      <c r="C349" s="155"/>
      <c r="D349" s="156" t="s">
        <v>1449</v>
      </c>
      <c r="E349" s="153">
        <v>0.0</v>
      </c>
      <c r="F349" s="157">
        <v>1.0</v>
      </c>
      <c r="G349" s="158" t="s">
        <v>1263</v>
      </c>
      <c r="H349" s="153">
        <v>1.0</v>
      </c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  <c r="AA349" s="118"/>
      <c r="AB349" s="118"/>
    </row>
    <row r="350" ht="15.75" customHeight="1">
      <c r="A350" s="159"/>
      <c r="B350" s="160"/>
      <c r="C350" s="155"/>
      <c r="D350" s="156" t="s">
        <v>1449</v>
      </c>
      <c r="E350" s="153">
        <v>0.0</v>
      </c>
      <c r="F350" s="157">
        <v>2.0</v>
      </c>
      <c r="G350" s="158" t="s">
        <v>1266</v>
      </c>
      <c r="H350" s="153">
        <v>2.0</v>
      </c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  <c r="AA350" s="118"/>
      <c r="AB350" s="118"/>
    </row>
    <row r="351" ht="15.75" customHeight="1">
      <c r="A351" s="159"/>
      <c r="B351" s="160"/>
      <c r="C351" s="155"/>
      <c r="D351" s="156" t="s">
        <v>1449</v>
      </c>
      <c r="E351" s="153">
        <v>0.0</v>
      </c>
      <c r="F351" s="157">
        <v>3.0</v>
      </c>
      <c r="G351" s="158" t="s">
        <v>1268</v>
      </c>
      <c r="H351" s="153">
        <v>3.0</v>
      </c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  <c r="AA351" s="118"/>
      <c r="AB351" s="118"/>
    </row>
    <row r="352" ht="15.75" customHeight="1">
      <c r="A352" s="159"/>
      <c r="B352" s="160"/>
      <c r="C352" s="155"/>
      <c r="D352" s="156" t="s">
        <v>1449</v>
      </c>
      <c r="E352" s="153">
        <v>0.0</v>
      </c>
      <c r="F352" s="157">
        <v>4.0</v>
      </c>
      <c r="G352" s="158" t="s">
        <v>1269</v>
      </c>
      <c r="H352" s="153">
        <v>4.0</v>
      </c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  <c r="AA352" s="118"/>
      <c r="AB352" s="118"/>
    </row>
    <row r="353" ht="15.75" customHeight="1">
      <c r="A353" s="159"/>
      <c r="B353" s="160"/>
      <c r="C353" s="155"/>
      <c r="D353" s="156" t="s">
        <v>1449</v>
      </c>
      <c r="E353" s="153">
        <v>0.0</v>
      </c>
      <c r="F353" s="157">
        <v>5.0</v>
      </c>
      <c r="G353" s="158" t="s">
        <v>1271</v>
      </c>
      <c r="H353" s="153">
        <v>5.0</v>
      </c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  <c r="AA353" s="118"/>
      <c r="AB353" s="118"/>
    </row>
    <row r="354" ht="15.75" customHeight="1">
      <c r="A354" s="159"/>
      <c r="B354" s="160"/>
      <c r="C354" s="155"/>
      <c r="D354" s="156" t="s">
        <v>1449</v>
      </c>
      <c r="E354" s="153">
        <v>0.0</v>
      </c>
      <c r="F354" s="157">
        <v>6.0</v>
      </c>
      <c r="G354" s="158" t="s">
        <v>1358</v>
      </c>
      <c r="H354" s="153">
        <v>6.0</v>
      </c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  <c r="AA354" s="118"/>
      <c r="AB354" s="118"/>
    </row>
    <row r="355" ht="15.75" customHeight="1">
      <c r="A355" s="159"/>
      <c r="B355" s="160"/>
      <c r="C355" s="155"/>
      <c r="D355" s="156" t="s">
        <v>1450</v>
      </c>
      <c r="E355" s="153">
        <v>0.0</v>
      </c>
      <c r="F355" s="157">
        <v>3.0</v>
      </c>
      <c r="G355" s="158" t="s">
        <v>1268</v>
      </c>
      <c r="H355" s="153">
        <v>3.0</v>
      </c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  <c r="AA355" s="118"/>
      <c r="AB355" s="118"/>
    </row>
    <row r="356" ht="15.75" customHeight="1">
      <c r="A356" s="159"/>
      <c r="B356" s="160"/>
      <c r="C356" s="155"/>
      <c r="D356" s="156" t="s">
        <v>1450</v>
      </c>
      <c r="E356" s="153">
        <v>0.0</v>
      </c>
      <c r="F356" s="157">
        <v>4.0</v>
      </c>
      <c r="G356" s="158" t="s">
        <v>1270</v>
      </c>
      <c r="H356" s="153">
        <v>5.0</v>
      </c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  <c r="AA356" s="118"/>
      <c r="AB356" s="118"/>
    </row>
    <row r="357" ht="15.75" customHeight="1">
      <c r="A357" s="159"/>
      <c r="B357" s="160"/>
      <c r="C357" s="155"/>
      <c r="D357" s="156" t="s">
        <v>1450</v>
      </c>
      <c r="E357" s="153">
        <v>0.0</v>
      </c>
      <c r="F357" s="157">
        <v>5.0</v>
      </c>
      <c r="G357" s="158" t="s">
        <v>1271</v>
      </c>
      <c r="H357" s="153">
        <v>6.0</v>
      </c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  <c r="AA357" s="118"/>
      <c r="AB357" s="118"/>
    </row>
    <row r="358" ht="15.75" customHeight="1">
      <c r="A358" s="159"/>
      <c r="B358" s="160"/>
      <c r="C358" s="155"/>
      <c r="D358" s="156" t="s">
        <v>1450</v>
      </c>
      <c r="E358" s="153">
        <v>0.0</v>
      </c>
      <c r="F358" s="157">
        <v>6.0</v>
      </c>
      <c r="G358" s="158" t="s">
        <v>1273</v>
      </c>
      <c r="H358" s="153">
        <v>7.0</v>
      </c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  <c r="AA358" s="118"/>
      <c r="AB358" s="118"/>
    </row>
    <row r="359" ht="15.75" customHeight="1">
      <c r="A359" s="159"/>
      <c r="B359" s="160"/>
      <c r="C359" s="155"/>
      <c r="D359" s="156" t="s">
        <v>1450</v>
      </c>
      <c r="E359" s="153">
        <v>0.0</v>
      </c>
      <c r="F359" s="157">
        <v>7.0</v>
      </c>
      <c r="G359" s="158" t="s">
        <v>1274</v>
      </c>
      <c r="H359" s="153">
        <v>1.0</v>
      </c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  <c r="AA359" s="118"/>
      <c r="AB359" s="118"/>
    </row>
    <row r="360" ht="15.75" customHeight="1">
      <c r="A360" s="159"/>
      <c r="B360" s="160"/>
      <c r="C360" s="155"/>
      <c r="D360" s="156" t="s">
        <v>1450</v>
      </c>
      <c r="E360" s="153">
        <v>0.0</v>
      </c>
      <c r="F360" s="157">
        <v>8.0</v>
      </c>
      <c r="G360" s="158" t="s">
        <v>1276</v>
      </c>
      <c r="H360" s="153">
        <v>2.0</v>
      </c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  <c r="AA360" s="118"/>
      <c r="AB360" s="118"/>
    </row>
    <row r="361" ht="15.75" customHeight="1">
      <c r="A361" s="159"/>
      <c r="B361" s="160"/>
      <c r="C361" s="155"/>
      <c r="D361" s="156" t="s">
        <v>1450</v>
      </c>
      <c r="E361" s="153">
        <v>0.0</v>
      </c>
      <c r="F361" s="157">
        <v>9.0</v>
      </c>
      <c r="G361" s="158" t="s">
        <v>1277</v>
      </c>
      <c r="H361" s="153">
        <v>4.0</v>
      </c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  <c r="AA361" s="118"/>
      <c r="AB361" s="118"/>
    </row>
    <row r="362" ht="15.75" customHeight="1">
      <c r="A362" s="159"/>
      <c r="B362" s="160"/>
      <c r="C362" s="155"/>
      <c r="D362" s="156" t="s">
        <v>1451</v>
      </c>
      <c r="E362" s="153">
        <v>0.0</v>
      </c>
      <c r="F362" s="157">
        <v>1.0</v>
      </c>
      <c r="G362" s="158" t="s">
        <v>1452</v>
      </c>
      <c r="H362" s="153">
        <v>1.0</v>
      </c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  <c r="AA362" s="118"/>
      <c r="AB362" s="118"/>
    </row>
    <row r="363" ht="15.75" customHeight="1">
      <c r="A363" s="159"/>
      <c r="B363" s="160"/>
      <c r="C363" s="155"/>
      <c r="D363" s="156" t="s">
        <v>1451</v>
      </c>
      <c r="E363" s="153">
        <v>0.0</v>
      </c>
      <c r="F363" s="157">
        <v>2.0</v>
      </c>
      <c r="G363" s="158" t="s">
        <v>1392</v>
      </c>
      <c r="H363" s="153">
        <v>2.0</v>
      </c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  <c r="AA363" s="118"/>
      <c r="AB363" s="118"/>
    </row>
    <row r="364" ht="15.75" customHeight="1">
      <c r="A364" s="159"/>
      <c r="B364" s="160"/>
      <c r="C364" s="155"/>
      <c r="D364" s="156" t="s">
        <v>1451</v>
      </c>
      <c r="E364" s="153">
        <v>0.0</v>
      </c>
      <c r="F364" s="157">
        <v>3.0</v>
      </c>
      <c r="G364" s="158" t="s">
        <v>1268</v>
      </c>
      <c r="H364" s="153">
        <v>3.0</v>
      </c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  <c r="AA364" s="118"/>
      <c r="AB364" s="118"/>
    </row>
    <row r="365" ht="15.75" customHeight="1">
      <c r="A365" s="159"/>
      <c r="B365" s="160"/>
      <c r="C365" s="155"/>
      <c r="D365" s="156" t="s">
        <v>1451</v>
      </c>
      <c r="E365" s="153">
        <v>0.0</v>
      </c>
      <c r="F365" s="157">
        <v>4.0</v>
      </c>
      <c r="G365" s="158" t="s">
        <v>1269</v>
      </c>
      <c r="H365" s="153">
        <v>4.0</v>
      </c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  <c r="AA365" s="118"/>
      <c r="AB365" s="118"/>
    </row>
    <row r="366" ht="15.75" customHeight="1">
      <c r="A366" s="159"/>
      <c r="B366" s="160"/>
      <c r="C366" s="155"/>
      <c r="D366" s="156" t="s">
        <v>1451</v>
      </c>
      <c r="E366" s="153">
        <v>0.0</v>
      </c>
      <c r="F366" s="157">
        <v>5.0</v>
      </c>
      <c r="G366" s="158" t="s">
        <v>1271</v>
      </c>
      <c r="H366" s="153">
        <v>5.0</v>
      </c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  <c r="AA366" s="118"/>
      <c r="AB366" s="118"/>
    </row>
    <row r="367" ht="15.75" customHeight="1">
      <c r="A367" s="159"/>
      <c r="B367" s="160"/>
      <c r="C367" s="155"/>
      <c r="D367" s="156" t="s">
        <v>1451</v>
      </c>
      <c r="E367" s="153">
        <v>0.0</v>
      </c>
      <c r="F367" s="157">
        <v>6.0</v>
      </c>
      <c r="G367" s="158" t="s">
        <v>1358</v>
      </c>
      <c r="H367" s="153">
        <v>6.0</v>
      </c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  <c r="AA367" s="118"/>
      <c r="AB367" s="118"/>
    </row>
    <row r="368" ht="15.75" customHeight="1">
      <c r="A368" s="159"/>
      <c r="B368" s="160"/>
      <c r="C368" s="155"/>
      <c r="D368" s="156" t="s">
        <v>1453</v>
      </c>
      <c r="E368" s="153">
        <v>0.0</v>
      </c>
      <c r="F368" s="157">
        <v>1.0</v>
      </c>
      <c r="G368" s="158" t="s">
        <v>1263</v>
      </c>
      <c r="H368" s="153">
        <v>1.0</v>
      </c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  <c r="AA368" s="118"/>
      <c r="AB368" s="118"/>
    </row>
    <row r="369" ht="15.75" customHeight="1">
      <c r="A369" s="159"/>
      <c r="B369" s="160"/>
      <c r="C369" s="155"/>
      <c r="D369" s="156" t="s">
        <v>1453</v>
      </c>
      <c r="E369" s="153">
        <v>0.0</v>
      </c>
      <c r="F369" s="157">
        <v>2.0</v>
      </c>
      <c r="G369" s="158" t="s">
        <v>1266</v>
      </c>
      <c r="H369" s="153">
        <v>2.0</v>
      </c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  <c r="AA369" s="118"/>
      <c r="AB369" s="118"/>
    </row>
    <row r="370" ht="15.75" customHeight="1">
      <c r="A370" s="159"/>
      <c r="B370" s="160"/>
      <c r="C370" s="155"/>
      <c r="D370" s="156" t="s">
        <v>1453</v>
      </c>
      <c r="E370" s="153">
        <v>0.0</v>
      </c>
      <c r="F370" s="157">
        <v>3.0</v>
      </c>
      <c r="G370" s="158" t="s">
        <v>1268</v>
      </c>
      <c r="H370" s="153">
        <v>3.0</v>
      </c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  <c r="AA370" s="118"/>
      <c r="AB370" s="118"/>
    </row>
    <row r="371" ht="15.75" customHeight="1">
      <c r="A371" s="159"/>
      <c r="B371" s="160"/>
      <c r="C371" s="155"/>
      <c r="D371" s="156" t="s">
        <v>1453</v>
      </c>
      <c r="E371" s="153">
        <v>0.0</v>
      </c>
      <c r="F371" s="157">
        <v>4.0</v>
      </c>
      <c r="G371" s="158" t="s">
        <v>1269</v>
      </c>
      <c r="H371" s="153">
        <v>4.0</v>
      </c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  <c r="AA371" s="118"/>
      <c r="AB371" s="118"/>
    </row>
    <row r="372" ht="15.75" customHeight="1">
      <c r="A372" s="159"/>
      <c r="B372" s="160"/>
      <c r="C372" s="155"/>
      <c r="D372" s="156" t="s">
        <v>1453</v>
      </c>
      <c r="E372" s="153">
        <v>0.0</v>
      </c>
      <c r="F372" s="157">
        <v>5.0</v>
      </c>
      <c r="G372" s="158" t="s">
        <v>1271</v>
      </c>
      <c r="H372" s="153">
        <v>5.0</v>
      </c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  <c r="AA372" s="118"/>
      <c r="AB372" s="118"/>
    </row>
    <row r="373" ht="15.75" customHeight="1">
      <c r="A373" s="159"/>
      <c r="B373" s="160"/>
      <c r="C373" s="155"/>
      <c r="D373" s="156" t="s">
        <v>1453</v>
      </c>
      <c r="E373" s="153">
        <v>0.0</v>
      </c>
      <c r="F373" s="157">
        <v>6.0</v>
      </c>
      <c r="G373" s="158" t="s">
        <v>1273</v>
      </c>
      <c r="H373" s="153">
        <v>6.0</v>
      </c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  <c r="AA373" s="118"/>
      <c r="AB373" s="118"/>
    </row>
    <row r="374" ht="15.75" customHeight="1">
      <c r="A374" s="159"/>
      <c r="B374" s="160"/>
      <c r="C374" s="155"/>
      <c r="D374" s="156" t="s">
        <v>1454</v>
      </c>
      <c r="E374" s="153">
        <v>0.0</v>
      </c>
      <c r="F374" s="157">
        <v>3.0</v>
      </c>
      <c r="G374" s="158" t="s">
        <v>1268</v>
      </c>
      <c r="H374" s="153">
        <v>3.0</v>
      </c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  <c r="AA374" s="118"/>
      <c r="AB374" s="118"/>
    </row>
    <row r="375" ht="15.75" customHeight="1">
      <c r="A375" s="159"/>
      <c r="B375" s="160"/>
      <c r="C375" s="155"/>
      <c r="D375" s="156" t="s">
        <v>1454</v>
      </c>
      <c r="E375" s="153">
        <v>0.0</v>
      </c>
      <c r="F375" s="157">
        <v>4.0</v>
      </c>
      <c r="G375" s="158" t="s">
        <v>1270</v>
      </c>
      <c r="H375" s="153">
        <v>5.0</v>
      </c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  <c r="AA375" s="118"/>
      <c r="AB375" s="118"/>
    </row>
    <row r="376" ht="15.75" customHeight="1">
      <c r="A376" s="159"/>
      <c r="B376" s="160"/>
      <c r="C376" s="155"/>
      <c r="D376" s="156" t="s">
        <v>1454</v>
      </c>
      <c r="E376" s="153">
        <v>0.0</v>
      </c>
      <c r="F376" s="157">
        <v>5.0</v>
      </c>
      <c r="G376" s="158" t="s">
        <v>1271</v>
      </c>
      <c r="H376" s="153">
        <v>6.0</v>
      </c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  <c r="AA376" s="118"/>
      <c r="AB376" s="118"/>
    </row>
    <row r="377" ht="15.75" customHeight="1">
      <c r="A377" s="159"/>
      <c r="B377" s="160"/>
      <c r="C377" s="155"/>
      <c r="D377" s="156" t="s">
        <v>1454</v>
      </c>
      <c r="E377" s="153">
        <v>0.0</v>
      </c>
      <c r="F377" s="157">
        <v>6.0</v>
      </c>
      <c r="G377" s="158" t="s">
        <v>1273</v>
      </c>
      <c r="H377" s="153">
        <v>7.0</v>
      </c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  <c r="AA377" s="118"/>
      <c r="AB377" s="118"/>
    </row>
    <row r="378" ht="15.75" customHeight="1">
      <c r="A378" s="159"/>
      <c r="B378" s="160"/>
      <c r="C378" s="155"/>
      <c r="D378" s="156" t="s">
        <v>1454</v>
      </c>
      <c r="E378" s="153">
        <v>0.0</v>
      </c>
      <c r="F378" s="157">
        <v>7.0</v>
      </c>
      <c r="G378" s="158" t="s">
        <v>1274</v>
      </c>
      <c r="H378" s="153">
        <v>1.0</v>
      </c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  <c r="AA378" s="118"/>
      <c r="AB378" s="118"/>
    </row>
    <row r="379" ht="15.75" customHeight="1">
      <c r="A379" s="159"/>
      <c r="B379" s="160"/>
      <c r="C379" s="155"/>
      <c r="D379" s="156" t="s">
        <v>1454</v>
      </c>
      <c r="E379" s="153">
        <v>0.0</v>
      </c>
      <c r="F379" s="157">
        <v>8.0</v>
      </c>
      <c r="G379" s="158" t="s">
        <v>1276</v>
      </c>
      <c r="H379" s="153">
        <v>2.0</v>
      </c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  <c r="AA379" s="118"/>
      <c r="AB379" s="118"/>
    </row>
    <row r="380" ht="15.75" customHeight="1">
      <c r="A380" s="159"/>
      <c r="B380" s="160"/>
      <c r="C380" s="155"/>
      <c r="D380" s="156" t="s">
        <v>1454</v>
      </c>
      <c r="E380" s="153">
        <v>0.0</v>
      </c>
      <c r="F380" s="157">
        <v>9.0</v>
      </c>
      <c r="G380" s="158" t="s">
        <v>1277</v>
      </c>
      <c r="H380" s="153">
        <v>4.0</v>
      </c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  <c r="AA380" s="118"/>
      <c r="AB380" s="118"/>
    </row>
    <row r="381" ht="15.75" customHeight="1">
      <c r="A381" s="159"/>
      <c r="B381" s="160"/>
      <c r="C381" s="155"/>
      <c r="D381" s="156" t="s">
        <v>1455</v>
      </c>
      <c r="E381" s="153">
        <v>0.0</v>
      </c>
      <c r="F381" s="157">
        <v>1.0</v>
      </c>
      <c r="G381" s="158" t="s">
        <v>1452</v>
      </c>
      <c r="H381" s="153">
        <v>1.0</v>
      </c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  <c r="AA381" s="118"/>
      <c r="AB381" s="118"/>
    </row>
    <row r="382" ht="15.75" customHeight="1">
      <c r="A382" s="159"/>
      <c r="B382" s="160"/>
      <c r="C382" s="155"/>
      <c r="D382" s="156" t="s">
        <v>1455</v>
      </c>
      <c r="E382" s="153">
        <v>0.0</v>
      </c>
      <c r="F382" s="157">
        <v>2.0</v>
      </c>
      <c r="G382" s="158" t="s">
        <v>1392</v>
      </c>
      <c r="H382" s="153">
        <v>2.0</v>
      </c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  <c r="AA382" s="118"/>
      <c r="AB382" s="118"/>
    </row>
    <row r="383" ht="15.75" customHeight="1">
      <c r="A383" s="159"/>
      <c r="B383" s="160"/>
      <c r="C383" s="155"/>
      <c r="D383" s="156" t="s">
        <v>1455</v>
      </c>
      <c r="E383" s="153">
        <v>0.0</v>
      </c>
      <c r="F383" s="157">
        <v>3.0</v>
      </c>
      <c r="G383" s="158" t="s">
        <v>1268</v>
      </c>
      <c r="H383" s="153">
        <v>3.0</v>
      </c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  <c r="AA383" s="118"/>
      <c r="AB383" s="118"/>
    </row>
    <row r="384" ht="15.75" customHeight="1">
      <c r="A384" s="159"/>
      <c r="B384" s="160"/>
      <c r="C384" s="155"/>
      <c r="D384" s="156" t="s">
        <v>1455</v>
      </c>
      <c r="E384" s="153">
        <v>0.0</v>
      </c>
      <c r="F384" s="157">
        <v>4.0</v>
      </c>
      <c r="G384" s="158" t="s">
        <v>1269</v>
      </c>
      <c r="H384" s="153">
        <v>4.0</v>
      </c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  <c r="AA384" s="118"/>
      <c r="AB384" s="118"/>
    </row>
    <row r="385" ht="15.75" customHeight="1">
      <c r="A385" s="159"/>
      <c r="B385" s="160"/>
      <c r="C385" s="155"/>
      <c r="D385" s="156" t="s">
        <v>1455</v>
      </c>
      <c r="E385" s="153">
        <v>0.0</v>
      </c>
      <c r="F385" s="157">
        <v>5.0</v>
      </c>
      <c r="G385" s="158" t="s">
        <v>1271</v>
      </c>
      <c r="H385" s="153">
        <v>5.0</v>
      </c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  <c r="AA385" s="118"/>
      <c r="AB385" s="118"/>
    </row>
    <row r="386" ht="15.75" customHeight="1">
      <c r="A386" s="159"/>
      <c r="B386" s="160"/>
      <c r="C386" s="155"/>
      <c r="D386" s="156" t="s">
        <v>1455</v>
      </c>
      <c r="E386" s="153">
        <v>0.0</v>
      </c>
      <c r="F386" s="157">
        <v>6.0</v>
      </c>
      <c r="G386" s="158" t="s">
        <v>1358</v>
      </c>
      <c r="H386" s="153">
        <v>6.0</v>
      </c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  <c r="AA386" s="118"/>
      <c r="AB386" s="118"/>
    </row>
    <row r="387" ht="15.75" customHeight="1">
      <c r="A387" s="159"/>
      <c r="B387" s="160"/>
      <c r="C387" s="155"/>
      <c r="D387" s="156" t="s">
        <v>1456</v>
      </c>
      <c r="E387" s="153">
        <v>0.0</v>
      </c>
      <c r="F387" s="157">
        <v>3.0</v>
      </c>
      <c r="G387" s="158" t="s">
        <v>1457</v>
      </c>
      <c r="H387" s="153">
        <v>4.0</v>
      </c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  <c r="AA387" s="118"/>
      <c r="AB387" s="118"/>
    </row>
    <row r="388" ht="15.75" customHeight="1">
      <c r="A388" s="159"/>
      <c r="B388" s="160"/>
      <c r="C388" s="155"/>
      <c r="D388" s="156" t="s">
        <v>1456</v>
      </c>
      <c r="E388" s="153">
        <v>0.0</v>
      </c>
      <c r="F388" s="157">
        <v>4.0</v>
      </c>
      <c r="G388" s="158" t="s">
        <v>1457</v>
      </c>
      <c r="H388" s="153">
        <v>4.0</v>
      </c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  <c r="AA388" s="118"/>
      <c r="AB388" s="118"/>
    </row>
    <row r="389" ht="15.75" customHeight="1">
      <c r="A389" s="159"/>
      <c r="B389" s="160"/>
      <c r="C389" s="155"/>
      <c r="D389" s="156" t="s">
        <v>1456</v>
      </c>
      <c r="E389" s="153">
        <v>0.0</v>
      </c>
      <c r="F389" s="157">
        <v>7.0</v>
      </c>
      <c r="G389" s="158" t="s">
        <v>1458</v>
      </c>
      <c r="H389" s="153">
        <v>1.0</v>
      </c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  <c r="AA389" s="118"/>
      <c r="AB389" s="118"/>
    </row>
    <row r="390" ht="15.75" customHeight="1">
      <c r="A390" s="159"/>
      <c r="B390" s="160"/>
      <c r="C390" s="155"/>
      <c r="D390" s="156" t="s">
        <v>1456</v>
      </c>
      <c r="E390" s="153">
        <v>0.0</v>
      </c>
      <c r="F390" s="157">
        <v>12.0</v>
      </c>
      <c r="G390" s="158" t="s">
        <v>1280</v>
      </c>
      <c r="H390" s="153">
        <v>8.0</v>
      </c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  <c r="AA390" s="118"/>
      <c r="AB390" s="118"/>
    </row>
    <row r="391" ht="15.75" customHeight="1">
      <c r="A391" s="159"/>
      <c r="B391" s="160"/>
      <c r="C391" s="155"/>
      <c r="D391" s="156" t="s">
        <v>1456</v>
      </c>
      <c r="E391" s="153">
        <v>0.0</v>
      </c>
      <c r="F391" s="157">
        <v>15.0</v>
      </c>
      <c r="G391" s="158" t="s">
        <v>1459</v>
      </c>
      <c r="H391" s="153">
        <v>2.0</v>
      </c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  <c r="AA391" s="118"/>
      <c r="AB391" s="118"/>
    </row>
    <row r="392" ht="15.75" customHeight="1">
      <c r="A392" s="159"/>
      <c r="B392" s="160"/>
      <c r="C392" s="155"/>
      <c r="D392" s="156" t="s">
        <v>1456</v>
      </c>
      <c r="E392" s="153">
        <v>0.0</v>
      </c>
      <c r="F392" s="157">
        <v>16.0</v>
      </c>
      <c r="G392" s="158" t="s">
        <v>1460</v>
      </c>
      <c r="H392" s="153">
        <v>6.0</v>
      </c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  <c r="AA392" s="118"/>
      <c r="AB392" s="118"/>
    </row>
    <row r="393" ht="15.75" customHeight="1">
      <c r="A393" s="159"/>
      <c r="B393" s="160"/>
      <c r="C393" s="155"/>
      <c r="D393" s="156" t="s">
        <v>1456</v>
      </c>
      <c r="E393" s="153">
        <v>0.0</v>
      </c>
      <c r="F393" s="157">
        <v>27.0</v>
      </c>
      <c r="G393" s="158" t="s">
        <v>1461</v>
      </c>
      <c r="H393" s="153">
        <v>10.0</v>
      </c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  <c r="AA393" s="118"/>
      <c r="AB393" s="118"/>
    </row>
    <row r="394" ht="15.75" customHeight="1">
      <c r="A394" s="159"/>
      <c r="B394" s="160"/>
      <c r="C394" s="155"/>
      <c r="D394" s="156" t="s">
        <v>1462</v>
      </c>
      <c r="E394" s="153">
        <v>0.0</v>
      </c>
      <c r="F394" s="157">
        <v>1.0</v>
      </c>
      <c r="G394" s="158" t="s">
        <v>1263</v>
      </c>
      <c r="H394" s="153">
        <v>1.0</v>
      </c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  <c r="AA394" s="118"/>
      <c r="AB394" s="118"/>
    </row>
    <row r="395" ht="15.75" customHeight="1">
      <c r="A395" s="159"/>
      <c r="B395" s="160"/>
      <c r="C395" s="155"/>
      <c r="D395" s="156" t="s">
        <v>1462</v>
      </c>
      <c r="E395" s="153">
        <v>0.0</v>
      </c>
      <c r="F395" s="157">
        <v>2.0</v>
      </c>
      <c r="G395" s="158" t="s">
        <v>1266</v>
      </c>
      <c r="H395" s="153">
        <v>2.0</v>
      </c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  <c r="AA395" s="118"/>
      <c r="AB395" s="118"/>
    </row>
    <row r="396" ht="15.75" customHeight="1">
      <c r="A396" s="159"/>
      <c r="B396" s="160"/>
      <c r="C396" s="155"/>
      <c r="D396" s="156" t="s">
        <v>1462</v>
      </c>
      <c r="E396" s="153">
        <v>0.0</v>
      </c>
      <c r="F396" s="157">
        <v>3.0</v>
      </c>
      <c r="G396" s="158" t="s">
        <v>1268</v>
      </c>
      <c r="H396" s="153">
        <v>3.0</v>
      </c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  <c r="AA396" s="118"/>
      <c r="AB396" s="118"/>
    </row>
    <row r="397" ht="15.75" customHeight="1">
      <c r="A397" s="159"/>
      <c r="B397" s="160"/>
      <c r="C397" s="155"/>
      <c r="D397" s="156" t="s">
        <v>1462</v>
      </c>
      <c r="E397" s="153">
        <v>0.0</v>
      </c>
      <c r="F397" s="157">
        <v>4.0</v>
      </c>
      <c r="G397" s="158" t="s">
        <v>1269</v>
      </c>
      <c r="H397" s="153">
        <v>4.0</v>
      </c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  <c r="AA397" s="118"/>
      <c r="AB397" s="118"/>
    </row>
    <row r="398" ht="15.75" customHeight="1">
      <c r="A398" s="159"/>
      <c r="B398" s="160"/>
      <c r="C398" s="155"/>
      <c r="D398" s="156" t="s">
        <v>1462</v>
      </c>
      <c r="E398" s="153">
        <v>0.0</v>
      </c>
      <c r="F398" s="157">
        <v>5.0</v>
      </c>
      <c r="G398" s="158" t="s">
        <v>1271</v>
      </c>
      <c r="H398" s="153">
        <v>5.0</v>
      </c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  <c r="AA398" s="118"/>
      <c r="AB398" s="118"/>
    </row>
    <row r="399" ht="15.75" customHeight="1">
      <c r="A399" s="159"/>
      <c r="B399" s="160"/>
      <c r="C399" s="155"/>
      <c r="D399" s="156" t="s">
        <v>1462</v>
      </c>
      <c r="E399" s="153">
        <v>0.0</v>
      </c>
      <c r="F399" s="157">
        <v>6.0</v>
      </c>
      <c r="G399" s="158" t="s">
        <v>1273</v>
      </c>
      <c r="H399" s="153">
        <v>6.0</v>
      </c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  <c r="AA399" s="118"/>
      <c r="AB399" s="118"/>
    </row>
    <row r="400" ht="15.75" customHeight="1">
      <c r="A400" s="159"/>
      <c r="B400" s="160"/>
      <c r="C400" s="155"/>
      <c r="D400" s="156" t="s">
        <v>1463</v>
      </c>
      <c r="E400" s="153">
        <v>0.0</v>
      </c>
      <c r="F400" s="157">
        <v>3.0</v>
      </c>
      <c r="G400" s="158" t="s">
        <v>1268</v>
      </c>
      <c r="H400" s="153">
        <v>3.0</v>
      </c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  <c r="AA400" s="118"/>
      <c r="AB400" s="118"/>
    </row>
    <row r="401" ht="15.75" customHeight="1">
      <c r="A401" s="159"/>
      <c r="B401" s="160"/>
      <c r="C401" s="155"/>
      <c r="D401" s="156" t="s">
        <v>1463</v>
      </c>
      <c r="E401" s="153">
        <v>0.0</v>
      </c>
      <c r="F401" s="157">
        <v>4.0</v>
      </c>
      <c r="G401" s="158" t="s">
        <v>1270</v>
      </c>
      <c r="H401" s="153">
        <v>5.0</v>
      </c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  <c r="AA401" s="118"/>
      <c r="AB401" s="118"/>
    </row>
    <row r="402" ht="15.75" customHeight="1">
      <c r="A402" s="159"/>
      <c r="B402" s="160"/>
      <c r="C402" s="155"/>
      <c r="D402" s="156" t="s">
        <v>1463</v>
      </c>
      <c r="E402" s="153">
        <v>0.0</v>
      </c>
      <c r="F402" s="157">
        <v>5.0</v>
      </c>
      <c r="G402" s="158" t="s">
        <v>1271</v>
      </c>
      <c r="H402" s="153">
        <v>6.0</v>
      </c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  <c r="AA402" s="118"/>
      <c r="AB402" s="118"/>
    </row>
    <row r="403" ht="15.75" customHeight="1">
      <c r="A403" s="159"/>
      <c r="B403" s="160"/>
      <c r="C403" s="155"/>
      <c r="D403" s="156" t="s">
        <v>1463</v>
      </c>
      <c r="E403" s="153">
        <v>0.0</v>
      </c>
      <c r="F403" s="157">
        <v>6.0</v>
      </c>
      <c r="G403" s="158" t="s">
        <v>1273</v>
      </c>
      <c r="H403" s="153">
        <v>7.0</v>
      </c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  <c r="AA403" s="118"/>
      <c r="AB403" s="118"/>
    </row>
    <row r="404" ht="15.75" customHeight="1">
      <c r="A404" s="159"/>
      <c r="B404" s="160"/>
      <c r="C404" s="155"/>
      <c r="D404" s="156" t="s">
        <v>1463</v>
      </c>
      <c r="E404" s="153">
        <v>0.0</v>
      </c>
      <c r="F404" s="157">
        <v>7.0</v>
      </c>
      <c r="G404" s="158" t="s">
        <v>1274</v>
      </c>
      <c r="H404" s="153">
        <v>1.0</v>
      </c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  <c r="AA404" s="118"/>
      <c r="AB404" s="118"/>
    </row>
    <row r="405" ht="15.75" customHeight="1">
      <c r="A405" s="159"/>
      <c r="B405" s="160"/>
      <c r="C405" s="155"/>
      <c r="D405" s="156" t="s">
        <v>1463</v>
      </c>
      <c r="E405" s="153">
        <v>0.0</v>
      </c>
      <c r="F405" s="157">
        <v>8.0</v>
      </c>
      <c r="G405" s="158" t="s">
        <v>1276</v>
      </c>
      <c r="H405" s="153">
        <v>2.0</v>
      </c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  <c r="AA405" s="118"/>
      <c r="AB405" s="118"/>
    </row>
    <row r="406" ht="15.75" customHeight="1">
      <c r="A406" s="159"/>
      <c r="B406" s="160"/>
      <c r="C406" s="155"/>
      <c r="D406" s="156" t="s">
        <v>1463</v>
      </c>
      <c r="E406" s="153">
        <v>0.0</v>
      </c>
      <c r="F406" s="157">
        <v>9.0</v>
      </c>
      <c r="G406" s="158" t="s">
        <v>1277</v>
      </c>
      <c r="H406" s="153">
        <v>4.0</v>
      </c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  <c r="AA406" s="118"/>
      <c r="AB406" s="118"/>
    </row>
    <row r="407" ht="15.75" customHeight="1">
      <c r="A407" s="159"/>
      <c r="B407" s="160"/>
      <c r="C407" s="155"/>
      <c r="D407" s="156" t="s">
        <v>1464</v>
      </c>
      <c r="E407" s="153">
        <v>0.0</v>
      </c>
      <c r="F407" s="157">
        <v>3.0</v>
      </c>
      <c r="G407" s="158" t="s">
        <v>1268</v>
      </c>
      <c r="H407" s="153">
        <v>3.0</v>
      </c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  <c r="AA407" s="118"/>
      <c r="AB407" s="118"/>
    </row>
    <row r="408" ht="15.75" customHeight="1">
      <c r="A408" s="159"/>
      <c r="B408" s="160"/>
      <c r="C408" s="155"/>
      <c r="D408" s="156" t="s">
        <v>1464</v>
      </c>
      <c r="E408" s="153">
        <v>0.0</v>
      </c>
      <c r="F408" s="157">
        <v>4.0</v>
      </c>
      <c r="G408" s="158" t="s">
        <v>1270</v>
      </c>
      <c r="H408" s="153">
        <v>5.0</v>
      </c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  <c r="AA408" s="118"/>
      <c r="AB408" s="118"/>
    </row>
    <row r="409" ht="15.75" customHeight="1">
      <c r="A409" s="159"/>
      <c r="B409" s="160"/>
      <c r="C409" s="155"/>
      <c r="D409" s="156" t="s">
        <v>1464</v>
      </c>
      <c r="E409" s="153">
        <v>0.0</v>
      </c>
      <c r="F409" s="157">
        <v>5.0</v>
      </c>
      <c r="G409" s="158" t="s">
        <v>1271</v>
      </c>
      <c r="H409" s="153">
        <v>6.0</v>
      </c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  <c r="AA409" s="118"/>
      <c r="AB409" s="118"/>
    </row>
    <row r="410" ht="15.75" customHeight="1">
      <c r="A410" s="159"/>
      <c r="B410" s="160"/>
      <c r="C410" s="155"/>
      <c r="D410" s="156" t="s">
        <v>1464</v>
      </c>
      <c r="E410" s="153">
        <v>0.0</v>
      </c>
      <c r="F410" s="157">
        <v>6.0</v>
      </c>
      <c r="G410" s="158" t="s">
        <v>1273</v>
      </c>
      <c r="H410" s="153">
        <v>7.0</v>
      </c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  <c r="AA410" s="118"/>
      <c r="AB410" s="118"/>
    </row>
    <row r="411" ht="15.75" customHeight="1">
      <c r="A411" s="159"/>
      <c r="B411" s="160"/>
      <c r="C411" s="155"/>
      <c r="D411" s="156" t="s">
        <v>1464</v>
      </c>
      <c r="E411" s="153">
        <v>0.0</v>
      </c>
      <c r="F411" s="157">
        <v>7.0</v>
      </c>
      <c r="G411" s="158" t="s">
        <v>1274</v>
      </c>
      <c r="H411" s="153">
        <v>1.0</v>
      </c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  <c r="AA411" s="118"/>
      <c r="AB411" s="118"/>
    </row>
    <row r="412" ht="15.75" customHeight="1">
      <c r="A412" s="159"/>
      <c r="B412" s="160"/>
      <c r="C412" s="155"/>
      <c r="D412" s="156" t="s">
        <v>1464</v>
      </c>
      <c r="E412" s="153">
        <v>0.0</v>
      </c>
      <c r="F412" s="157">
        <v>8.0</v>
      </c>
      <c r="G412" s="158" t="s">
        <v>1276</v>
      </c>
      <c r="H412" s="153">
        <v>2.0</v>
      </c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  <c r="AA412" s="118"/>
      <c r="AB412" s="118"/>
    </row>
    <row r="413" ht="15.75" customHeight="1">
      <c r="A413" s="159"/>
      <c r="B413" s="160"/>
      <c r="C413" s="155"/>
      <c r="D413" s="156" t="s">
        <v>1464</v>
      </c>
      <c r="E413" s="153">
        <v>0.0</v>
      </c>
      <c r="F413" s="157">
        <v>9.0</v>
      </c>
      <c r="G413" s="158" t="s">
        <v>1277</v>
      </c>
      <c r="H413" s="153">
        <v>4.0</v>
      </c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  <c r="AA413" s="118"/>
      <c r="AB413" s="118"/>
    </row>
    <row r="414" ht="15.75" customHeight="1">
      <c r="A414" s="159"/>
      <c r="B414" s="160"/>
      <c r="C414" s="155"/>
      <c r="D414" s="156" t="s">
        <v>1465</v>
      </c>
      <c r="E414" s="153">
        <v>0.0</v>
      </c>
      <c r="F414" s="157">
        <v>3.0</v>
      </c>
      <c r="G414" s="158" t="s">
        <v>1268</v>
      </c>
      <c r="H414" s="153">
        <v>3.0</v>
      </c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  <c r="AA414" s="118"/>
      <c r="AB414" s="118"/>
    </row>
    <row r="415" ht="15.75" customHeight="1">
      <c r="A415" s="159"/>
      <c r="B415" s="160"/>
      <c r="C415" s="155"/>
      <c r="D415" s="156" t="s">
        <v>1465</v>
      </c>
      <c r="E415" s="153">
        <v>0.0</v>
      </c>
      <c r="F415" s="157">
        <v>4.0</v>
      </c>
      <c r="G415" s="158" t="s">
        <v>1270</v>
      </c>
      <c r="H415" s="153">
        <v>5.0</v>
      </c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  <c r="AA415" s="118"/>
      <c r="AB415" s="118"/>
    </row>
    <row r="416" ht="15.75" customHeight="1">
      <c r="A416" s="159"/>
      <c r="B416" s="160"/>
      <c r="C416" s="155"/>
      <c r="D416" s="156" t="s">
        <v>1465</v>
      </c>
      <c r="E416" s="153">
        <v>0.0</v>
      </c>
      <c r="F416" s="157">
        <v>5.0</v>
      </c>
      <c r="G416" s="158" t="s">
        <v>1271</v>
      </c>
      <c r="H416" s="153">
        <v>6.0</v>
      </c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  <c r="AA416" s="118"/>
      <c r="AB416" s="118"/>
    </row>
    <row r="417" ht="15.75" customHeight="1">
      <c r="A417" s="159"/>
      <c r="B417" s="160"/>
      <c r="C417" s="155"/>
      <c r="D417" s="156" t="s">
        <v>1465</v>
      </c>
      <c r="E417" s="153">
        <v>0.0</v>
      </c>
      <c r="F417" s="157">
        <v>6.0</v>
      </c>
      <c r="G417" s="158" t="s">
        <v>1358</v>
      </c>
      <c r="H417" s="153">
        <v>7.0</v>
      </c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  <c r="AA417" s="118"/>
      <c r="AB417" s="118"/>
    </row>
    <row r="418" ht="15.75" customHeight="1">
      <c r="A418" s="159"/>
      <c r="B418" s="160"/>
      <c r="C418" s="155"/>
      <c r="D418" s="156" t="s">
        <v>1465</v>
      </c>
      <c r="E418" s="153">
        <v>0.0</v>
      </c>
      <c r="F418" s="157">
        <v>7.0</v>
      </c>
      <c r="G418" s="158" t="s">
        <v>1274</v>
      </c>
      <c r="H418" s="153">
        <v>1.0</v>
      </c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  <c r="AA418" s="118"/>
      <c r="AB418" s="118"/>
    </row>
    <row r="419" ht="15.75" customHeight="1">
      <c r="A419" s="159"/>
      <c r="B419" s="160"/>
      <c r="C419" s="155"/>
      <c r="D419" s="156" t="s">
        <v>1465</v>
      </c>
      <c r="E419" s="153">
        <v>0.0</v>
      </c>
      <c r="F419" s="157">
        <v>8.0</v>
      </c>
      <c r="G419" s="158" t="s">
        <v>1359</v>
      </c>
      <c r="H419" s="153">
        <v>2.0</v>
      </c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  <c r="AA419" s="118"/>
      <c r="AB419" s="118"/>
    </row>
    <row r="420" ht="15.75" customHeight="1">
      <c r="A420" s="159"/>
      <c r="B420" s="160"/>
      <c r="C420" s="155"/>
      <c r="D420" s="156" t="s">
        <v>1465</v>
      </c>
      <c r="E420" s="153">
        <v>0.0</v>
      </c>
      <c r="F420" s="157">
        <v>9.0</v>
      </c>
      <c r="G420" s="158" t="s">
        <v>1277</v>
      </c>
      <c r="H420" s="153">
        <v>4.0</v>
      </c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  <c r="AA420" s="118"/>
      <c r="AB420" s="118"/>
    </row>
    <row r="421" ht="15.75" customHeight="1">
      <c r="A421" s="159"/>
      <c r="B421" s="160"/>
      <c r="C421" s="155"/>
      <c r="D421" s="156" t="s">
        <v>1466</v>
      </c>
      <c r="E421" s="153">
        <v>0.0</v>
      </c>
      <c r="F421" s="157">
        <v>3.0</v>
      </c>
      <c r="G421" s="158" t="s">
        <v>1268</v>
      </c>
      <c r="H421" s="153">
        <v>3.0</v>
      </c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  <c r="AA421" s="118"/>
      <c r="AB421" s="118"/>
    </row>
    <row r="422" ht="15.75" customHeight="1">
      <c r="A422" s="159"/>
      <c r="B422" s="160"/>
      <c r="C422" s="155"/>
      <c r="D422" s="156" t="s">
        <v>1466</v>
      </c>
      <c r="E422" s="153">
        <v>0.0</v>
      </c>
      <c r="F422" s="157">
        <v>4.0</v>
      </c>
      <c r="G422" s="158" t="s">
        <v>1270</v>
      </c>
      <c r="H422" s="153">
        <v>5.0</v>
      </c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  <c r="AA422" s="118"/>
      <c r="AB422" s="118"/>
    </row>
    <row r="423" ht="15.75" customHeight="1">
      <c r="A423" s="159"/>
      <c r="B423" s="160"/>
      <c r="C423" s="155"/>
      <c r="D423" s="156" t="s">
        <v>1466</v>
      </c>
      <c r="E423" s="153">
        <v>0.0</v>
      </c>
      <c r="F423" s="157">
        <v>5.0</v>
      </c>
      <c r="G423" s="158" t="s">
        <v>1271</v>
      </c>
      <c r="H423" s="153">
        <v>6.0</v>
      </c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  <c r="AA423" s="118"/>
      <c r="AB423" s="118"/>
    </row>
    <row r="424" ht="15.75" customHeight="1">
      <c r="A424" s="159"/>
      <c r="B424" s="160"/>
      <c r="C424" s="155"/>
      <c r="D424" s="156" t="s">
        <v>1466</v>
      </c>
      <c r="E424" s="153">
        <v>0.0</v>
      </c>
      <c r="F424" s="157">
        <v>6.0</v>
      </c>
      <c r="G424" s="158" t="s">
        <v>1273</v>
      </c>
      <c r="H424" s="153">
        <v>7.0</v>
      </c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  <c r="AA424" s="118"/>
      <c r="AB424" s="118"/>
    </row>
    <row r="425" ht="15.75" customHeight="1">
      <c r="A425" s="159"/>
      <c r="B425" s="160"/>
      <c r="C425" s="155"/>
      <c r="D425" s="156" t="s">
        <v>1466</v>
      </c>
      <c r="E425" s="153">
        <v>0.0</v>
      </c>
      <c r="F425" s="157">
        <v>7.0</v>
      </c>
      <c r="G425" s="158" t="s">
        <v>1274</v>
      </c>
      <c r="H425" s="153">
        <v>1.0</v>
      </c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  <c r="AA425" s="118"/>
      <c r="AB425" s="118"/>
    </row>
    <row r="426" ht="15.75" customHeight="1">
      <c r="A426" s="159"/>
      <c r="B426" s="160"/>
      <c r="C426" s="155"/>
      <c r="D426" s="156" t="s">
        <v>1466</v>
      </c>
      <c r="E426" s="153">
        <v>0.0</v>
      </c>
      <c r="F426" s="157">
        <v>8.0</v>
      </c>
      <c r="G426" s="158" t="s">
        <v>1276</v>
      </c>
      <c r="H426" s="153">
        <v>2.0</v>
      </c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  <c r="AA426" s="118"/>
      <c r="AB426" s="118"/>
    </row>
    <row r="427" ht="15.75" customHeight="1">
      <c r="A427" s="159"/>
      <c r="B427" s="160"/>
      <c r="C427" s="155"/>
      <c r="D427" s="156" t="s">
        <v>1466</v>
      </c>
      <c r="E427" s="153">
        <v>0.0</v>
      </c>
      <c r="F427" s="157">
        <v>9.0</v>
      </c>
      <c r="G427" s="158" t="s">
        <v>1277</v>
      </c>
      <c r="H427" s="153">
        <v>4.0</v>
      </c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  <c r="AA427" s="118"/>
      <c r="AB427" s="118"/>
    </row>
    <row r="428" ht="15.75" customHeight="1">
      <c r="A428" s="159"/>
      <c r="B428" s="160"/>
      <c r="C428" s="155"/>
      <c r="D428" s="156" t="s">
        <v>1467</v>
      </c>
      <c r="E428" s="153">
        <v>0.0</v>
      </c>
      <c r="F428" s="157">
        <v>3.0</v>
      </c>
      <c r="G428" s="158" t="s">
        <v>1268</v>
      </c>
      <c r="H428" s="153">
        <v>3.0</v>
      </c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  <c r="AA428" s="118"/>
      <c r="AB428" s="118"/>
    </row>
    <row r="429" ht="15.75" customHeight="1">
      <c r="A429" s="159"/>
      <c r="B429" s="160"/>
      <c r="C429" s="155"/>
      <c r="D429" s="156" t="s">
        <v>1467</v>
      </c>
      <c r="E429" s="153">
        <v>0.0</v>
      </c>
      <c r="F429" s="157">
        <v>4.0</v>
      </c>
      <c r="G429" s="158" t="s">
        <v>1270</v>
      </c>
      <c r="H429" s="153">
        <v>5.0</v>
      </c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  <c r="AA429" s="118"/>
      <c r="AB429" s="118"/>
    </row>
    <row r="430" ht="15.75" customHeight="1">
      <c r="A430" s="159"/>
      <c r="B430" s="160"/>
      <c r="C430" s="155"/>
      <c r="D430" s="156" t="s">
        <v>1467</v>
      </c>
      <c r="E430" s="153">
        <v>0.0</v>
      </c>
      <c r="F430" s="157">
        <v>5.0</v>
      </c>
      <c r="G430" s="158" t="s">
        <v>1271</v>
      </c>
      <c r="H430" s="153">
        <v>6.0</v>
      </c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  <c r="AA430" s="118"/>
      <c r="AB430" s="118"/>
    </row>
    <row r="431" ht="15.75" customHeight="1">
      <c r="A431" s="159"/>
      <c r="B431" s="160"/>
      <c r="C431" s="155"/>
      <c r="D431" s="156" t="s">
        <v>1467</v>
      </c>
      <c r="E431" s="153">
        <v>0.0</v>
      </c>
      <c r="F431" s="157">
        <v>6.0</v>
      </c>
      <c r="G431" s="158" t="s">
        <v>1273</v>
      </c>
      <c r="H431" s="153">
        <v>7.0</v>
      </c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  <c r="AA431" s="118"/>
      <c r="AB431" s="118"/>
    </row>
    <row r="432" ht="15.75" customHeight="1">
      <c r="A432" s="159"/>
      <c r="B432" s="160"/>
      <c r="C432" s="155"/>
      <c r="D432" s="156" t="s">
        <v>1467</v>
      </c>
      <c r="E432" s="153">
        <v>0.0</v>
      </c>
      <c r="F432" s="157">
        <v>7.0</v>
      </c>
      <c r="G432" s="158" t="s">
        <v>1274</v>
      </c>
      <c r="H432" s="153">
        <v>1.0</v>
      </c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  <c r="AA432" s="118"/>
      <c r="AB432" s="118"/>
    </row>
    <row r="433" ht="15.75" customHeight="1">
      <c r="A433" s="159"/>
      <c r="B433" s="160"/>
      <c r="C433" s="155"/>
      <c r="D433" s="156" t="s">
        <v>1467</v>
      </c>
      <c r="E433" s="153">
        <v>0.0</v>
      </c>
      <c r="F433" s="157">
        <v>8.0</v>
      </c>
      <c r="G433" s="158" t="s">
        <v>1276</v>
      </c>
      <c r="H433" s="153">
        <v>2.0</v>
      </c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  <c r="AA433" s="118"/>
      <c r="AB433" s="118"/>
    </row>
    <row r="434" ht="15.75" customHeight="1">
      <c r="A434" s="159"/>
      <c r="B434" s="160"/>
      <c r="C434" s="155"/>
      <c r="D434" s="156" t="s">
        <v>1467</v>
      </c>
      <c r="E434" s="153">
        <v>0.0</v>
      </c>
      <c r="F434" s="157">
        <v>9.0</v>
      </c>
      <c r="G434" s="158" t="s">
        <v>1277</v>
      </c>
      <c r="H434" s="153">
        <v>4.0</v>
      </c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  <c r="AA434" s="118"/>
      <c r="AB434" s="118"/>
    </row>
    <row r="435" ht="15.75" customHeight="1">
      <c r="A435" s="159"/>
      <c r="B435" s="160"/>
      <c r="C435" s="155"/>
      <c r="D435" s="156" t="s">
        <v>1468</v>
      </c>
      <c r="E435" s="153">
        <v>0.0</v>
      </c>
      <c r="F435" s="157">
        <v>3.0</v>
      </c>
      <c r="G435" s="158" t="s">
        <v>1268</v>
      </c>
      <c r="H435" s="153">
        <v>3.0</v>
      </c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  <c r="AA435" s="118"/>
      <c r="AB435" s="118"/>
    </row>
    <row r="436" ht="15.75" customHeight="1">
      <c r="A436" s="159"/>
      <c r="B436" s="160"/>
      <c r="C436" s="155"/>
      <c r="D436" s="156" t="s">
        <v>1468</v>
      </c>
      <c r="E436" s="153">
        <v>0.0</v>
      </c>
      <c r="F436" s="157">
        <v>4.0</v>
      </c>
      <c r="G436" s="158" t="s">
        <v>1270</v>
      </c>
      <c r="H436" s="153">
        <v>5.0</v>
      </c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  <c r="AA436" s="118"/>
      <c r="AB436" s="118"/>
    </row>
    <row r="437" ht="15.75" customHeight="1">
      <c r="A437" s="159"/>
      <c r="B437" s="160"/>
      <c r="C437" s="155"/>
      <c r="D437" s="156" t="s">
        <v>1468</v>
      </c>
      <c r="E437" s="153">
        <v>0.0</v>
      </c>
      <c r="F437" s="157">
        <v>5.0</v>
      </c>
      <c r="G437" s="158" t="s">
        <v>1469</v>
      </c>
      <c r="H437" s="153">
        <v>6.0</v>
      </c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  <c r="AA437" s="118"/>
      <c r="AB437" s="118"/>
    </row>
    <row r="438" ht="15.75" customHeight="1">
      <c r="A438" s="159"/>
      <c r="B438" s="160"/>
      <c r="C438" s="155"/>
      <c r="D438" s="156" t="s">
        <v>1468</v>
      </c>
      <c r="E438" s="153">
        <v>0.0</v>
      </c>
      <c r="F438" s="157">
        <v>6.0</v>
      </c>
      <c r="G438" s="158" t="s">
        <v>1416</v>
      </c>
      <c r="H438" s="153">
        <v>7.0</v>
      </c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  <c r="AA438" s="118"/>
      <c r="AB438" s="118"/>
    </row>
    <row r="439" ht="15.75" customHeight="1">
      <c r="A439" s="159"/>
      <c r="B439" s="160"/>
      <c r="C439" s="155"/>
      <c r="D439" s="156" t="s">
        <v>1468</v>
      </c>
      <c r="E439" s="153">
        <v>0.0</v>
      </c>
      <c r="F439" s="157">
        <v>7.0</v>
      </c>
      <c r="G439" s="158" t="s">
        <v>1274</v>
      </c>
      <c r="H439" s="153">
        <v>1.0</v>
      </c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  <c r="AA439" s="118"/>
      <c r="AB439" s="118"/>
    </row>
    <row r="440" ht="15.75" customHeight="1">
      <c r="A440" s="159"/>
      <c r="B440" s="160"/>
      <c r="C440" s="155"/>
      <c r="D440" s="156" t="s">
        <v>1468</v>
      </c>
      <c r="E440" s="153">
        <v>0.0</v>
      </c>
      <c r="F440" s="157">
        <v>8.0</v>
      </c>
      <c r="G440" s="158" t="s">
        <v>1276</v>
      </c>
      <c r="H440" s="153">
        <v>2.0</v>
      </c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  <c r="AA440" s="118"/>
      <c r="AB440" s="118"/>
    </row>
    <row r="441" ht="15.75" customHeight="1">
      <c r="A441" s="159"/>
      <c r="B441" s="160"/>
      <c r="C441" s="155"/>
      <c r="D441" s="156" t="s">
        <v>1468</v>
      </c>
      <c r="E441" s="153">
        <v>0.0</v>
      </c>
      <c r="F441" s="157">
        <v>9.0</v>
      </c>
      <c r="G441" s="158" t="s">
        <v>1277</v>
      </c>
      <c r="H441" s="153">
        <v>4.0</v>
      </c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  <c r="AA441" s="118"/>
      <c r="AB441" s="118"/>
    </row>
    <row r="442" ht="15.75" customHeight="1">
      <c r="A442" s="159"/>
      <c r="B442" s="160"/>
      <c r="C442" s="155"/>
      <c r="D442" s="156" t="s">
        <v>1470</v>
      </c>
      <c r="E442" s="153">
        <v>0.0</v>
      </c>
      <c r="F442" s="157">
        <v>1.0</v>
      </c>
      <c r="G442" s="158" t="s">
        <v>1263</v>
      </c>
      <c r="H442" s="153">
        <v>1.0</v>
      </c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  <c r="AA442" s="118"/>
      <c r="AB442" s="118"/>
    </row>
    <row r="443" ht="15.75" customHeight="1">
      <c r="A443" s="159"/>
      <c r="B443" s="160"/>
      <c r="C443" s="155"/>
      <c r="D443" s="156" t="s">
        <v>1470</v>
      </c>
      <c r="E443" s="153">
        <v>0.0</v>
      </c>
      <c r="F443" s="157">
        <v>2.0</v>
      </c>
      <c r="G443" s="158" t="s">
        <v>1266</v>
      </c>
      <c r="H443" s="153">
        <v>2.0</v>
      </c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  <c r="AA443" s="118"/>
      <c r="AB443" s="118"/>
    </row>
    <row r="444" ht="15.75" customHeight="1">
      <c r="A444" s="159"/>
      <c r="B444" s="160"/>
      <c r="C444" s="155"/>
      <c r="D444" s="156" t="s">
        <v>1470</v>
      </c>
      <c r="E444" s="153">
        <v>0.0</v>
      </c>
      <c r="F444" s="157">
        <v>3.0</v>
      </c>
      <c r="G444" s="158" t="s">
        <v>1268</v>
      </c>
      <c r="H444" s="153">
        <v>3.0</v>
      </c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  <c r="AA444" s="118"/>
      <c r="AB444" s="118"/>
    </row>
    <row r="445" ht="15.75" customHeight="1">
      <c r="A445" s="159"/>
      <c r="B445" s="160"/>
      <c r="C445" s="155"/>
      <c r="D445" s="156" t="s">
        <v>1470</v>
      </c>
      <c r="E445" s="153">
        <v>0.0</v>
      </c>
      <c r="F445" s="157">
        <v>4.0</v>
      </c>
      <c r="G445" s="158" t="s">
        <v>1269</v>
      </c>
      <c r="H445" s="153">
        <v>4.0</v>
      </c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  <c r="AA445" s="118"/>
      <c r="AB445" s="118"/>
    </row>
    <row r="446" ht="15.75" customHeight="1">
      <c r="A446" s="159"/>
      <c r="B446" s="160"/>
      <c r="C446" s="155"/>
      <c r="D446" s="156" t="s">
        <v>1470</v>
      </c>
      <c r="E446" s="153">
        <v>0.0</v>
      </c>
      <c r="F446" s="157">
        <v>5.0</v>
      </c>
      <c r="G446" s="158" t="s">
        <v>1271</v>
      </c>
      <c r="H446" s="153">
        <v>5.0</v>
      </c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  <c r="AA446" s="118"/>
      <c r="AB446" s="118"/>
    </row>
    <row r="447" ht="15.75" customHeight="1">
      <c r="A447" s="159"/>
      <c r="B447" s="160"/>
      <c r="C447" s="155"/>
      <c r="D447" s="156" t="s">
        <v>1470</v>
      </c>
      <c r="E447" s="153">
        <v>0.0</v>
      </c>
      <c r="F447" s="157">
        <v>6.0</v>
      </c>
      <c r="G447" s="158" t="s">
        <v>1273</v>
      </c>
      <c r="H447" s="153">
        <v>6.0</v>
      </c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  <c r="AA447" s="118"/>
      <c r="AB447" s="118"/>
    </row>
    <row r="448" ht="15.75" customHeight="1">
      <c r="A448" s="159"/>
      <c r="B448" s="160"/>
      <c r="C448" s="155"/>
      <c r="D448" s="156" t="s">
        <v>1471</v>
      </c>
      <c r="E448" s="153">
        <v>0.0</v>
      </c>
      <c r="F448" s="157">
        <v>3.0</v>
      </c>
      <c r="G448" s="158" t="s">
        <v>1268</v>
      </c>
      <c r="H448" s="153">
        <v>3.0</v>
      </c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  <c r="AA448" s="118"/>
      <c r="AB448" s="118"/>
    </row>
    <row r="449" ht="15.75" customHeight="1">
      <c r="A449" s="159"/>
      <c r="B449" s="160"/>
      <c r="C449" s="155"/>
      <c r="D449" s="156" t="s">
        <v>1471</v>
      </c>
      <c r="E449" s="153">
        <v>0.0</v>
      </c>
      <c r="F449" s="157">
        <v>4.0</v>
      </c>
      <c r="G449" s="158" t="s">
        <v>1270</v>
      </c>
      <c r="H449" s="153">
        <v>5.0</v>
      </c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  <c r="AA449" s="118"/>
      <c r="AB449" s="118"/>
    </row>
    <row r="450" ht="15.75" customHeight="1">
      <c r="A450" s="159"/>
      <c r="B450" s="160"/>
      <c r="C450" s="155"/>
      <c r="D450" s="156" t="s">
        <v>1471</v>
      </c>
      <c r="E450" s="153">
        <v>0.0</v>
      </c>
      <c r="F450" s="157">
        <v>5.0</v>
      </c>
      <c r="G450" s="158" t="s">
        <v>1469</v>
      </c>
      <c r="H450" s="153">
        <v>6.0</v>
      </c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  <c r="AA450" s="118"/>
      <c r="AB450" s="118"/>
    </row>
    <row r="451" ht="15.75" customHeight="1">
      <c r="A451" s="159"/>
      <c r="B451" s="160"/>
      <c r="C451" s="155"/>
      <c r="D451" s="156" t="s">
        <v>1471</v>
      </c>
      <c r="E451" s="153">
        <v>0.0</v>
      </c>
      <c r="F451" s="157">
        <v>6.0</v>
      </c>
      <c r="G451" s="158" t="s">
        <v>1416</v>
      </c>
      <c r="H451" s="153">
        <v>7.0</v>
      </c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  <c r="AA451" s="118"/>
      <c r="AB451" s="118"/>
    </row>
    <row r="452" ht="15.75" customHeight="1">
      <c r="A452" s="159"/>
      <c r="B452" s="160"/>
      <c r="C452" s="155"/>
      <c r="D452" s="156" t="s">
        <v>1471</v>
      </c>
      <c r="E452" s="153">
        <v>0.0</v>
      </c>
      <c r="F452" s="157">
        <v>7.0</v>
      </c>
      <c r="G452" s="158" t="s">
        <v>1274</v>
      </c>
      <c r="H452" s="153">
        <v>1.0</v>
      </c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  <c r="AA452" s="118"/>
      <c r="AB452" s="118"/>
    </row>
    <row r="453" ht="15.75" customHeight="1">
      <c r="A453" s="159"/>
      <c r="B453" s="160"/>
      <c r="C453" s="155"/>
      <c r="D453" s="156" t="s">
        <v>1471</v>
      </c>
      <c r="E453" s="153">
        <v>0.0</v>
      </c>
      <c r="F453" s="157">
        <v>8.0</v>
      </c>
      <c r="G453" s="158" t="s">
        <v>1359</v>
      </c>
      <c r="H453" s="153">
        <v>2.0</v>
      </c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  <c r="AA453" s="118"/>
      <c r="AB453" s="118"/>
    </row>
    <row r="454" ht="15.75" customHeight="1">
      <c r="A454" s="159"/>
      <c r="B454" s="160"/>
      <c r="C454" s="155"/>
      <c r="D454" s="156" t="s">
        <v>1471</v>
      </c>
      <c r="E454" s="153">
        <v>0.0</v>
      </c>
      <c r="F454" s="157">
        <v>9.0</v>
      </c>
      <c r="G454" s="158" t="s">
        <v>1277</v>
      </c>
      <c r="H454" s="153">
        <v>4.0</v>
      </c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  <c r="AA454" s="118"/>
      <c r="AB454" s="118"/>
    </row>
    <row r="455" ht="15.75" customHeight="1">
      <c r="A455" s="159"/>
      <c r="B455" s="160"/>
      <c r="C455" s="155"/>
      <c r="D455" s="156" t="s">
        <v>1472</v>
      </c>
      <c r="E455" s="153">
        <v>0.0</v>
      </c>
      <c r="F455" s="157">
        <v>1.0</v>
      </c>
      <c r="G455" s="158" t="s">
        <v>1263</v>
      </c>
      <c r="H455" s="153">
        <v>1.0</v>
      </c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  <c r="AA455" s="118"/>
      <c r="AB455" s="118"/>
    </row>
    <row r="456" ht="15.75" customHeight="1">
      <c r="A456" s="159"/>
      <c r="B456" s="160"/>
      <c r="C456" s="155"/>
      <c r="D456" s="156" t="s">
        <v>1472</v>
      </c>
      <c r="E456" s="153">
        <v>0.0</v>
      </c>
      <c r="F456" s="157">
        <v>2.0</v>
      </c>
      <c r="G456" s="158" t="s">
        <v>1266</v>
      </c>
      <c r="H456" s="153">
        <v>2.0</v>
      </c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  <c r="AA456" s="118"/>
      <c r="AB456" s="118"/>
    </row>
    <row r="457" ht="15.75" customHeight="1">
      <c r="A457" s="159"/>
      <c r="B457" s="160"/>
      <c r="C457" s="155"/>
      <c r="D457" s="156" t="s">
        <v>1472</v>
      </c>
      <c r="E457" s="153">
        <v>0.0</v>
      </c>
      <c r="F457" s="157">
        <v>3.0</v>
      </c>
      <c r="G457" s="158" t="s">
        <v>1268</v>
      </c>
      <c r="H457" s="153">
        <v>3.0</v>
      </c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  <c r="AA457" s="118"/>
      <c r="AB457" s="118"/>
    </row>
    <row r="458" ht="15.75" customHeight="1">
      <c r="A458" s="159"/>
      <c r="B458" s="160"/>
      <c r="C458" s="155"/>
      <c r="D458" s="156" t="s">
        <v>1472</v>
      </c>
      <c r="E458" s="153">
        <v>0.0</v>
      </c>
      <c r="F458" s="157">
        <v>4.0</v>
      </c>
      <c r="G458" s="158" t="s">
        <v>1269</v>
      </c>
      <c r="H458" s="153">
        <v>4.0</v>
      </c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  <c r="AA458" s="118"/>
      <c r="AB458" s="118"/>
    </row>
    <row r="459" ht="15.75" customHeight="1">
      <c r="A459" s="159"/>
      <c r="B459" s="160"/>
      <c r="C459" s="155"/>
      <c r="D459" s="156" t="s">
        <v>1472</v>
      </c>
      <c r="E459" s="153">
        <v>0.0</v>
      </c>
      <c r="F459" s="157">
        <v>5.0</v>
      </c>
      <c r="G459" s="158" t="s">
        <v>1271</v>
      </c>
      <c r="H459" s="153">
        <v>5.0</v>
      </c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  <c r="AA459" s="118"/>
      <c r="AB459" s="118"/>
    </row>
    <row r="460" ht="15.75" customHeight="1">
      <c r="A460" s="159"/>
      <c r="B460" s="160"/>
      <c r="C460" s="155"/>
      <c r="D460" s="156" t="s">
        <v>1472</v>
      </c>
      <c r="E460" s="153">
        <v>0.0</v>
      </c>
      <c r="F460" s="157">
        <v>6.0</v>
      </c>
      <c r="G460" s="158" t="s">
        <v>1273</v>
      </c>
      <c r="H460" s="153">
        <v>6.0</v>
      </c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  <c r="AA460" s="118"/>
      <c r="AB460" s="118"/>
    </row>
    <row r="461" ht="15.75" customHeight="1">
      <c r="A461" s="159"/>
      <c r="B461" s="160"/>
      <c r="C461" s="155"/>
      <c r="D461" s="156" t="s">
        <v>1473</v>
      </c>
      <c r="E461" s="153">
        <v>0.0</v>
      </c>
      <c r="F461" s="157">
        <v>1.0</v>
      </c>
      <c r="G461" s="158" t="s">
        <v>1263</v>
      </c>
      <c r="H461" s="153">
        <v>1.0</v>
      </c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  <c r="AA461" s="118"/>
      <c r="AB461" s="118"/>
    </row>
    <row r="462" ht="15.75" customHeight="1">
      <c r="A462" s="159"/>
      <c r="B462" s="160"/>
      <c r="C462" s="155"/>
      <c r="D462" s="156" t="s">
        <v>1473</v>
      </c>
      <c r="E462" s="153">
        <v>0.0</v>
      </c>
      <c r="F462" s="157">
        <v>2.0</v>
      </c>
      <c r="G462" s="158" t="s">
        <v>1266</v>
      </c>
      <c r="H462" s="153">
        <v>2.0</v>
      </c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  <c r="AA462" s="118"/>
      <c r="AB462" s="118"/>
    </row>
    <row r="463" ht="15.75" customHeight="1">
      <c r="A463" s="159"/>
      <c r="B463" s="160"/>
      <c r="C463" s="155"/>
      <c r="D463" s="156" t="s">
        <v>1473</v>
      </c>
      <c r="E463" s="153">
        <v>0.0</v>
      </c>
      <c r="F463" s="157">
        <v>3.0</v>
      </c>
      <c r="G463" s="158" t="s">
        <v>1268</v>
      </c>
      <c r="H463" s="153">
        <v>3.0</v>
      </c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  <c r="AA463" s="118"/>
      <c r="AB463" s="118"/>
    </row>
    <row r="464" ht="15.75" customHeight="1">
      <c r="A464" s="159"/>
      <c r="B464" s="160"/>
      <c r="C464" s="155"/>
      <c r="D464" s="156" t="s">
        <v>1473</v>
      </c>
      <c r="E464" s="153">
        <v>0.0</v>
      </c>
      <c r="F464" s="157">
        <v>4.0</v>
      </c>
      <c r="G464" s="158" t="s">
        <v>1269</v>
      </c>
      <c r="H464" s="153">
        <v>4.0</v>
      </c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  <c r="AA464" s="118"/>
      <c r="AB464" s="118"/>
    </row>
    <row r="465" ht="15.75" customHeight="1">
      <c r="A465" s="159"/>
      <c r="B465" s="160"/>
      <c r="C465" s="155"/>
      <c r="D465" s="156" t="s">
        <v>1473</v>
      </c>
      <c r="E465" s="153">
        <v>0.0</v>
      </c>
      <c r="F465" s="157">
        <v>5.0</v>
      </c>
      <c r="G465" s="158" t="s">
        <v>1271</v>
      </c>
      <c r="H465" s="153">
        <v>5.0</v>
      </c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  <c r="AA465" s="118"/>
      <c r="AB465" s="118"/>
    </row>
    <row r="466" ht="15.75" customHeight="1">
      <c r="A466" s="159"/>
      <c r="B466" s="160"/>
      <c r="C466" s="155"/>
      <c r="D466" s="156" t="s">
        <v>1473</v>
      </c>
      <c r="E466" s="153">
        <v>0.0</v>
      </c>
      <c r="F466" s="157">
        <v>6.0</v>
      </c>
      <c r="G466" s="158" t="s">
        <v>1273</v>
      </c>
      <c r="H466" s="153">
        <v>6.0</v>
      </c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  <c r="AA466" s="118"/>
      <c r="AB466" s="118"/>
    </row>
    <row r="467" ht="15.75" customHeight="1">
      <c r="A467" s="159"/>
      <c r="B467" s="160"/>
      <c r="C467" s="155"/>
      <c r="D467" s="156" t="s">
        <v>1474</v>
      </c>
      <c r="E467" s="153">
        <v>0.0</v>
      </c>
      <c r="F467" s="157">
        <v>1.0</v>
      </c>
      <c r="G467" s="158" t="s">
        <v>1263</v>
      </c>
      <c r="H467" s="153">
        <v>1.0</v>
      </c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  <c r="AA467" s="118"/>
      <c r="AB467" s="118"/>
    </row>
    <row r="468" ht="15.75" customHeight="1">
      <c r="A468" s="159"/>
      <c r="B468" s="160"/>
      <c r="C468" s="155"/>
      <c r="D468" s="156" t="s">
        <v>1474</v>
      </c>
      <c r="E468" s="153">
        <v>0.0</v>
      </c>
      <c r="F468" s="157">
        <v>2.0</v>
      </c>
      <c r="G468" s="158" t="s">
        <v>1266</v>
      </c>
      <c r="H468" s="153">
        <v>2.0</v>
      </c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  <c r="AA468" s="118"/>
      <c r="AB468" s="118"/>
    </row>
    <row r="469" ht="15.75" customHeight="1">
      <c r="A469" s="159"/>
      <c r="B469" s="160"/>
      <c r="C469" s="155"/>
      <c r="D469" s="156" t="s">
        <v>1474</v>
      </c>
      <c r="E469" s="153">
        <v>0.0</v>
      </c>
      <c r="F469" s="157">
        <v>3.0</v>
      </c>
      <c r="G469" s="158" t="s">
        <v>1268</v>
      </c>
      <c r="H469" s="153">
        <v>3.0</v>
      </c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  <c r="AA469" s="118"/>
      <c r="AB469" s="118"/>
    </row>
    <row r="470" ht="15.75" customHeight="1">
      <c r="A470" s="159"/>
      <c r="B470" s="160"/>
      <c r="C470" s="155"/>
      <c r="D470" s="156" t="s">
        <v>1474</v>
      </c>
      <c r="E470" s="153">
        <v>0.0</v>
      </c>
      <c r="F470" s="157">
        <v>4.0</v>
      </c>
      <c r="G470" s="158" t="s">
        <v>1269</v>
      </c>
      <c r="H470" s="153">
        <v>4.0</v>
      </c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  <c r="AA470" s="118"/>
      <c r="AB470" s="118"/>
    </row>
    <row r="471" ht="15.75" customHeight="1">
      <c r="A471" s="159"/>
      <c r="B471" s="160"/>
      <c r="C471" s="155"/>
      <c r="D471" s="156" t="s">
        <v>1474</v>
      </c>
      <c r="E471" s="153">
        <v>0.0</v>
      </c>
      <c r="F471" s="157">
        <v>5.0</v>
      </c>
      <c r="G471" s="158" t="s">
        <v>1271</v>
      </c>
      <c r="H471" s="153">
        <v>5.0</v>
      </c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  <c r="AA471" s="118"/>
      <c r="AB471" s="118"/>
    </row>
    <row r="472" ht="15.75" customHeight="1">
      <c r="A472" s="159"/>
      <c r="B472" s="160"/>
      <c r="C472" s="155"/>
      <c r="D472" s="156" t="s">
        <v>1474</v>
      </c>
      <c r="E472" s="153">
        <v>0.0</v>
      </c>
      <c r="F472" s="157">
        <v>6.0</v>
      </c>
      <c r="G472" s="158" t="s">
        <v>1358</v>
      </c>
      <c r="H472" s="153">
        <v>6.0</v>
      </c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  <c r="AA472" s="118"/>
      <c r="AB472" s="118"/>
    </row>
    <row r="473" ht="15.75" customHeight="1">
      <c r="A473" s="159"/>
      <c r="B473" s="160"/>
      <c r="C473" s="155"/>
      <c r="D473" s="156" t="s">
        <v>1475</v>
      </c>
      <c r="E473" s="153">
        <v>0.0</v>
      </c>
      <c r="F473" s="157">
        <v>3.0</v>
      </c>
      <c r="G473" s="158" t="s">
        <v>1268</v>
      </c>
      <c r="H473" s="153">
        <v>3.0</v>
      </c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  <c r="AA473" s="118"/>
      <c r="AB473" s="118"/>
    </row>
    <row r="474" ht="15.75" customHeight="1">
      <c r="A474" s="159"/>
      <c r="B474" s="160"/>
      <c r="C474" s="155"/>
      <c r="D474" s="156" t="s">
        <v>1475</v>
      </c>
      <c r="E474" s="153">
        <v>0.0</v>
      </c>
      <c r="F474" s="157">
        <v>4.0</v>
      </c>
      <c r="G474" s="158" t="s">
        <v>1270</v>
      </c>
      <c r="H474" s="153">
        <v>5.0</v>
      </c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  <c r="AA474" s="118"/>
      <c r="AB474" s="118"/>
    </row>
    <row r="475" ht="15.75" customHeight="1">
      <c r="A475" s="159"/>
      <c r="B475" s="160"/>
      <c r="C475" s="155"/>
      <c r="D475" s="156" t="s">
        <v>1475</v>
      </c>
      <c r="E475" s="153">
        <v>0.0</v>
      </c>
      <c r="F475" s="157">
        <v>5.0</v>
      </c>
      <c r="G475" s="158" t="s">
        <v>1271</v>
      </c>
      <c r="H475" s="153">
        <v>6.0</v>
      </c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  <c r="AA475" s="118"/>
      <c r="AB475" s="118"/>
    </row>
    <row r="476" ht="15.75" customHeight="1">
      <c r="A476" s="159"/>
      <c r="B476" s="160"/>
      <c r="C476" s="155"/>
      <c r="D476" s="156" t="s">
        <v>1475</v>
      </c>
      <c r="E476" s="153">
        <v>0.0</v>
      </c>
      <c r="F476" s="157">
        <v>6.0</v>
      </c>
      <c r="G476" s="158" t="s">
        <v>1358</v>
      </c>
      <c r="H476" s="153">
        <v>7.0</v>
      </c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  <c r="AA476" s="118"/>
      <c r="AB476" s="118"/>
    </row>
    <row r="477" ht="15.75" customHeight="1">
      <c r="A477" s="159"/>
      <c r="B477" s="160"/>
      <c r="C477" s="155"/>
      <c r="D477" s="156" t="s">
        <v>1475</v>
      </c>
      <c r="E477" s="153">
        <v>0.0</v>
      </c>
      <c r="F477" s="157">
        <v>7.0</v>
      </c>
      <c r="G477" s="158" t="s">
        <v>1274</v>
      </c>
      <c r="H477" s="153">
        <v>1.0</v>
      </c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  <c r="AA477" s="118"/>
      <c r="AB477" s="118"/>
    </row>
    <row r="478" ht="15.75" customHeight="1">
      <c r="A478" s="159"/>
      <c r="B478" s="160"/>
      <c r="C478" s="155"/>
      <c r="D478" s="156" t="s">
        <v>1475</v>
      </c>
      <c r="E478" s="153">
        <v>0.0</v>
      </c>
      <c r="F478" s="157">
        <v>8.0</v>
      </c>
      <c r="G478" s="158" t="s">
        <v>1359</v>
      </c>
      <c r="H478" s="153">
        <v>2.0</v>
      </c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  <c r="AA478" s="118"/>
      <c r="AB478" s="118"/>
    </row>
    <row r="479" ht="15.75" customHeight="1">
      <c r="A479" s="159"/>
      <c r="B479" s="160"/>
      <c r="C479" s="155"/>
      <c r="D479" s="156" t="s">
        <v>1475</v>
      </c>
      <c r="E479" s="153">
        <v>0.0</v>
      </c>
      <c r="F479" s="157">
        <v>9.0</v>
      </c>
      <c r="G479" s="158" t="s">
        <v>1277</v>
      </c>
      <c r="H479" s="153">
        <v>4.0</v>
      </c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  <c r="AA479" s="118"/>
      <c r="AB479" s="118"/>
    </row>
    <row r="480" ht="15.75" customHeight="1">
      <c r="A480" s="159"/>
      <c r="B480" s="160"/>
      <c r="C480" s="155"/>
      <c r="D480" s="156" t="s">
        <v>1476</v>
      </c>
      <c r="E480" s="153">
        <v>0.0</v>
      </c>
      <c r="F480" s="157">
        <v>1.0</v>
      </c>
      <c r="G480" s="158" t="s">
        <v>1477</v>
      </c>
      <c r="H480" s="153" t="s">
        <v>1391</v>
      </c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  <c r="AA480" s="118"/>
      <c r="AB480" s="118"/>
    </row>
    <row r="481" ht="15.75" customHeight="1">
      <c r="A481" s="159"/>
      <c r="B481" s="160"/>
      <c r="C481" s="155"/>
      <c r="D481" s="156" t="s">
        <v>1476</v>
      </c>
      <c r="E481" s="153">
        <v>0.0</v>
      </c>
      <c r="F481" s="157">
        <v>2.0</v>
      </c>
      <c r="G481" s="158" t="s">
        <v>1478</v>
      </c>
      <c r="H481" s="153" t="s">
        <v>1398</v>
      </c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  <c r="AA481" s="118"/>
      <c r="AB481" s="118"/>
    </row>
    <row r="482" ht="15.75" customHeight="1">
      <c r="A482" s="159"/>
      <c r="B482" s="160"/>
      <c r="C482" s="155"/>
      <c r="D482" s="156" t="s">
        <v>1476</v>
      </c>
      <c r="E482" s="153">
        <v>0.0</v>
      </c>
      <c r="F482" s="157">
        <v>9.0</v>
      </c>
      <c r="G482" s="158" t="s">
        <v>1277</v>
      </c>
      <c r="H482" s="153" t="s">
        <v>1479</v>
      </c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  <c r="AA482" s="118"/>
      <c r="AB482" s="118"/>
    </row>
    <row r="483" ht="15.75" customHeight="1">
      <c r="A483" s="159"/>
      <c r="B483" s="160"/>
      <c r="C483" s="155"/>
      <c r="D483" s="156" t="s">
        <v>1476</v>
      </c>
      <c r="E483" s="153">
        <v>0.0</v>
      </c>
      <c r="F483" s="157">
        <v>36.0</v>
      </c>
      <c r="G483" s="158" t="s">
        <v>1480</v>
      </c>
      <c r="H483" s="153" t="s">
        <v>1481</v>
      </c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  <c r="AA483" s="118"/>
      <c r="AB483" s="118"/>
    </row>
    <row r="484" ht="15.75" customHeight="1">
      <c r="A484" s="159"/>
      <c r="B484" s="160"/>
      <c r="C484" s="155"/>
      <c r="D484" s="156" t="s">
        <v>1476</v>
      </c>
      <c r="E484" s="153">
        <v>0.0</v>
      </c>
      <c r="F484" s="157">
        <v>37.0</v>
      </c>
      <c r="G484" s="158" t="s">
        <v>1482</v>
      </c>
      <c r="H484" s="153" t="s">
        <v>1483</v>
      </c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  <c r="AA484" s="118"/>
      <c r="AB484" s="118"/>
    </row>
    <row r="485" ht="15.75" customHeight="1">
      <c r="A485" s="159"/>
      <c r="B485" s="160"/>
      <c r="C485" s="155"/>
      <c r="D485" s="156" t="s">
        <v>1476</v>
      </c>
      <c r="E485" s="153">
        <v>0.0</v>
      </c>
      <c r="F485" s="157">
        <v>38.0</v>
      </c>
      <c r="G485" s="158" t="s">
        <v>1484</v>
      </c>
      <c r="H485" s="153" t="s">
        <v>1404</v>
      </c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  <c r="AA485" s="118"/>
      <c r="AB485" s="118"/>
    </row>
    <row r="486" ht="15.75" customHeight="1">
      <c r="A486" s="159"/>
      <c r="B486" s="160"/>
      <c r="C486" s="155"/>
      <c r="D486" s="156" t="s">
        <v>1476</v>
      </c>
      <c r="E486" s="153">
        <v>0.0</v>
      </c>
      <c r="F486" s="157">
        <v>39.0</v>
      </c>
      <c r="G486" s="158" t="s">
        <v>1485</v>
      </c>
      <c r="H486" s="153" t="s">
        <v>1486</v>
      </c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  <c r="AA486" s="118"/>
      <c r="AB486" s="118"/>
    </row>
    <row r="487" ht="15.75" customHeight="1">
      <c r="A487" s="159"/>
      <c r="B487" s="160"/>
      <c r="C487" s="155"/>
      <c r="D487" s="156" t="s">
        <v>1476</v>
      </c>
      <c r="E487" s="153">
        <v>0.0</v>
      </c>
      <c r="F487" s="157">
        <v>40.0</v>
      </c>
      <c r="G487" s="158" t="s">
        <v>1487</v>
      </c>
      <c r="H487" s="153" t="s">
        <v>1488</v>
      </c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</row>
    <row r="488" ht="15.75" customHeight="1">
      <c r="A488" s="159"/>
      <c r="B488" s="160"/>
      <c r="C488" s="155"/>
      <c r="D488" s="156" t="s">
        <v>1476</v>
      </c>
      <c r="E488" s="153">
        <v>0.0</v>
      </c>
      <c r="F488" s="157">
        <v>41.0</v>
      </c>
      <c r="G488" s="158" t="s">
        <v>1489</v>
      </c>
      <c r="H488" s="153" t="s">
        <v>1490</v>
      </c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  <c r="AA488" s="118"/>
      <c r="AB488" s="118"/>
    </row>
    <row r="489" ht="15.75" customHeight="1">
      <c r="A489" s="159"/>
      <c r="B489" s="160"/>
      <c r="C489" s="155"/>
      <c r="D489" s="156" t="s">
        <v>1491</v>
      </c>
      <c r="E489" s="153">
        <v>0.0</v>
      </c>
      <c r="F489" s="157">
        <v>1.0</v>
      </c>
      <c r="G489" s="158" t="s">
        <v>1316</v>
      </c>
      <c r="H489" s="153">
        <v>0.0</v>
      </c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  <c r="AA489" s="118"/>
      <c r="AB489" s="118"/>
    </row>
    <row r="490" ht="15.75" customHeight="1">
      <c r="A490" s="159"/>
      <c r="B490" s="160"/>
      <c r="C490" s="155"/>
      <c r="D490" s="156" t="s">
        <v>1491</v>
      </c>
      <c r="E490" s="153">
        <v>0.0</v>
      </c>
      <c r="F490" s="157">
        <v>3.0</v>
      </c>
      <c r="G490" s="158" t="s">
        <v>1492</v>
      </c>
      <c r="H490" s="153">
        <v>2.0</v>
      </c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  <c r="AA490" s="118"/>
      <c r="AB490" s="118"/>
    </row>
    <row r="491" ht="15.75" customHeight="1">
      <c r="A491" s="159"/>
      <c r="B491" s="160"/>
      <c r="C491" s="155"/>
      <c r="D491" s="156" t="s">
        <v>1491</v>
      </c>
      <c r="E491" s="153">
        <v>0.0</v>
      </c>
      <c r="F491" s="157">
        <v>4.0</v>
      </c>
      <c r="G491" s="158" t="s">
        <v>1493</v>
      </c>
      <c r="H491" s="153">
        <v>4.0</v>
      </c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  <c r="AA491" s="118"/>
      <c r="AB491" s="118"/>
    </row>
    <row r="492" ht="15.75" customHeight="1">
      <c r="A492" s="159"/>
      <c r="B492" s="160"/>
      <c r="C492" s="155"/>
      <c r="D492" s="156" t="s">
        <v>1491</v>
      </c>
      <c r="E492" s="153">
        <v>0.0</v>
      </c>
      <c r="F492" s="157">
        <v>10.0</v>
      </c>
      <c r="G492" s="158" t="s">
        <v>1494</v>
      </c>
      <c r="H492" s="153">
        <v>1.0</v>
      </c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  <c r="AA492" s="118"/>
      <c r="AB492" s="118"/>
    </row>
    <row r="493" ht="15.75" customHeight="1">
      <c r="A493" s="159"/>
      <c r="B493" s="160"/>
      <c r="C493" s="155"/>
      <c r="D493" s="156" t="s">
        <v>1491</v>
      </c>
      <c r="E493" s="153">
        <v>0.0</v>
      </c>
      <c r="F493" s="157">
        <v>17.0</v>
      </c>
      <c r="G493" s="158" t="s">
        <v>1495</v>
      </c>
      <c r="H493" s="153">
        <v>6.0</v>
      </c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  <c r="AA493" s="118"/>
      <c r="AB493" s="118"/>
    </row>
    <row r="494" ht="15.75" customHeight="1">
      <c r="A494" s="159"/>
      <c r="B494" s="160"/>
      <c r="C494" s="155"/>
      <c r="D494" s="156" t="s">
        <v>1491</v>
      </c>
      <c r="E494" s="153">
        <v>0.0</v>
      </c>
      <c r="F494" s="157">
        <v>24.0</v>
      </c>
      <c r="G494" s="158" t="s">
        <v>1496</v>
      </c>
      <c r="H494" s="153">
        <v>3.0</v>
      </c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  <c r="AA494" s="118"/>
      <c r="AB494" s="118"/>
    </row>
    <row r="495" ht="15.75" customHeight="1">
      <c r="A495" s="159"/>
      <c r="B495" s="160"/>
      <c r="C495" s="155"/>
      <c r="D495" s="156" t="s">
        <v>1497</v>
      </c>
      <c r="E495" s="153">
        <v>0.0</v>
      </c>
      <c r="F495" s="157">
        <v>1.0</v>
      </c>
      <c r="G495" s="158" t="s">
        <v>1498</v>
      </c>
      <c r="H495" s="153">
        <v>0.0</v>
      </c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  <c r="AA495" s="118"/>
      <c r="AB495" s="118"/>
    </row>
    <row r="496" ht="15.75" customHeight="1">
      <c r="A496" s="159"/>
      <c r="B496" s="160"/>
      <c r="C496" s="155"/>
      <c r="D496" s="156" t="s">
        <v>1497</v>
      </c>
      <c r="E496" s="153">
        <v>0.0</v>
      </c>
      <c r="F496" s="157">
        <v>3.0</v>
      </c>
      <c r="G496" s="158" t="s">
        <v>1442</v>
      </c>
      <c r="H496" s="153">
        <v>12.0</v>
      </c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  <c r="AA496" s="118"/>
      <c r="AB496" s="118"/>
    </row>
    <row r="497" ht="15.75" customHeight="1">
      <c r="A497" s="159"/>
      <c r="B497" s="160"/>
      <c r="C497" s="155"/>
      <c r="D497" s="156" t="s">
        <v>1497</v>
      </c>
      <c r="E497" s="153">
        <v>0.0</v>
      </c>
      <c r="F497" s="157">
        <v>4.0</v>
      </c>
      <c r="G497" s="158" t="s">
        <v>1269</v>
      </c>
      <c r="H497" s="153">
        <v>12.0</v>
      </c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  <c r="AA497" s="118"/>
      <c r="AB497" s="118"/>
    </row>
    <row r="498" ht="15.75" customHeight="1">
      <c r="A498" s="159"/>
      <c r="B498" s="160"/>
      <c r="C498" s="155"/>
      <c r="D498" s="156" t="s">
        <v>1497</v>
      </c>
      <c r="E498" s="153">
        <v>0.0</v>
      </c>
      <c r="F498" s="157">
        <v>10.0</v>
      </c>
      <c r="G498" s="158" t="s">
        <v>1499</v>
      </c>
      <c r="H498" s="153">
        <v>14.0</v>
      </c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  <c r="AA498" s="118"/>
      <c r="AB498" s="118"/>
    </row>
    <row r="499" ht="15.75" customHeight="1">
      <c r="A499" s="159"/>
      <c r="B499" s="160"/>
      <c r="C499" s="155"/>
      <c r="D499" s="156" t="s">
        <v>1497</v>
      </c>
      <c r="E499" s="153">
        <v>0.0</v>
      </c>
      <c r="F499" s="157">
        <v>11.0</v>
      </c>
      <c r="G499" s="158" t="s">
        <v>1500</v>
      </c>
      <c r="H499" s="153">
        <v>4.0</v>
      </c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  <c r="AA499" s="118"/>
      <c r="AB499" s="118"/>
    </row>
    <row r="500" ht="15.75" customHeight="1">
      <c r="A500" s="159"/>
      <c r="B500" s="160"/>
      <c r="C500" s="155"/>
      <c r="D500" s="156" t="s">
        <v>1497</v>
      </c>
      <c r="E500" s="153">
        <v>0.0</v>
      </c>
      <c r="F500" s="157">
        <v>12.0</v>
      </c>
      <c r="G500" s="158" t="s">
        <v>1501</v>
      </c>
      <c r="H500" s="153">
        <v>1.0</v>
      </c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  <c r="AA500" s="118"/>
      <c r="AB500" s="118"/>
    </row>
    <row r="501" ht="15.75" customHeight="1">
      <c r="A501" s="159"/>
      <c r="B501" s="160"/>
      <c r="C501" s="155"/>
      <c r="D501" s="156" t="s">
        <v>1497</v>
      </c>
      <c r="E501" s="153">
        <v>0.0</v>
      </c>
      <c r="F501" s="157">
        <v>15.0</v>
      </c>
      <c r="G501" s="158" t="s">
        <v>1502</v>
      </c>
      <c r="H501" s="153">
        <v>2.0</v>
      </c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  <c r="AA501" s="118"/>
      <c r="AB501" s="118"/>
    </row>
    <row r="502" ht="15.75" customHeight="1">
      <c r="A502" s="159"/>
      <c r="B502" s="160"/>
      <c r="C502" s="155"/>
      <c r="D502" s="156" t="s">
        <v>1497</v>
      </c>
      <c r="E502" s="153">
        <v>0.0</v>
      </c>
      <c r="F502" s="157">
        <v>16.0</v>
      </c>
      <c r="G502" s="158" t="s">
        <v>1460</v>
      </c>
      <c r="H502" s="153">
        <v>13.0</v>
      </c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  <c r="AA502" s="118"/>
      <c r="AB502" s="118"/>
    </row>
    <row r="503" ht="15.75" customHeight="1">
      <c r="A503" s="159"/>
      <c r="B503" s="160"/>
      <c r="C503" s="155"/>
      <c r="D503" s="156" t="s">
        <v>1497</v>
      </c>
      <c r="E503" s="153">
        <v>0.0</v>
      </c>
      <c r="F503" s="157">
        <v>21.0</v>
      </c>
      <c r="G503" s="158" t="s">
        <v>1503</v>
      </c>
      <c r="H503" s="153">
        <v>8.0</v>
      </c>
      <c r="I503" s="118"/>
      <c r="J503" s="118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  <c r="AA503" s="118"/>
      <c r="AB503" s="118"/>
    </row>
    <row r="504" ht="15.75" customHeight="1">
      <c r="A504" s="159"/>
      <c r="B504" s="160"/>
      <c r="C504" s="155"/>
      <c r="D504" s="156" t="s">
        <v>1497</v>
      </c>
      <c r="E504" s="153">
        <v>0.0</v>
      </c>
      <c r="F504" s="157">
        <v>27.0</v>
      </c>
      <c r="G504" s="158" t="s">
        <v>1504</v>
      </c>
      <c r="H504" s="153">
        <v>3.0</v>
      </c>
      <c r="I504" s="118"/>
      <c r="J504" s="118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  <c r="AA504" s="118"/>
      <c r="AB504" s="118"/>
    </row>
    <row r="505" ht="15.75" customHeight="1">
      <c r="A505" s="159"/>
      <c r="B505" s="160"/>
      <c r="C505" s="155"/>
      <c r="D505" s="156" t="s">
        <v>1497</v>
      </c>
      <c r="E505" s="153">
        <v>0.0</v>
      </c>
      <c r="F505" s="157">
        <v>28.0</v>
      </c>
      <c r="G505" s="158" t="s">
        <v>1505</v>
      </c>
      <c r="H505" s="153">
        <v>5.0</v>
      </c>
      <c r="I505" s="118"/>
      <c r="J505" s="118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  <c r="AA505" s="118"/>
      <c r="AB505" s="118"/>
    </row>
    <row r="506" ht="15.75" customHeight="1">
      <c r="A506" s="159"/>
      <c r="B506" s="160"/>
      <c r="C506" s="155"/>
      <c r="D506" s="156" t="s">
        <v>1497</v>
      </c>
      <c r="E506" s="153">
        <v>0.0</v>
      </c>
      <c r="F506" s="157">
        <v>29.0</v>
      </c>
      <c r="G506" s="158" t="s">
        <v>1506</v>
      </c>
      <c r="H506" s="153">
        <v>6.0</v>
      </c>
      <c r="I506" s="118"/>
      <c r="J506" s="118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  <c r="AA506" s="118"/>
      <c r="AB506" s="118"/>
    </row>
    <row r="507" ht="15.75" customHeight="1">
      <c r="A507" s="159"/>
      <c r="B507" s="160"/>
      <c r="C507" s="155"/>
      <c r="D507" s="156" t="s">
        <v>1497</v>
      </c>
      <c r="E507" s="153">
        <v>0.0</v>
      </c>
      <c r="F507" s="157">
        <v>30.0</v>
      </c>
      <c r="G507" s="158" t="s">
        <v>1507</v>
      </c>
      <c r="H507" s="153">
        <v>7.0</v>
      </c>
      <c r="I507" s="118"/>
      <c r="J507" s="118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  <c r="AA507" s="118"/>
      <c r="AB507" s="118"/>
    </row>
    <row r="508" ht="15.75" customHeight="1">
      <c r="A508" s="159"/>
      <c r="B508" s="160"/>
      <c r="C508" s="155"/>
      <c r="D508" s="156" t="s">
        <v>1497</v>
      </c>
      <c r="E508" s="153">
        <v>0.0</v>
      </c>
      <c r="F508" s="157">
        <v>31.0</v>
      </c>
      <c r="G508" s="158" t="s">
        <v>1508</v>
      </c>
      <c r="H508" s="153">
        <v>9.0</v>
      </c>
      <c r="I508" s="118"/>
      <c r="J508" s="118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  <c r="AA508" s="118"/>
      <c r="AB508" s="118"/>
    </row>
    <row r="509" ht="15.75" customHeight="1">
      <c r="A509" s="159"/>
      <c r="B509" s="160"/>
      <c r="C509" s="155"/>
      <c r="D509" s="156" t="s">
        <v>1497</v>
      </c>
      <c r="E509" s="153">
        <v>0.0</v>
      </c>
      <c r="F509" s="157">
        <v>32.0</v>
      </c>
      <c r="G509" s="158" t="s">
        <v>1509</v>
      </c>
      <c r="H509" s="153">
        <v>10.0</v>
      </c>
      <c r="I509" s="118"/>
      <c r="J509" s="118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  <c r="AA509" s="118"/>
      <c r="AB509" s="118"/>
    </row>
    <row r="510" ht="15.75" customHeight="1">
      <c r="A510" s="159"/>
      <c r="B510" s="160"/>
      <c r="C510" s="155"/>
      <c r="D510" s="156" t="s">
        <v>1497</v>
      </c>
      <c r="E510" s="153">
        <v>0.0</v>
      </c>
      <c r="F510" s="157">
        <v>33.0</v>
      </c>
      <c r="G510" s="158" t="s">
        <v>1510</v>
      </c>
      <c r="H510" s="153">
        <v>11.0</v>
      </c>
      <c r="I510" s="118"/>
      <c r="J510" s="118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  <c r="AA510" s="118"/>
      <c r="AB510" s="118"/>
    </row>
    <row r="511" ht="15.75" customHeight="1">
      <c r="A511" s="159"/>
      <c r="B511" s="160"/>
      <c r="C511" s="155"/>
      <c r="D511" s="156" t="s">
        <v>1497</v>
      </c>
      <c r="E511" s="153">
        <v>0.0</v>
      </c>
      <c r="F511" s="157">
        <v>34.0</v>
      </c>
      <c r="G511" s="158" t="s">
        <v>1511</v>
      </c>
      <c r="H511" s="153">
        <v>15.0</v>
      </c>
      <c r="I511" s="118"/>
      <c r="J511" s="118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  <c r="AA511" s="118"/>
      <c r="AB511" s="118"/>
    </row>
    <row r="512" ht="15.75" customHeight="1">
      <c r="A512" s="159"/>
      <c r="B512" s="160"/>
      <c r="C512" s="155"/>
      <c r="D512" s="156" t="s">
        <v>1497</v>
      </c>
      <c r="E512" s="153">
        <v>0.0</v>
      </c>
      <c r="F512" s="157">
        <v>35.0</v>
      </c>
      <c r="G512" s="158" t="s">
        <v>1512</v>
      </c>
      <c r="H512" s="153">
        <v>16.0</v>
      </c>
      <c r="I512" s="118"/>
      <c r="J512" s="118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  <c r="AA512" s="118"/>
      <c r="AB512" s="118"/>
    </row>
    <row r="513" ht="15.75" customHeight="1">
      <c r="A513" s="159"/>
      <c r="B513" s="160"/>
      <c r="C513" s="155"/>
      <c r="D513" s="156" t="s">
        <v>1513</v>
      </c>
      <c r="E513" s="153">
        <v>4205407.0</v>
      </c>
      <c r="F513" s="157">
        <v>1.0</v>
      </c>
      <c r="G513" s="158" t="s">
        <v>1514</v>
      </c>
      <c r="H513" s="153">
        <v>0.0</v>
      </c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  <c r="AA513" s="118"/>
      <c r="AB513" s="118"/>
    </row>
    <row r="514" ht="15.75" customHeight="1">
      <c r="A514" s="159"/>
      <c r="B514" s="160"/>
      <c r="C514" s="155"/>
      <c r="D514" s="156" t="s">
        <v>1513</v>
      </c>
      <c r="E514" s="153">
        <v>4205407.0</v>
      </c>
      <c r="F514" s="157">
        <v>3.0</v>
      </c>
      <c r="G514" s="158" t="s">
        <v>1442</v>
      </c>
      <c r="H514" s="153">
        <v>12.0</v>
      </c>
      <c r="I514" s="118"/>
      <c r="J514" s="118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  <c r="AA514" s="118"/>
      <c r="AB514" s="118"/>
    </row>
    <row r="515" ht="15.75" customHeight="1">
      <c r="A515" s="159"/>
      <c r="B515" s="160"/>
      <c r="C515" s="155"/>
      <c r="D515" s="156" t="s">
        <v>1513</v>
      </c>
      <c r="E515" s="153">
        <v>4205407.0</v>
      </c>
      <c r="F515" s="157">
        <v>4.0</v>
      </c>
      <c r="G515" s="158" t="s">
        <v>1269</v>
      </c>
      <c r="H515" s="153">
        <v>12.0</v>
      </c>
      <c r="I515" s="118"/>
      <c r="J515" s="118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  <c r="AA515" s="118"/>
      <c r="AB515" s="118"/>
    </row>
    <row r="516" ht="15.75" customHeight="1">
      <c r="A516" s="159"/>
      <c r="B516" s="160"/>
      <c r="C516" s="155"/>
      <c r="D516" s="156" t="s">
        <v>1513</v>
      </c>
      <c r="E516" s="153">
        <v>4205407.0</v>
      </c>
      <c r="F516" s="157">
        <v>8.0</v>
      </c>
      <c r="G516" s="158" t="s">
        <v>1503</v>
      </c>
      <c r="H516" s="153">
        <v>8.0</v>
      </c>
      <c r="I516" s="118"/>
      <c r="J516" s="118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  <c r="AA516" s="118"/>
      <c r="AB516" s="118"/>
    </row>
    <row r="517" ht="15.75" customHeight="1">
      <c r="A517" s="159"/>
      <c r="B517" s="160"/>
      <c r="C517" s="155"/>
      <c r="D517" s="156" t="s">
        <v>1513</v>
      </c>
      <c r="E517" s="153">
        <v>4205407.0</v>
      </c>
      <c r="F517" s="157">
        <v>10.0</v>
      </c>
      <c r="G517" s="158" t="s">
        <v>1515</v>
      </c>
      <c r="H517" s="153">
        <v>14.0</v>
      </c>
      <c r="I517" s="118"/>
      <c r="J517" s="118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  <c r="AA517" s="118"/>
      <c r="AB517" s="118"/>
    </row>
    <row r="518" ht="15.75" customHeight="1">
      <c r="A518" s="159"/>
      <c r="B518" s="160"/>
      <c r="C518" s="155"/>
      <c r="D518" s="156" t="s">
        <v>1513</v>
      </c>
      <c r="E518" s="153">
        <v>4205407.0</v>
      </c>
      <c r="F518" s="157">
        <v>11.0</v>
      </c>
      <c r="G518" s="158" t="s">
        <v>1500</v>
      </c>
      <c r="H518" s="153">
        <v>4.0</v>
      </c>
      <c r="I518" s="118"/>
      <c r="J518" s="118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  <c r="AA518" s="118"/>
      <c r="AB518" s="118"/>
    </row>
    <row r="519" ht="15.75" customHeight="1">
      <c r="A519" s="159"/>
      <c r="B519" s="160"/>
      <c r="C519" s="155"/>
      <c r="D519" s="156" t="s">
        <v>1513</v>
      </c>
      <c r="E519" s="153">
        <v>4205407.0</v>
      </c>
      <c r="F519" s="157">
        <v>12.0</v>
      </c>
      <c r="G519" s="158" t="s">
        <v>1501</v>
      </c>
      <c r="H519" s="153">
        <v>1.0</v>
      </c>
      <c r="I519" s="118"/>
      <c r="J519" s="118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  <c r="AA519" s="118"/>
      <c r="AB519" s="118"/>
    </row>
    <row r="520" ht="15.75" customHeight="1">
      <c r="A520" s="159"/>
      <c r="B520" s="160"/>
      <c r="C520" s="155"/>
      <c r="D520" s="156" t="s">
        <v>1513</v>
      </c>
      <c r="E520" s="153">
        <v>4205407.0</v>
      </c>
      <c r="F520" s="157">
        <v>15.0</v>
      </c>
      <c r="G520" s="158" t="s">
        <v>1502</v>
      </c>
      <c r="H520" s="153">
        <v>2.0</v>
      </c>
      <c r="I520" s="118"/>
      <c r="J520" s="118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  <c r="AA520" s="118"/>
      <c r="AB520" s="118"/>
    </row>
    <row r="521" ht="15.75" customHeight="1">
      <c r="A521" s="159"/>
      <c r="B521" s="160"/>
      <c r="C521" s="155"/>
      <c r="D521" s="156" t="s">
        <v>1513</v>
      </c>
      <c r="E521" s="153">
        <v>4205407.0</v>
      </c>
      <c r="F521" s="157">
        <v>16.0</v>
      </c>
      <c r="G521" s="158" t="s">
        <v>1516</v>
      </c>
      <c r="H521" s="153">
        <v>13.0</v>
      </c>
      <c r="I521" s="118"/>
      <c r="J521" s="118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  <c r="AA521" s="118"/>
      <c r="AB521" s="118"/>
    </row>
    <row r="522" ht="15.75" customHeight="1">
      <c r="A522" s="159"/>
      <c r="B522" s="160"/>
      <c r="C522" s="155"/>
      <c r="D522" s="156" t="s">
        <v>1513</v>
      </c>
      <c r="E522" s="153">
        <v>4205407.0</v>
      </c>
      <c r="F522" s="157">
        <v>27.0</v>
      </c>
      <c r="G522" s="158" t="s">
        <v>1504</v>
      </c>
      <c r="H522" s="153">
        <v>3.0</v>
      </c>
      <c r="I522" s="118"/>
      <c r="J522" s="118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  <c r="AA522" s="118"/>
      <c r="AB522" s="118"/>
    </row>
    <row r="523" ht="15.75" customHeight="1">
      <c r="A523" s="159"/>
      <c r="B523" s="160"/>
      <c r="C523" s="155"/>
      <c r="D523" s="156" t="s">
        <v>1513</v>
      </c>
      <c r="E523" s="153">
        <v>4205407.0</v>
      </c>
      <c r="F523" s="157">
        <v>28.0</v>
      </c>
      <c r="G523" s="158" t="s">
        <v>1505</v>
      </c>
      <c r="H523" s="153">
        <v>5.0</v>
      </c>
      <c r="I523" s="118"/>
      <c r="J523" s="118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  <c r="AA523" s="118"/>
      <c r="AB523" s="118"/>
    </row>
    <row r="524" ht="15.75" customHeight="1">
      <c r="A524" s="159"/>
      <c r="B524" s="160"/>
      <c r="C524" s="155"/>
      <c r="D524" s="156" t="s">
        <v>1513</v>
      </c>
      <c r="E524" s="153">
        <v>4205407.0</v>
      </c>
      <c r="F524" s="157">
        <v>29.0</v>
      </c>
      <c r="G524" s="158" t="s">
        <v>1506</v>
      </c>
      <c r="H524" s="153">
        <v>6.0</v>
      </c>
      <c r="I524" s="118"/>
      <c r="J524" s="118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  <c r="AA524" s="118"/>
      <c r="AB524" s="118"/>
    </row>
    <row r="525" ht="15.75" customHeight="1">
      <c r="A525" s="159"/>
      <c r="B525" s="160"/>
      <c r="C525" s="155"/>
      <c r="D525" s="156" t="s">
        <v>1513</v>
      </c>
      <c r="E525" s="153">
        <v>4205407.0</v>
      </c>
      <c r="F525" s="157">
        <v>30.0</v>
      </c>
      <c r="G525" s="158" t="s">
        <v>1507</v>
      </c>
      <c r="H525" s="153">
        <v>7.0</v>
      </c>
      <c r="I525" s="118"/>
      <c r="J525" s="118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  <c r="AA525" s="118"/>
      <c r="AB525" s="118"/>
    </row>
    <row r="526" ht="15.75" customHeight="1">
      <c r="A526" s="159"/>
      <c r="B526" s="160"/>
      <c r="C526" s="155"/>
      <c r="D526" s="156" t="s">
        <v>1513</v>
      </c>
      <c r="E526" s="153">
        <v>4205407.0</v>
      </c>
      <c r="F526" s="157">
        <v>31.0</v>
      </c>
      <c r="G526" s="158" t="s">
        <v>1508</v>
      </c>
      <c r="H526" s="153">
        <v>9.0</v>
      </c>
      <c r="I526" s="118"/>
      <c r="J526" s="118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  <c r="AA526" s="118"/>
      <c r="AB526" s="118"/>
    </row>
    <row r="527" ht="15.75" customHeight="1">
      <c r="A527" s="159"/>
      <c r="B527" s="160"/>
      <c r="C527" s="155"/>
      <c r="D527" s="156" t="s">
        <v>1513</v>
      </c>
      <c r="E527" s="153">
        <v>4205407.0</v>
      </c>
      <c r="F527" s="157">
        <v>32.0</v>
      </c>
      <c r="G527" s="158" t="s">
        <v>1517</v>
      </c>
      <c r="H527" s="153">
        <v>10.0</v>
      </c>
      <c r="I527" s="118"/>
      <c r="J527" s="118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  <c r="AA527" s="118"/>
      <c r="AB527" s="118"/>
    </row>
    <row r="528" ht="15.75" customHeight="1">
      <c r="A528" s="159"/>
      <c r="B528" s="160"/>
      <c r="C528" s="155"/>
      <c r="D528" s="156" t="s">
        <v>1513</v>
      </c>
      <c r="E528" s="153">
        <v>4205407.0</v>
      </c>
      <c r="F528" s="157">
        <v>33.0</v>
      </c>
      <c r="G528" s="158" t="s">
        <v>1518</v>
      </c>
      <c r="H528" s="153">
        <v>11.0</v>
      </c>
      <c r="I528" s="118"/>
      <c r="J528" s="118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  <c r="AA528" s="118"/>
      <c r="AB528" s="118"/>
    </row>
    <row r="529" ht="15.75" customHeight="1">
      <c r="A529" s="159"/>
      <c r="B529" s="160"/>
      <c r="C529" s="155"/>
      <c r="D529" s="156" t="s">
        <v>1513</v>
      </c>
      <c r="E529" s="153">
        <v>4205407.0</v>
      </c>
      <c r="F529" s="157">
        <v>34.0</v>
      </c>
      <c r="G529" s="158" t="s">
        <v>1511</v>
      </c>
      <c r="H529" s="153">
        <v>15.0</v>
      </c>
      <c r="I529" s="118"/>
      <c r="J529" s="118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  <c r="AA529" s="118"/>
      <c r="AB529" s="118"/>
    </row>
    <row r="530" ht="15.75" customHeight="1">
      <c r="A530" s="159"/>
      <c r="B530" s="160"/>
      <c r="C530" s="155"/>
      <c r="D530" s="156" t="s">
        <v>1513</v>
      </c>
      <c r="E530" s="153">
        <v>4205407.0</v>
      </c>
      <c r="F530" s="157">
        <v>35.0</v>
      </c>
      <c r="G530" s="158" t="s">
        <v>1519</v>
      </c>
      <c r="H530" s="153">
        <v>16.0</v>
      </c>
      <c r="I530" s="118"/>
      <c r="J530" s="118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  <c r="AA530" s="118"/>
      <c r="AB530" s="118"/>
    </row>
    <row r="531" ht="15.75" customHeight="1">
      <c r="A531" s="159"/>
      <c r="B531" s="160"/>
      <c r="C531" s="155"/>
      <c r="D531" s="156" t="s">
        <v>1520</v>
      </c>
      <c r="E531" s="153">
        <v>0.0</v>
      </c>
      <c r="F531" s="157">
        <v>3.0</v>
      </c>
      <c r="G531" s="158" t="s">
        <v>1426</v>
      </c>
      <c r="H531" s="153">
        <v>3.0</v>
      </c>
      <c r="I531" s="118"/>
      <c r="J531" s="118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  <c r="AA531" s="118"/>
      <c r="AB531" s="118"/>
    </row>
    <row r="532" ht="15.75" customHeight="1">
      <c r="A532" s="159"/>
      <c r="B532" s="160"/>
      <c r="C532" s="155"/>
      <c r="D532" s="156" t="s">
        <v>1520</v>
      </c>
      <c r="E532" s="153">
        <v>0.0</v>
      </c>
      <c r="F532" s="157">
        <v>4.0</v>
      </c>
      <c r="G532" s="158" t="s">
        <v>1269</v>
      </c>
      <c r="H532" s="153">
        <v>2.0</v>
      </c>
      <c r="I532" s="118"/>
      <c r="J532" s="118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  <c r="AA532" s="118"/>
      <c r="AB532" s="118"/>
    </row>
    <row r="533" ht="15.75" customHeight="1">
      <c r="A533" s="159"/>
      <c r="B533" s="160"/>
      <c r="C533" s="155"/>
      <c r="D533" s="156" t="s">
        <v>1520</v>
      </c>
      <c r="E533" s="153">
        <v>0.0</v>
      </c>
      <c r="F533" s="157">
        <v>5.0</v>
      </c>
      <c r="G533" s="158" t="s">
        <v>1271</v>
      </c>
      <c r="H533" s="153">
        <v>4.0</v>
      </c>
      <c r="I533" s="118"/>
      <c r="J533" s="118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  <c r="AA533" s="118"/>
      <c r="AB533" s="118"/>
    </row>
    <row r="534" ht="15.75" customHeight="1">
      <c r="A534" s="159"/>
      <c r="B534" s="160"/>
      <c r="C534" s="155"/>
      <c r="D534" s="156" t="s">
        <v>1520</v>
      </c>
      <c r="E534" s="153">
        <v>0.0</v>
      </c>
      <c r="F534" s="157">
        <v>6.0</v>
      </c>
      <c r="G534" s="158" t="s">
        <v>1358</v>
      </c>
      <c r="H534" s="153">
        <v>5.0</v>
      </c>
      <c r="I534" s="118"/>
      <c r="J534" s="118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  <c r="AA534" s="118"/>
      <c r="AB534" s="118"/>
    </row>
    <row r="535" ht="15.75" customHeight="1">
      <c r="A535" s="159"/>
      <c r="B535" s="160"/>
      <c r="C535" s="155"/>
      <c r="D535" s="156" t="s">
        <v>1520</v>
      </c>
      <c r="E535" s="153">
        <v>0.0</v>
      </c>
      <c r="F535" s="157">
        <v>7.0</v>
      </c>
      <c r="G535" s="158" t="s">
        <v>1383</v>
      </c>
      <c r="H535" s="153">
        <v>1.0</v>
      </c>
      <c r="I535" s="118"/>
      <c r="J535" s="118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  <c r="AA535" s="118"/>
      <c r="AB535" s="118"/>
    </row>
    <row r="536" ht="15.75" customHeight="1">
      <c r="A536" s="159"/>
      <c r="B536" s="160"/>
      <c r="C536" s="155"/>
      <c r="D536" s="156" t="s">
        <v>1521</v>
      </c>
      <c r="E536" s="153">
        <v>0.0</v>
      </c>
      <c r="F536" s="157">
        <v>1.0</v>
      </c>
      <c r="G536" s="158" t="s">
        <v>1263</v>
      </c>
      <c r="H536" s="153">
        <v>1.0</v>
      </c>
      <c r="I536" s="118"/>
      <c r="J536" s="118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  <c r="AA536" s="118"/>
      <c r="AB536" s="118"/>
    </row>
    <row r="537" ht="15.75" customHeight="1">
      <c r="A537" s="159"/>
      <c r="B537" s="160"/>
      <c r="C537" s="155"/>
      <c r="D537" s="156" t="s">
        <v>1521</v>
      </c>
      <c r="E537" s="153">
        <v>0.0</v>
      </c>
      <c r="F537" s="157">
        <v>2.0</v>
      </c>
      <c r="G537" s="158" t="s">
        <v>1266</v>
      </c>
      <c r="H537" s="153">
        <v>2.0</v>
      </c>
      <c r="I537" s="118"/>
      <c r="J537" s="118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  <c r="AA537" s="118"/>
      <c r="AB537" s="118"/>
    </row>
    <row r="538" ht="15.75" customHeight="1">
      <c r="A538" s="159"/>
      <c r="B538" s="160"/>
      <c r="C538" s="155"/>
      <c r="D538" s="156" t="s">
        <v>1521</v>
      </c>
      <c r="E538" s="153">
        <v>0.0</v>
      </c>
      <c r="F538" s="157">
        <v>3.0</v>
      </c>
      <c r="G538" s="158" t="s">
        <v>1268</v>
      </c>
      <c r="H538" s="153">
        <v>3.0</v>
      </c>
      <c r="I538" s="118"/>
      <c r="J538" s="118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  <c r="AA538" s="118"/>
      <c r="AB538" s="118"/>
    </row>
    <row r="539" ht="15.75" customHeight="1">
      <c r="A539" s="159"/>
      <c r="B539" s="160"/>
      <c r="C539" s="155"/>
      <c r="D539" s="156" t="s">
        <v>1521</v>
      </c>
      <c r="E539" s="153">
        <v>0.0</v>
      </c>
      <c r="F539" s="157">
        <v>4.0</v>
      </c>
      <c r="G539" s="158" t="s">
        <v>1269</v>
      </c>
      <c r="H539" s="153">
        <v>4.0</v>
      </c>
      <c r="I539" s="118"/>
      <c r="J539" s="118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  <c r="AA539" s="118"/>
      <c r="AB539" s="118"/>
    </row>
    <row r="540" ht="15.75" customHeight="1">
      <c r="A540" s="159"/>
      <c r="B540" s="160"/>
      <c r="C540" s="155"/>
      <c r="D540" s="156" t="s">
        <v>1521</v>
      </c>
      <c r="E540" s="153">
        <v>0.0</v>
      </c>
      <c r="F540" s="157">
        <v>5.0</v>
      </c>
      <c r="G540" s="158" t="s">
        <v>1271</v>
      </c>
      <c r="H540" s="153">
        <v>5.0</v>
      </c>
      <c r="I540" s="118"/>
      <c r="J540" s="118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  <c r="AA540" s="118"/>
      <c r="AB540" s="118"/>
    </row>
    <row r="541" ht="15.75" customHeight="1">
      <c r="A541" s="159"/>
      <c r="B541" s="160"/>
      <c r="C541" s="155"/>
      <c r="D541" s="156" t="s">
        <v>1521</v>
      </c>
      <c r="E541" s="153">
        <v>0.0</v>
      </c>
      <c r="F541" s="157">
        <v>6.0</v>
      </c>
      <c r="G541" s="158" t="s">
        <v>1358</v>
      </c>
      <c r="H541" s="153">
        <v>6.0</v>
      </c>
      <c r="I541" s="118"/>
      <c r="J541" s="118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  <c r="AA541" s="118"/>
      <c r="AB541" s="118"/>
    </row>
    <row r="542" ht="15.75" customHeight="1">
      <c r="A542" s="159"/>
      <c r="B542" s="160"/>
      <c r="C542" s="155"/>
      <c r="D542" s="156" t="s">
        <v>1522</v>
      </c>
      <c r="E542" s="153">
        <v>0.0</v>
      </c>
      <c r="F542" s="157">
        <v>3.0</v>
      </c>
      <c r="G542" s="158" t="s">
        <v>1268</v>
      </c>
      <c r="H542" s="153">
        <v>3.0</v>
      </c>
      <c r="I542" s="118"/>
      <c r="J542" s="118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  <c r="AA542" s="118"/>
      <c r="AB542" s="118"/>
    </row>
    <row r="543" ht="15.75" customHeight="1">
      <c r="A543" s="159"/>
      <c r="B543" s="160"/>
      <c r="C543" s="155"/>
      <c r="D543" s="156" t="s">
        <v>1522</v>
      </c>
      <c r="E543" s="153">
        <v>0.0</v>
      </c>
      <c r="F543" s="157">
        <v>4.0</v>
      </c>
      <c r="G543" s="158" t="s">
        <v>1270</v>
      </c>
      <c r="H543" s="153">
        <v>5.0</v>
      </c>
      <c r="I543" s="118"/>
      <c r="J543" s="118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  <c r="AA543" s="118"/>
      <c r="AB543" s="118"/>
    </row>
    <row r="544" ht="15.75" customHeight="1">
      <c r="A544" s="159"/>
      <c r="B544" s="160"/>
      <c r="C544" s="155"/>
      <c r="D544" s="156" t="s">
        <v>1522</v>
      </c>
      <c r="E544" s="153">
        <v>0.0</v>
      </c>
      <c r="F544" s="157">
        <v>5.0</v>
      </c>
      <c r="G544" s="158" t="s">
        <v>1271</v>
      </c>
      <c r="H544" s="153">
        <v>6.0</v>
      </c>
      <c r="I544" s="118"/>
      <c r="J544" s="118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  <c r="AA544" s="118"/>
      <c r="AB544" s="118"/>
    </row>
    <row r="545" ht="15.75" customHeight="1">
      <c r="A545" s="159"/>
      <c r="B545" s="160"/>
      <c r="C545" s="155"/>
      <c r="D545" s="156" t="s">
        <v>1522</v>
      </c>
      <c r="E545" s="153">
        <v>0.0</v>
      </c>
      <c r="F545" s="157">
        <v>6.0</v>
      </c>
      <c r="G545" s="158" t="s">
        <v>1358</v>
      </c>
      <c r="H545" s="153">
        <v>7.0</v>
      </c>
      <c r="I545" s="118"/>
      <c r="J545" s="118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  <c r="AA545" s="118"/>
      <c r="AB545" s="118"/>
    </row>
    <row r="546" ht="15.75" customHeight="1">
      <c r="A546" s="159"/>
      <c r="B546" s="160"/>
      <c r="C546" s="155"/>
      <c r="D546" s="156" t="s">
        <v>1522</v>
      </c>
      <c r="E546" s="153">
        <v>0.0</v>
      </c>
      <c r="F546" s="157">
        <v>7.0</v>
      </c>
      <c r="G546" s="158" t="s">
        <v>1274</v>
      </c>
      <c r="H546" s="153">
        <v>1.0</v>
      </c>
      <c r="I546" s="118"/>
      <c r="J546" s="118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  <c r="AA546" s="118"/>
      <c r="AB546" s="118"/>
    </row>
    <row r="547" ht="15.75" customHeight="1">
      <c r="A547" s="159"/>
      <c r="B547" s="160"/>
      <c r="C547" s="155"/>
      <c r="D547" s="156" t="s">
        <v>1522</v>
      </c>
      <c r="E547" s="153">
        <v>0.0</v>
      </c>
      <c r="F547" s="157">
        <v>8.0</v>
      </c>
      <c r="G547" s="158" t="s">
        <v>1359</v>
      </c>
      <c r="H547" s="153">
        <v>2.0</v>
      </c>
      <c r="I547" s="118"/>
      <c r="J547" s="118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  <c r="AA547" s="118"/>
      <c r="AB547" s="118"/>
    </row>
    <row r="548" ht="15.75" customHeight="1">
      <c r="A548" s="159"/>
      <c r="B548" s="160"/>
      <c r="C548" s="155"/>
      <c r="D548" s="156" t="s">
        <v>1522</v>
      </c>
      <c r="E548" s="153">
        <v>0.0</v>
      </c>
      <c r="F548" s="157">
        <v>9.0</v>
      </c>
      <c r="G548" s="158" t="s">
        <v>1277</v>
      </c>
      <c r="H548" s="153">
        <v>4.0</v>
      </c>
      <c r="I548" s="118"/>
      <c r="J548" s="118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</row>
    <row r="549" ht="15.75" customHeight="1">
      <c r="A549" s="159"/>
      <c r="B549" s="160"/>
      <c r="C549" s="155"/>
      <c r="D549" s="156" t="s">
        <v>1523</v>
      </c>
      <c r="E549" s="153">
        <v>0.0</v>
      </c>
      <c r="F549" s="157">
        <v>1.0</v>
      </c>
      <c r="G549" s="158" t="s">
        <v>1524</v>
      </c>
      <c r="H549" s="153" t="s">
        <v>1391</v>
      </c>
      <c r="I549" s="118"/>
      <c r="J549" s="118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  <c r="AA549" s="118"/>
      <c r="AB549" s="118"/>
    </row>
    <row r="550" ht="15.75" customHeight="1">
      <c r="A550" s="159"/>
      <c r="B550" s="160"/>
      <c r="C550" s="155"/>
      <c r="D550" s="156" t="s">
        <v>1523</v>
      </c>
      <c r="E550" s="153">
        <v>0.0</v>
      </c>
      <c r="F550" s="157">
        <v>2.0</v>
      </c>
      <c r="G550" s="158" t="s">
        <v>1525</v>
      </c>
      <c r="H550" s="153" t="s">
        <v>1398</v>
      </c>
      <c r="I550" s="118"/>
      <c r="J550" s="118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  <c r="AA550" s="118"/>
      <c r="AB550" s="118"/>
    </row>
    <row r="551" ht="15.75" customHeight="1">
      <c r="A551" s="159"/>
      <c r="B551" s="160"/>
      <c r="C551" s="155"/>
      <c r="D551" s="156" t="s">
        <v>1523</v>
      </c>
      <c r="E551" s="153">
        <v>0.0</v>
      </c>
      <c r="F551" s="157">
        <v>3.0</v>
      </c>
      <c r="G551" s="158" t="s">
        <v>1526</v>
      </c>
      <c r="H551" s="153" t="s">
        <v>1394</v>
      </c>
      <c r="I551" s="118"/>
      <c r="J551" s="118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  <c r="AA551" s="118"/>
      <c r="AB551" s="118"/>
    </row>
    <row r="552" ht="15.75" customHeight="1">
      <c r="A552" s="159"/>
      <c r="B552" s="160"/>
      <c r="C552" s="155"/>
      <c r="D552" s="156" t="s">
        <v>1523</v>
      </c>
      <c r="E552" s="153">
        <v>0.0</v>
      </c>
      <c r="F552" s="157">
        <v>5.0</v>
      </c>
      <c r="G552" s="158" t="s">
        <v>1527</v>
      </c>
      <c r="H552" s="153" t="s">
        <v>1528</v>
      </c>
      <c r="I552" s="118"/>
      <c r="J552" s="118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  <c r="AA552" s="118"/>
      <c r="AB552" s="118"/>
    </row>
    <row r="553" ht="15.75" customHeight="1">
      <c r="A553" s="159"/>
      <c r="B553" s="160"/>
      <c r="C553" s="155"/>
      <c r="D553" s="156" t="s">
        <v>1523</v>
      </c>
      <c r="E553" s="153">
        <v>0.0</v>
      </c>
      <c r="F553" s="157">
        <v>14.0</v>
      </c>
      <c r="G553" s="158" t="s">
        <v>1283</v>
      </c>
      <c r="H553" s="153" t="s">
        <v>1397</v>
      </c>
      <c r="I553" s="118"/>
      <c r="J553" s="118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  <c r="AA553" s="118"/>
      <c r="AB553" s="118"/>
    </row>
    <row r="554" ht="15.75" customHeight="1">
      <c r="A554" s="159"/>
      <c r="B554" s="160"/>
      <c r="C554" s="155"/>
      <c r="D554" s="156" t="s">
        <v>1529</v>
      </c>
      <c r="E554" s="153">
        <v>0.0</v>
      </c>
      <c r="F554" s="157">
        <v>1.0</v>
      </c>
      <c r="G554" s="158" t="s">
        <v>1530</v>
      </c>
      <c r="H554" s="153" t="s">
        <v>1391</v>
      </c>
      <c r="I554" s="118"/>
      <c r="J554" s="118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  <c r="AA554" s="118"/>
      <c r="AB554" s="118"/>
    </row>
    <row r="555" ht="15.75" customHeight="1">
      <c r="A555" s="159"/>
      <c r="B555" s="160"/>
      <c r="C555" s="155"/>
      <c r="D555" s="156" t="s">
        <v>1529</v>
      </c>
      <c r="E555" s="153">
        <v>0.0</v>
      </c>
      <c r="F555" s="157">
        <v>2.0</v>
      </c>
      <c r="G555" s="158" t="s">
        <v>1531</v>
      </c>
      <c r="H555" s="153" t="s">
        <v>1398</v>
      </c>
      <c r="I555" s="118"/>
      <c r="J555" s="118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  <c r="AA555" s="118"/>
      <c r="AB555" s="118"/>
    </row>
    <row r="556" ht="15.75" customHeight="1">
      <c r="A556" s="159"/>
      <c r="B556" s="160"/>
      <c r="C556" s="155"/>
      <c r="D556" s="156" t="s">
        <v>1529</v>
      </c>
      <c r="E556" s="153">
        <v>0.0</v>
      </c>
      <c r="F556" s="157">
        <v>3.0</v>
      </c>
      <c r="G556" s="158" t="s">
        <v>1532</v>
      </c>
      <c r="H556" s="153" t="s">
        <v>1394</v>
      </c>
      <c r="I556" s="118"/>
      <c r="J556" s="118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  <c r="AA556" s="118"/>
      <c r="AB556" s="118"/>
    </row>
    <row r="557" ht="15.75" customHeight="1">
      <c r="A557" s="159"/>
      <c r="B557" s="160"/>
      <c r="C557" s="155"/>
      <c r="D557" s="156" t="s">
        <v>1529</v>
      </c>
      <c r="E557" s="153">
        <v>0.0</v>
      </c>
      <c r="F557" s="157">
        <v>4.0</v>
      </c>
      <c r="G557" s="158" t="s">
        <v>1269</v>
      </c>
      <c r="H557" s="153" t="s">
        <v>1394</v>
      </c>
      <c r="I557" s="118"/>
      <c r="J557" s="118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  <c r="AA557" s="118"/>
      <c r="AB557" s="118"/>
    </row>
    <row r="558" ht="15.75" customHeight="1">
      <c r="A558" s="159"/>
      <c r="B558" s="160"/>
      <c r="C558" s="155"/>
      <c r="D558" s="156" t="s">
        <v>1529</v>
      </c>
      <c r="E558" s="153">
        <v>0.0</v>
      </c>
      <c r="F558" s="157">
        <v>5.0</v>
      </c>
      <c r="G558" s="158" t="s">
        <v>1415</v>
      </c>
      <c r="H558" s="153" t="s">
        <v>1528</v>
      </c>
      <c r="I558" s="118"/>
      <c r="J558" s="118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  <c r="AA558" s="118"/>
      <c r="AB558" s="118"/>
    </row>
    <row r="559" ht="15.75" customHeight="1">
      <c r="A559" s="159"/>
      <c r="B559" s="160"/>
      <c r="C559" s="155"/>
      <c r="D559" s="156" t="s">
        <v>1533</v>
      </c>
      <c r="E559" s="153">
        <v>0.0</v>
      </c>
      <c r="F559" s="157">
        <v>1.0</v>
      </c>
      <c r="G559" s="158" t="s">
        <v>1263</v>
      </c>
      <c r="H559" s="153">
        <v>1.0</v>
      </c>
      <c r="I559" s="118"/>
      <c r="J559" s="118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  <c r="AA559" s="118"/>
      <c r="AB559" s="118"/>
    </row>
    <row r="560" ht="15.75" customHeight="1">
      <c r="A560" s="159"/>
      <c r="B560" s="160"/>
      <c r="C560" s="155"/>
      <c r="D560" s="156" t="s">
        <v>1533</v>
      </c>
      <c r="E560" s="153">
        <v>0.0</v>
      </c>
      <c r="F560" s="157">
        <v>2.0</v>
      </c>
      <c r="G560" s="158" t="s">
        <v>1266</v>
      </c>
      <c r="H560" s="153">
        <v>2.0</v>
      </c>
      <c r="I560" s="118"/>
      <c r="J560" s="118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  <c r="AA560" s="118"/>
      <c r="AB560" s="118"/>
    </row>
    <row r="561" ht="15.75" customHeight="1">
      <c r="A561" s="159"/>
      <c r="B561" s="160"/>
      <c r="C561" s="155"/>
      <c r="D561" s="156" t="s">
        <v>1533</v>
      </c>
      <c r="E561" s="153">
        <v>0.0</v>
      </c>
      <c r="F561" s="157">
        <v>3.0</v>
      </c>
      <c r="G561" s="158" t="s">
        <v>1268</v>
      </c>
      <c r="H561" s="153">
        <v>3.0</v>
      </c>
      <c r="I561" s="118"/>
      <c r="J561" s="118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  <c r="AA561" s="118"/>
      <c r="AB561" s="118"/>
    </row>
    <row r="562" ht="15.75" customHeight="1">
      <c r="A562" s="159"/>
      <c r="B562" s="160"/>
      <c r="C562" s="155"/>
      <c r="D562" s="156" t="s">
        <v>1533</v>
      </c>
      <c r="E562" s="153">
        <v>0.0</v>
      </c>
      <c r="F562" s="157">
        <v>4.0</v>
      </c>
      <c r="G562" s="158" t="s">
        <v>1269</v>
      </c>
      <c r="H562" s="153">
        <v>4.0</v>
      </c>
      <c r="I562" s="118"/>
      <c r="J562" s="118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  <c r="AA562" s="118"/>
      <c r="AB562" s="118"/>
    </row>
    <row r="563" ht="15.75" customHeight="1">
      <c r="A563" s="159"/>
      <c r="B563" s="160"/>
      <c r="C563" s="155"/>
      <c r="D563" s="156" t="s">
        <v>1533</v>
      </c>
      <c r="E563" s="153">
        <v>0.0</v>
      </c>
      <c r="F563" s="157">
        <v>5.0</v>
      </c>
      <c r="G563" s="158" t="s">
        <v>1271</v>
      </c>
      <c r="H563" s="153">
        <v>5.0</v>
      </c>
      <c r="I563" s="118"/>
      <c r="J563" s="118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  <c r="AA563" s="118"/>
      <c r="AB563" s="118"/>
    </row>
    <row r="564" ht="15.75" customHeight="1">
      <c r="A564" s="159"/>
      <c r="B564" s="160"/>
      <c r="C564" s="155"/>
      <c r="D564" s="156" t="s">
        <v>1533</v>
      </c>
      <c r="E564" s="153">
        <v>0.0</v>
      </c>
      <c r="F564" s="157">
        <v>6.0</v>
      </c>
      <c r="G564" s="158" t="s">
        <v>1273</v>
      </c>
      <c r="H564" s="153">
        <v>6.0</v>
      </c>
      <c r="I564" s="118"/>
      <c r="J564" s="118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  <c r="AA564" s="118"/>
      <c r="AB564" s="118"/>
    </row>
    <row r="565" ht="15.75" customHeight="1">
      <c r="A565" s="159"/>
      <c r="B565" s="160"/>
      <c r="C565" s="155"/>
      <c r="D565" s="156" t="s">
        <v>1534</v>
      </c>
      <c r="E565" s="153">
        <v>0.0</v>
      </c>
      <c r="F565" s="157">
        <v>1.0</v>
      </c>
      <c r="G565" s="158" t="s">
        <v>1263</v>
      </c>
      <c r="H565" s="153">
        <v>1.0</v>
      </c>
      <c r="I565" s="118"/>
      <c r="J565" s="118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  <c r="AA565" s="118"/>
      <c r="AB565" s="118"/>
    </row>
    <row r="566" ht="15.75" customHeight="1">
      <c r="A566" s="159"/>
      <c r="B566" s="160"/>
      <c r="C566" s="155"/>
      <c r="D566" s="156" t="s">
        <v>1534</v>
      </c>
      <c r="E566" s="153">
        <v>0.0</v>
      </c>
      <c r="F566" s="157">
        <v>2.0</v>
      </c>
      <c r="G566" s="158" t="s">
        <v>1266</v>
      </c>
      <c r="H566" s="153">
        <v>2.0</v>
      </c>
      <c r="I566" s="118"/>
      <c r="J566" s="118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  <c r="AA566" s="118"/>
      <c r="AB566" s="118"/>
    </row>
    <row r="567" ht="15.75" customHeight="1">
      <c r="A567" s="159"/>
      <c r="B567" s="160"/>
      <c r="C567" s="155"/>
      <c r="D567" s="156" t="s">
        <v>1534</v>
      </c>
      <c r="E567" s="153">
        <v>0.0</v>
      </c>
      <c r="F567" s="157">
        <v>3.0</v>
      </c>
      <c r="G567" s="158" t="s">
        <v>1268</v>
      </c>
      <c r="H567" s="153">
        <v>3.0</v>
      </c>
      <c r="I567" s="118"/>
      <c r="J567" s="118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  <c r="AA567" s="118"/>
      <c r="AB567" s="118"/>
    </row>
    <row r="568" ht="15.75" customHeight="1">
      <c r="A568" s="159"/>
      <c r="B568" s="160"/>
      <c r="C568" s="155"/>
      <c r="D568" s="156" t="s">
        <v>1534</v>
      </c>
      <c r="E568" s="153">
        <v>0.0</v>
      </c>
      <c r="F568" s="157">
        <v>4.0</v>
      </c>
      <c r="G568" s="158" t="s">
        <v>1269</v>
      </c>
      <c r="H568" s="153">
        <v>4.0</v>
      </c>
      <c r="I568" s="118"/>
      <c r="J568" s="118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  <c r="AA568" s="118"/>
      <c r="AB568" s="118"/>
    </row>
    <row r="569" ht="15.75" customHeight="1">
      <c r="A569" s="159"/>
      <c r="B569" s="160"/>
      <c r="C569" s="155"/>
      <c r="D569" s="156" t="s">
        <v>1534</v>
      </c>
      <c r="E569" s="153">
        <v>0.0</v>
      </c>
      <c r="F569" s="157">
        <v>5.0</v>
      </c>
      <c r="G569" s="158" t="s">
        <v>1271</v>
      </c>
      <c r="H569" s="153">
        <v>5.0</v>
      </c>
      <c r="I569" s="118"/>
      <c r="J569" s="118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  <c r="AA569" s="118"/>
      <c r="AB569" s="118"/>
    </row>
    <row r="570" ht="15.75" customHeight="1">
      <c r="A570" s="159"/>
      <c r="B570" s="160"/>
      <c r="C570" s="155"/>
      <c r="D570" s="156" t="s">
        <v>1534</v>
      </c>
      <c r="E570" s="153">
        <v>0.0</v>
      </c>
      <c r="F570" s="157">
        <v>6.0</v>
      </c>
      <c r="G570" s="158" t="s">
        <v>1273</v>
      </c>
      <c r="H570" s="153">
        <v>6.0</v>
      </c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  <c r="AA570" s="118"/>
      <c r="AB570" s="118"/>
    </row>
    <row r="571" ht="15.75" customHeight="1">
      <c r="A571" s="159"/>
      <c r="B571" s="160"/>
      <c r="C571" s="155"/>
      <c r="D571" s="156" t="s">
        <v>1535</v>
      </c>
      <c r="E571" s="153">
        <v>0.0</v>
      </c>
      <c r="F571" s="157">
        <v>1.0</v>
      </c>
      <c r="G571" s="158" t="s">
        <v>1263</v>
      </c>
      <c r="H571" s="153">
        <v>1.0</v>
      </c>
      <c r="I571" s="118"/>
      <c r="J571" s="118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  <c r="AA571" s="118"/>
      <c r="AB571" s="118"/>
    </row>
    <row r="572" ht="15.75" customHeight="1">
      <c r="A572" s="159"/>
      <c r="B572" s="160"/>
      <c r="C572" s="155"/>
      <c r="D572" s="156" t="s">
        <v>1535</v>
      </c>
      <c r="E572" s="153">
        <v>0.0</v>
      </c>
      <c r="F572" s="157">
        <v>2.0</v>
      </c>
      <c r="G572" s="158" t="s">
        <v>1266</v>
      </c>
      <c r="H572" s="153">
        <v>2.0</v>
      </c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  <c r="AA572" s="118"/>
      <c r="AB572" s="118"/>
    </row>
    <row r="573" ht="15.75" customHeight="1">
      <c r="A573" s="159"/>
      <c r="B573" s="160"/>
      <c r="C573" s="155"/>
      <c r="D573" s="156" t="s">
        <v>1535</v>
      </c>
      <c r="E573" s="153">
        <v>0.0</v>
      </c>
      <c r="F573" s="157">
        <v>3.0</v>
      </c>
      <c r="G573" s="158" t="s">
        <v>1268</v>
      </c>
      <c r="H573" s="153">
        <v>3.0</v>
      </c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  <c r="AA573" s="118"/>
      <c r="AB573" s="118"/>
    </row>
    <row r="574" ht="15.75" customHeight="1">
      <c r="A574" s="159"/>
      <c r="B574" s="160"/>
      <c r="C574" s="155"/>
      <c r="D574" s="156" t="s">
        <v>1535</v>
      </c>
      <c r="E574" s="153">
        <v>0.0</v>
      </c>
      <c r="F574" s="157">
        <v>4.0</v>
      </c>
      <c r="G574" s="158" t="s">
        <v>1269</v>
      </c>
      <c r="H574" s="153">
        <v>4.0</v>
      </c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  <c r="AA574" s="118"/>
      <c r="AB574" s="118"/>
    </row>
    <row r="575" ht="15.75" customHeight="1">
      <c r="A575" s="159"/>
      <c r="B575" s="160"/>
      <c r="C575" s="155"/>
      <c r="D575" s="156" t="s">
        <v>1535</v>
      </c>
      <c r="E575" s="153">
        <v>0.0</v>
      </c>
      <c r="F575" s="157">
        <v>5.0</v>
      </c>
      <c r="G575" s="158" t="s">
        <v>1271</v>
      </c>
      <c r="H575" s="153">
        <v>5.0</v>
      </c>
      <c r="I575" s="118"/>
      <c r="J575" s="118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  <c r="AA575" s="118"/>
      <c r="AB575" s="118"/>
    </row>
    <row r="576" ht="15.75" customHeight="1">
      <c r="A576" s="159"/>
      <c r="B576" s="160"/>
      <c r="C576" s="155"/>
      <c r="D576" s="156" t="s">
        <v>1535</v>
      </c>
      <c r="E576" s="153">
        <v>0.0</v>
      </c>
      <c r="F576" s="157">
        <v>6.0</v>
      </c>
      <c r="G576" s="158" t="s">
        <v>1273</v>
      </c>
      <c r="H576" s="153">
        <v>6.0</v>
      </c>
      <c r="I576" s="118"/>
      <c r="J576" s="118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  <c r="AA576" s="118"/>
      <c r="AB576" s="118"/>
    </row>
    <row r="577" ht="15.75" customHeight="1">
      <c r="A577" s="159"/>
      <c r="B577" s="160"/>
      <c r="C577" s="155"/>
      <c r="D577" s="156" t="s">
        <v>1536</v>
      </c>
      <c r="E577" s="153">
        <v>0.0</v>
      </c>
      <c r="F577" s="157">
        <v>3.0</v>
      </c>
      <c r="G577" s="158" t="s">
        <v>1268</v>
      </c>
      <c r="H577" s="153">
        <v>3.0</v>
      </c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  <c r="AA577" s="118"/>
      <c r="AB577" s="118"/>
    </row>
    <row r="578" ht="15.75" customHeight="1">
      <c r="A578" s="159"/>
      <c r="B578" s="160"/>
      <c r="C578" s="155"/>
      <c r="D578" s="156" t="s">
        <v>1536</v>
      </c>
      <c r="E578" s="153">
        <v>0.0</v>
      </c>
      <c r="F578" s="157">
        <v>4.0</v>
      </c>
      <c r="G578" s="158" t="s">
        <v>1270</v>
      </c>
      <c r="H578" s="153">
        <v>5.0</v>
      </c>
      <c r="I578" s="118"/>
      <c r="J578" s="118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  <c r="AA578" s="118"/>
      <c r="AB578" s="118"/>
    </row>
    <row r="579" ht="15.75" customHeight="1">
      <c r="A579" s="159"/>
      <c r="B579" s="160"/>
      <c r="C579" s="155"/>
      <c r="D579" s="156" t="s">
        <v>1536</v>
      </c>
      <c r="E579" s="153">
        <v>0.0</v>
      </c>
      <c r="F579" s="157">
        <v>5.0</v>
      </c>
      <c r="G579" s="158" t="s">
        <v>1271</v>
      </c>
      <c r="H579" s="153">
        <v>6.0</v>
      </c>
      <c r="I579" s="118"/>
      <c r="J579" s="118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  <c r="AA579" s="118"/>
      <c r="AB579" s="118"/>
    </row>
    <row r="580" ht="15.75" customHeight="1">
      <c r="A580" s="159"/>
      <c r="B580" s="160"/>
      <c r="C580" s="155"/>
      <c r="D580" s="156" t="s">
        <v>1536</v>
      </c>
      <c r="E580" s="153">
        <v>0.0</v>
      </c>
      <c r="F580" s="157">
        <v>6.0</v>
      </c>
      <c r="G580" s="158" t="s">
        <v>1273</v>
      </c>
      <c r="H580" s="153">
        <v>7.0</v>
      </c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  <c r="AA580" s="118"/>
      <c r="AB580" s="118"/>
    </row>
    <row r="581" ht="15.75" customHeight="1">
      <c r="A581" s="159"/>
      <c r="B581" s="160"/>
      <c r="C581" s="155"/>
      <c r="D581" s="156" t="s">
        <v>1536</v>
      </c>
      <c r="E581" s="153">
        <v>0.0</v>
      </c>
      <c r="F581" s="157">
        <v>7.0</v>
      </c>
      <c r="G581" s="158" t="s">
        <v>1274</v>
      </c>
      <c r="H581" s="153">
        <v>1.0</v>
      </c>
      <c r="I581" s="118"/>
      <c r="J581" s="118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  <c r="AA581" s="118"/>
      <c r="AB581" s="118"/>
    </row>
    <row r="582" ht="15.75" customHeight="1">
      <c r="A582" s="159"/>
      <c r="B582" s="160"/>
      <c r="C582" s="155"/>
      <c r="D582" s="156" t="s">
        <v>1536</v>
      </c>
      <c r="E582" s="153">
        <v>0.0</v>
      </c>
      <c r="F582" s="157">
        <v>8.0</v>
      </c>
      <c r="G582" s="158" t="s">
        <v>1276</v>
      </c>
      <c r="H582" s="153">
        <v>2.0</v>
      </c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  <c r="AA582" s="118"/>
      <c r="AB582" s="118"/>
    </row>
    <row r="583" ht="15.75" customHeight="1">
      <c r="A583" s="159"/>
      <c r="B583" s="160"/>
      <c r="C583" s="155"/>
      <c r="D583" s="156" t="s">
        <v>1536</v>
      </c>
      <c r="E583" s="153">
        <v>0.0</v>
      </c>
      <c r="F583" s="157">
        <v>9.0</v>
      </c>
      <c r="G583" s="158" t="s">
        <v>1277</v>
      </c>
      <c r="H583" s="153">
        <v>4.0</v>
      </c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  <c r="AA583" s="118"/>
      <c r="AB583" s="118"/>
    </row>
    <row r="584" ht="15.75" customHeight="1">
      <c r="A584" s="159"/>
      <c r="B584" s="160"/>
      <c r="C584" s="155"/>
      <c r="D584" s="156" t="s">
        <v>1537</v>
      </c>
      <c r="E584" s="153">
        <v>0.0</v>
      </c>
      <c r="F584" s="157">
        <v>3.0</v>
      </c>
      <c r="G584" s="158" t="s">
        <v>1268</v>
      </c>
      <c r="H584" s="153">
        <v>3.0</v>
      </c>
      <c r="I584" s="118"/>
      <c r="J584" s="118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  <c r="AA584" s="118"/>
      <c r="AB584" s="118"/>
    </row>
    <row r="585" ht="15.75" customHeight="1">
      <c r="A585" s="159"/>
      <c r="B585" s="160"/>
      <c r="C585" s="155"/>
      <c r="D585" s="156" t="s">
        <v>1537</v>
      </c>
      <c r="E585" s="153">
        <v>0.0</v>
      </c>
      <c r="F585" s="157">
        <v>4.0</v>
      </c>
      <c r="G585" s="158" t="s">
        <v>1270</v>
      </c>
      <c r="H585" s="153">
        <v>5.0</v>
      </c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  <c r="AA585" s="118"/>
      <c r="AB585" s="118"/>
    </row>
    <row r="586" ht="15.75" customHeight="1">
      <c r="A586" s="159"/>
      <c r="B586" s="160"/>
      <c r="C586" s="155"/>
      <c r="D586" s="156" t="s">
        <v>1537</v>
      </c>
      <c r="E586" s="153">
        <v>0.0</v>
      </c>
      <c r="F586" s="157">
        <v>5.0</v>
      </c>
      <c r="G586" s="158" t="s">
        <v>1271</v>
      </c>
      <c r="H586" s="153">
        <v>6.0</v>
      </c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</row>
    <row r="587" ht="15.75" customHeight="1">
      <c r="A587" s="159"/>
      <c r="B587" s="160"/>
      <c r="C587" s="155"/>
      <c r="D587" s="156" t="s">
        <v>1537</v>
      </c>
      <c r="E587" s="153">
        <v>0.0</v>
      </c>
      <c r="F587" s="157">
        <v>6.0</v>
      </c>
      <c r="G587" s="158" t="s">
        <v>1273</v>
      </c>
      <c r="H587" s="153">
        <v>7.0</v>
      </c>
      <c r="I587" s="118"/>
      <c r="J587" s="118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  <c r="AA587" s="118"/>
      <c r="AB587" s="118"/>
    </row>
    <row r="588" ht="15.75" customHeight="1">
      <c r="A588" s="159"/>
      <c r="B588" s="160"/>
      <c r="C588" s="155"/>
      <c r="D588" s="156" t="s">
        <v>1537</v>
      </c>
      <c r="E588" s="153">
        <v>0.0</v>
      </c>
      <c r="F588" s="157">
        <v>7.0</v>
      </c>
      <c r="G588" s="158" t="s">
        <v>1274</v>
      </c>
      <c r="H588" s="153">
        <v>1.0</v>
      </c>
      <c r="I588" s="118"/>
      <c r="J588" s="118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  <c r="AA588" s="118"/>
      <c r="AB588" s="118"/>
    </row>
    <row r="589" ht="15.75" customHeight="1">
      <c r="A589" s="159"/>
      <c r="B589" s="160"/>
      <c r="C589" s="155"/>
      <c r="D589" s="156" t="s">
        <v>1537</v>
      </c>
      <c r="E589" s="153">
        <v>0.0</v>
      </c>
      <c r="F589" s="157">
        <v>8.0</v>
      </c>
      <c r="G589" s="158" t="s">
        <v>1276</v>
      </c>
      <c r="H589" s="153">
        <v>2.0</v>
      </c>
      <c r="I589" s="118"/>
      <c r="J589" s="118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  <c r="AA589" s="118"/>
      <c r="AB589" s="118"/>
    </row>
    <row r="590" ht="15.75" customHeight="1">
      <c r="A590" s="159"/>
      <c r="B590" s="160"/>
      <c r="C590" s="155"/>
      <c r="D590" s="156" t="s">
        <v>1537</v>
      </c>
      <c r="E590" s="153">
        <v>0.0</v>
      </c>
      <c r="F590" s="157">
        <v>9.0</v>
      </c>
      <c r="G590" s="158" t="s">
        <v>1277</v>
      </c>
      <c r="H590" s="153">
        <v>4.0</v>
      </c>
      <c r="I590" s="118"/>
      <c r="J590" s="118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  <c r="AA590" s="118"/>
      <c r="AB590" s="118"/>
    </row>
    <row r="591" ht="15.75" customHeight="1">
      <c r="A591" s="159"/>
      <c r="B591" s="160"/>
      <c r="C591" s="155"/>
      <c r="D591" s="156" t="s">
        <v>1538</v>
      </c>
      <c r="E591" s="153">
        <v>0.0</v>
      </c>
      <c r="F591" s="157">
        <v>1.0</v>
      </c>
      <c r="G591" s="158" t="s">
        <v>1263</v>
      </c>
      <c r="H591" s="153">
        <v>1.0</v>
      </c>
      <c r="I591" s="118"/>
      <c r="J591" s="118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  <c r="AA591" s="118"/>
      <c r="AB591" s="118"/>
    </row>
    <row r="592" ht="15.75" customHeight="1">
      <c r="A592" s="159"/>
      <c r="B592" s="160"/>
      <c r="C592" s="155"/>
      <c r="D592" s="156" t="s">
        <v>1538</v>
      </c>
      <c r="E592" s="153">
        <v>0.0</v>
      </c>
      <c r="F592" s="157">
        <v>2.0</v>
      </c>
      <c r="G592" s="158" t="s">
        <v>1266</v>
      </c>
      <c r="H592" s="153">
        <v>2.0</v>
      </c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  <c r="AA592" s="118"/>
      <c r="AB592" s="118"/>
    </row>
    <row r="593" ht="15.75" customHeight="1">
      <c r="A593" s="159"/>
      <c r="B593" s="160"/>
      <c r="C593" s="155"/>
      <c r="D593" s="156" t="s">
        <v>1538</v>
      </c>
      <c r="E593" s="153">
        <v>0.0</v>
      </c>
      <c r="F593" s="157">
        <v>3.0</v>
      </c>
      <c r="G593" s="158" t="s">
        <v>1268</v>
      </c>
      <c r="H593" s="153">
        <v>3.0</v>
      </c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  <c r="AA593" s="118"/>
      <c r="AB593" s="118"/>
    </row>
    <row r="594" ht="15.75" customHeight="1">
      <c r="A594" s="159"/>
      <c r="B594" s="160"/>
      <c r="C594" s="155"/>
      <c r="D594" s="156" t="s">
        <v>1538</v>
      </c>
      <c r="E594" s="153">
        <v>0.0</v>
      </c>
      <c r="F594" s="157">
        <v>4.0</v>
      </c>
      <c r="G594" s="158" t="s">
        <v>1269</v>
      </c>
      <c r="H594" s="153">
        <v>4.0</v>
      </c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  <c r="AA594" s="118"/>
      <c r="AB594" s="118"/>
    </row>
    <row r="595" ht="15.75" customHeight="1">
      <c r="A595" s="159"/>
      <c r="B595" s="160"/>
      <c r="C595" s="155"/>
      <c r="D595" s="156" t="s">
        <v>1538</v>
      </c>
      <c r="E595" s="153">
        <v>0.0</v>
      </c>
      <c r="F595" s="157">
        <v>5.0</v>
      </c>
      <c r="G595" s="158" t="s">
        <v>1271</v>
      </c>
      <c r="H595" s="153">
        <v>5.0</v>
      </c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  <c r="AA595" s="118"/>
      <c r="AB595" s="118"/>
    </row>
    <row r="596" ht="15.75" customHeight="1">
      <c r="A596" s="159"/>
      <c r="B596" s="160"/>
      <c r="C596" s="155"/>
      <c r="D596" s="156" t="s">
        <v>1538</v>
      </c>
      <c r="E596" s="153">
        <v>0.0</v>
      </c>
      <c r="F596" s="157">
        <v>6.0</v>
      </c>
      <c r="G596" s="158" t="s">
        <v>1273</v>
      </c>
      <c r="H596" s="153">
        <v>6.0</v>
      </c>
      <c r="I596" s="118"/>
      <c r="J596" s="118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  <c r="AA596" s="118"/>
      <c r="AB596" s="118"/>
    </row>
    <row r="597" ht="15.75" customHeight="1">
      <c r="A597" s="159"/>
      <c r="B597" s="160"/>
      <c r="C597" s="155"/>
      <c r="D597" s="156" t="s">
        <v>1539</v>
      </c>
      <c r="E597" s="153">
        <v>0.0</v>
      </c>
      <c r="F597" s="157">
        <v>1.0</v>
      </c>
      <c r="G597" s="158" t="s">
        <v>1540</v>
      </c>
      <c r="H597" s="153">
        <v>101.0</v>
      </c>
      <c r="I597" s="118"/>
      <c r="J597" s="118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  <c r="AA597" s="118"/>
      <c r="AB597" s="118"/>
    </row>
    <row r="598" ht="15.75" customHeight="1">
      <c r="A598" s="159"/>
      <c r="B598" s="160"/>
      <c r="C598" s="155"/>
      <c r="D598" s="156" t="s">
        <v>1539</v>
      </c>
      <c r="E598" s="153">
        <v>0.0</v>
      </c>
      <c r="F598" s="157">
        <v>2.0</v>
      </c>
      <c r="G598" s="158" t="s">
        <v>1541</v>
      </c>
      <c r="H598" s="153">
        <v>111.0</v>
      </c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  <c r="AA598" s="118"/>
      <c r="AB598" s="118"/>
    </row>
    <row r="599" ht="15.75" customHeight="1">
      <c r="A599" s="159"/>
      <c r="B599" s="160"/>
      <c r="C599" s="155"/>
      <c r="D599" s="156" t="s">
        <v>1539</v>
      </c>
      <c r="E599" s="153">
        <v>0.0</v>
      </c>
      <c r="F599" s="157">
        <v>3.0</v>
      </c>
      <c r="G599" s="158" t="s">
        <v>1542</v>
      </c>
      <c r="H599" s="153">
        <v>301.0</v>
      </c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  <c r="AA599" s="118"/>
      <c r="AB599" s="118"/>
    </row>
    <row r="600" ht="15.75" customHeight="1">
      <c r="A600" s="159"/>
      <c r="B600" s="160"/>
      <c r="C600" s="155"/>
      <c r="D600" s="156" t="s">
        <v>1539</v>
      </c>
      <c r="E600" s="153">
        <v>0.0</v>
      </c>
      <c r="F600" s="157">
        <v>10.0</v>
      </c>
      <c r="G600" s="158" t="s">
        <v>1543</v>
      </c>
      <c r="H600" s="153">
        <v>121.0</v>
      </c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  <c r="AA600" s="118"/>
      <c r="AB600" s="118"/>
    </row>
    <row r="601" ht="15.75" customHeight="1">
      <c r="A601" s="159"/>
      <c r="B601" s="160"/>
      <c r="C601" s="155"/>
      <c r="D601" s="156" t="s">
        <v>1539</v>
      </c>
      <c r="E601" s="153">
        <v>0.0</v>
      </c>
      <c r="F601" s="157">
        <v>15.0</v>
      </c>
      <c r="G601" s="158" t="s">
        <v>1284</v>
      </c>
      <c r="H601" s="153">
        <v>201.0</v>
      </c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  <c r="AA601" s="118"/>
      <c r="AB601" s="118"/>
    </row>
    <row r="602" ht="15.75" customHeight="1">
      <c r="A602" s="159"/>
      <c r="B602" s="160"/>
      <c r="C602" s="155"/>
      <c r="D602" s="156" t="s">
        <v>1539</v>
      </c>
      <c r="E602" s="153">
        <v>0.0</v>
      </c>
      <c r="F602" s="157">
        <v>17.0</v>
      </c>
      <c r="G602" s="158" t="s">
        <v>1544</v>
      </c>
      <c r="H602" s="153">
        <v>541.0</v>
      </c>
      <c r="I602" s="118"/>
      <c r="J602" s="118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  <c r="AA602" s="118"/>
      <c r="AB602" s="118"/>
    </row>
    <row r="603" ht="15.75" customHeight="1">
      <c r="A603" s="159"/>
      <c r="B603" s="160"/>
      <c r="C603" s="155"/>
      <c r="D603" s="156" t="s">
        <v>1539</v>
      </c>
      <c r="E603" s="153">
        <v>0.0</v>
      </c>
      <c r="F603" s="157">
        <v>502.0</v>
      </c>
      <c r="G603" s="158" t="s">
        <v>1353</v>
      </c>
      <c r="H603" s="153">
        <v>511.0</v>
      </c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  <c r="AA603" s="118"/>
      <c r="AB603" s="118"/>
    </row>
    <row r="604" ht="15.75" customHeight="1">
      <c r="A604" s="159"/>
      <c r="B604" s="160"/>
      <c r="C604" s="155"/>
      <c r="D604" s="156" t="s">
        <v>1539</v>
      </c>
      <c r="E604" s="153">
        <v>0.0</v>
      </c>
      <c r="F604" s="157">
        <v>601.0</v>
      </c>
      <c r="G604" s="158" t="s">
        <v>1355</v>
      </c>
      <c r="H604" s="153">
        <v>601.0</v>
      </c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  <c r="AA604" s="118"/>
      <c r="AB604" s="118"/>
    </row>
    <row r="605" ht="15.75" customHeight="1">
      <c r="A605" s="159"/>
      <c r="B605" s="160"/>
      <c r="C605" s="155"/>
      <c r="D605" s="156" t="s">
        <v>1539</v>
      </c>
      <c r="E605" s="153">
        <v>0.0</v>
      </c>
      <c r="F605" s="157">
        <v>701.0</v>
      </c>
      <c r="G605" s="158" t="s">
        <v>1545</v>
      </c>
      <c r="H605" s="153">
        <v>701.0</v>
      </c>
      <c r="I605" s="118"/>
      <c r="J605" s="118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  <c r="AA605" s="118"/>
      <c r="AB605" s="118"/>
    </row>
    <row r="606" ht="15.75" customHeight="1">
      <c r="A606" s="159"/>
      <c r="B606" s="160"/>
      <c r="C606" s="155"/>
      <c r="D606" s="156" t="s">
        <v>1539</v>
      </c>
      <c r="E606" s="153">
        <v>3168705.0</v>
      </c>
      <c r="F606" s="157">
        <v>1.0</v>
      </c>
      <c r="G606" s="158" t="s">
        <v>1546</v>
      </c>
      <c r="H606" s="153">
        <v>1.0</v>
      </c>
      <c r="I606" s="118"/>
      <c r="J606" s="118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  <c r="AA606" s="118"/>
      <c r="AB606" s="118"/>
    </row>
    <row r="607" ht="15.75" customHeight="1">
      <c r="A607" s="159"/>
      <c r="B607" s="160"/>
      <c r="C607" s="155"/>
      <c r="D607" s="156" t="s">
        <v>1539</v>
      </c>
      <c r="E607" s="153">
        <v>3168705.0</v>
      </c>
      <c r="F607" s="157">
        <v>2.0</v>
      </c>
      <c r="G607" s="158" t="s">
        <v>1547</v>
      </c>
      <c r="H607" s="153">
        <v>2.0</v>
      </c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  <c r="AA607" s="118"/>
      <c r="AB607" s="118"/>
    </row>
    <row r="608" ht="15.75" customHeight="1">
      <c r="A608" s="159"/>
      <c r="B608" s="160"/>
      <c r="C608" s="155"/>
      <c r="D608" s="156" t="s">
        <v>1539</v>
      </c>
      <c r="E608" s="153">
        <v>3168705.0</v>
      </c>
      <c r="F608" s="157">
        <v>3.0</v>
      </c>
      <c r="G608" s="158" t="s">
        <v>1542</v>
      </c>
      <c r="H608" s="153">
        <v>3.0</v>
      </c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  <c r="AA608" s="118"/>
      <c r="AB608" s="118"/>
    </row>
    <row r="609" ht="15.75" customHeight="1">
      <c r="A609" s="159"/>
      <c r="B609" s="160"/>
      <c r="C609" s="155"/>
      <c r="D609" s="156" t="s">
        <v>1539</v>
      </c>
      <c r="E609" s="153">
        <v>3168705.0</v>
      </c>
      <c r="F609" s="157">
        <v>10.0</v>
      </c>
      <c r="G609" s="158" t="s">
        <v>1548</v>
      </c>
      <c r="H609" s="153">
        <v>13.0</v>
      </c>
      <c r="I609" s="118"/>
      <c r="J609" s="118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  <c r="AA609" s="118"/>
      <c r="AB609" s="118"/>
    </row>
    <row r="610" ht="15.75" customHeight="1">
      <c r="A610" s="159"/>
      <c r="B610" s="160"/>
      <c r="C610" s="155"/>
      <c r="D610" s="156" t="s">
        <v>1539</v>
      </c>
      <c r="E610" s="153">
        <v>3168705.0</v>
      </c>
      <c r="F610" s="157">
        <v>12.0</v>
      </c>
      <c r="G610" s="158" t="s">
        <v>1280</v>
      </c>
      <c r="H610" s="153">
        <v>8.0</v>
      </c>
      <c r="I610" s="118"/>
      <c r="J610" s="118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  <c r="AA610" s="118"/>
      <c r="AB610" s="118"/>
    </row>
    <row r="611" ht="15.75" customHeight="1">
      <c r="A611" s="159"/>
      <c r="B611" s="160"/>
      <c r="C611" s="155"/>
      <c r="D611" s="156" t="s">
        <v>1539</v>
      </c>
      <c r="E611" s="153">
        <v>3168705.0</v>
      </c>
      <c r="F611" s="157">
        <v>15.0</v>
      </c>
      <c r="G611" s="158" t="s">
        <v>1549</v>
      </c>
      <c r="H611" s="153">
        <v>7.0</v>
      </c>
      <c r="I611" s="118"/>
      <c r="J611" s="118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  <c r="AA611" s="118"/>
      <c r="AB611" s="118"/>
    </row>
    <row r="612" ht="15.75" customHeight="1">
      <c r="A612" s="159"/>
      <c r="B612" s="160"/>
      <c r="C612" s="155"/>
      <c r="D612" s="156" t="s">
        <v>1539</v>
      </c>
      <c r="E612" s="153">
        <v>3168705.0</v>
      </c>
      <c r="F612" s="157">
        <v>601.0</v>
      </c>
      <c r="G612" s="158" t="s">
        <v>1550</v>
      </c>
      <c r="H612" s="153">
        <v>12.0</v>
      </c>
      <c r="I612" s="118"/>
      <c r="J612" s="118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  <c r="AA612" s="118"/>
      <c r="AB612" s="118"/>
    </row>
    <row r="613" ht="15.75" customHeight="1">
      <c r="A613" s="159"/>
      <c r="B613" s="160"/>
      <c r="C613" s="155"/>
      <c r="D613" s="156" t="s">
        <v>1539</v>
      </c>
      <c r="E613" s="153">
        <v>3168705.0</v>
      </c>
      <c r="F613" s="157">
        <v>701.0</v>
      </c>
      <c r="G613" s="158" t="s">
        <v>1356</v>
      </c>
      <c r="H613" s="153">
        <v>10.0</v>
      </c>
      <c r="I613" s="118"/>
      <c r="J613" s="118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  <c r="AA613" s="118"/>
      <c r="AB613" s="118"/>
    </row>
    <row r="614" ht="15.75" customHeight="1">
      <c r="A614" s="159"/>
      <c r="B614" s="160"/>
      <c r="C614" s="155"/>
      <c r="D614" s="156" t="s">
        <v>1539</v>
      </c>
      <c r="E614" s="153">
        <v>4210100.0</v>
      </c>
      <c r="F614" s="157">
        <v>1.0</v>
      </c>
      <c r="G614" s="158" t="s">
        <v>1551</v>
      </c>
      <c r="H614" s="153">
        <v>101.0</v>
      </c>
      <c r="I614" s="118"/>
      <c r="J614" s="118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  <c r="AA614" s="118"/>
      <c r="AB614" s="118"/>
    </row>
    <row r="615" ht="15.75" customHeight="1">
      <c r="A615" s="159"/>
      <c r="B615" s="160"/>
      <c r="C615" s="155"/>
      <c r="D615" s="156" t="s">
        <v>1539</v>
      </c>
      <c r="E615" s="153">
        <v>4210100.0</v>
      </c>
      <c r="F615" s="157">
        <v>2.0</v>
      </c>
      <c r="G615" s="158" t="s">
        <v>1552</v>
      </c>
      <c r="H615" s="153">
        <v>102.0</v>
      </c>
      <c r="I615" s="118"/>
      <c r="J615" s="118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  <c r="AA615" s="118"/>
      <c r="AB615" s="118"/>
    </row>
    <row r="616" ht="15.75" customHeight="1">
      <c r="A616" s="159"/>
      <c r="B616" s="160"/>
      <c r="C616" s="155"/>
      <c r="D616" s="156" t="s">
        <v>1539</v>
      </c>
      <c r="E616" s="153">
        <v>4210100.0</v>
      </c>
      <c r="F616" s="157">
        <v>3.0</v>
      </c>
      <c r="G616" s="158" t="s">
        <v>1553</v>
      </c>
      <c r="H616" s="153">
        <v>103.0</v>
      </c>
      <c r="I616" s="118"/>
      <c r="J616" s="118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  <c r="AA616" s="118"/>
      <c r="AB616" s="118"/>
    </row>
    <row r="617" ht="15.75" customHeight="1">
      <c r="A617" s="159"/>
      <c r="B617" s="160"/>
      <c r="C617" s="155"/>
      <c r="D617" s="156" t="s">
        <v>1539</v>
      </c>
      <c r="E617" s="153">
        <v>4210100.0</v>
      </c>
      <c r="F617" s="157">
        <v>4.0</v>
      </c>
      <c r="G617" s="158" t="s">
        <v>1554</v>
      </c>
      <c r="H617" s="153">
        <v>104.0</v>
      </c>
      <c r="I617" s="118"/>
      <c r="J617" s="118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  <c r="AA617" s="118"/>
      <c r="AB617" s="118"/>
    </row>
    <row r="618" ht="15.75" customHeight="1">
      <c r="A618" s="159"/>
      <c r="B618" s="160"/>
      <c r="C618" s="155"/>
      <c r="D618" s="156" t="s">
        <v>1539</v>
      </c>
      <c r="E618" s="153">
        <v>4210100.0</v>
      </c>
      <c r="F618" s="157">
        <v>10.0</v>
      </c>
      <c r="G618" s="158" t="s">
        <v>1555</v>
      </c>
      <c r="H618" s="153">
        <v>106.0</v>
      </c>
      <c r="I618" s="118"/>
      <c r="J618" s="118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  <c r="AA618" s="118"/>
      <c r="AB618" s="118"/>
    </row>
    <row r="619" ht="15.75" customHeight="1">
      <c r="A619" s="159"/>
      <c r="B619" s="160"/>
      <c r="C619" s="155"/>
      <c r="D619" s="156" t="s">
        <v>1539</v>
      </c>
      <c r="E619" s="153">
        <v>4210100.0</v>
      </c>
      <c r="F619" s="157">
        <v>12.0</v>
      </c>
      <c r="G619" s="158" t="s">
        <v>1556</v>
      </c>
      <c r="H619" s="153">
        <v>107.0</v>
      </c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  <c r="AA619" s="118"/>
      <c r="AB619" s="118"/>
    </row>
    <row r="620" ht="15.75" customHeight="1">
      <c r="A620" s="159"/>
      <c r="B620" s="160"/>
      <c r="C620" s="155"/>
      <c r="D620" s="156" t="s">
        <v>1539</v>
      </c>
      <c r="E620" s="153">
        <v>4210100.0</v>
      </c>
      <c r="F620" s="157">
        <v>15.0</v>
      </c>
      <c r="G620" s="158" t="s">
        <v>1557</v>
      </c>
      <c r="H620" s="153">
        <v>105.0</v>
      </c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  <c r="AA620" s="118"/>
      <c r="AB620" s="118"/>
    </row>
    <row r="621" ht="15.75" customHeight="1">
      <c r="A621" s="159"/>
      <c r="B621" s="160"/>
      <c r="C621" s="155"/>
      <c r="D621" s="156" t="s">
        <v>1539</v>
      </c>
      <c r="E621" s="153">
        <v>4210100.0</v>
      </c>
      <c r="F621" s="157">
        <v>17.0</v>
      </c>
      <c r="G621" s="158" t="s">
        <v>1380</v>
      </c>
      <c r="H621" s="153">
        <v>109.0</v>
      </c>
      <c r="I621" s="118"/>
      <c r="J621" s="118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  <c r="AA621" s="118"/>
      <c r="AB621" s="118"/>
    </row>
    <row r="622" ht="15.75" customHeight="1">
      <c r="A622" s="159"/>
      <c r="B622" s="160"/>
      <c r="C622" s="155"/>
      <c r="D622" s="156" t="s">
        <v>1539</v>
      </c>
      <c r="E622" s="153">
        <v>4210100.0</v>
      </c>
      <c r="F622" s="157">
        <v>502.0</v>
      </c>
      <c r="G622" s="158" t="s">
        <v>1558</v>
      </c>
      <c r="H622" s="153">
        <v>108.0</v>
      </c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  <c r="AA622" s="118"/>
      <c r="AB622" s="118"/>
    </row>
    <row r="623" ht="15.75" customHeight="1">
      <c r="A623" s="159"/>
      <c r="B623" s="160"/>
      <c r="C623" s="155"/>
      <c r="D623" s="156" t="s">
        <v>1539</v>
      </c>
      <c r="E623" s="153">
        <v>4210100.0</v>
      </c>
      <c r="F623" s="157">
        <v>601.0</v>
      </c>
      <c r="G623" s="158" t="s">
        <v>1559</v>
      </c>
      <c r="H623" s="153">
        <v>110.0</v>
      </c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  <c r="AA623" s="118"/>
      <c r="AB623" s="118"/>
    </row>
    <row r="624" ht="15.75" customHeight="1">
      <c r="A624" s="159"/>
      <c r="B624" s="160"/>
      <c r="C624" s="155"/>
      <c r="D624" s="156" t="s">
        <v>1560</v>
      </c>
      <c r="E624" s="153">
        <v>0.0</v>
      </c>
      <c r="F624" s="157">
        <v>3.0</v>
      </c>
      <c r="G624" s="158" t="s">
        <v>1268</v>
      </c>
      <c r="H624" s="153">
        <v>3.0</v>
      </c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  <c r="AA624" s="118"/>
      <c r="AB624" s="118"/>
    </row>
    <row r="625" ht="15.75" customHeight="1">
      <c r="A625" s="159"/>
      <c r="B625" s="160"/>
      <c r="C625" s="155"/>
      <c r="D625" s="156" t="s">
        <v>1560</v>
      </c>
      <c r="E625" s="153">
        <v>0.0</v>
      </c>
      <c r="F625" s="157">
        <v>4.0</v>
      </c>
      <c r="G625" s="158" t="s">
        <v>1270</v>
      </c>
      <c r="H625" s="153">
        <v>5.0</v>
      </c>
      <c r="I625" s="118"/>
      <c r="J625" s="118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  <c r="AA625" s="118"/>
      <c r="AB625" s="118"/>
    </row>
    <row r="626" ht="15.75" customHeight="1">
      <c r="A626" s="159"/>
      <c r="B626" s="160"/>
      <c r="C626" s="155"/>
      <c r="D626" s="156" t="s">
        <v>1560</v>
      </c>
      <c r="E626" s="153">
        <v>0.0</v>
      </c>
      <c r="F626" s="157">
        <v>5.0</v>
      </c>
      <c r="G626" s="158" t="s">
        <v>1271</v>
      </c>
      <c r="H626" s="153">
        <v>6.0</v>
      </c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  <c r="AA626" s="118"/>
      <c r="AB626" s="118"/>
    </row>
    <row r="627" ht="15.75" customHeight="1">
      <c r="A627" s="159"/>
      <c r="B627" s="160"/>
      <c r="C627" s="155"/>
      <c r="D627" s="156" t="s">
        <v>1560</v>
      </c>
      <c r="E627" s="153">
        <v>0.0</v>
      </c>
      <c r="F627" s="157">
        <v>6.0</v>
      </c>
      <c r="G627" s="158" t="s">
        <v>1273</v>
      </c>
      <c r="H627" s="153">
        <v>7.0</v>
      </c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  <c r="AA627" s="118"/>
      <c r="AB627" s="118"/>
    </row>
    <row r="628" ht="15.75" customHeight="1">
      <c r="A628" s="159"/>
      <c r="B628" s="160"/>
      <c r="C628" s="155"/>
      <c r="D628" s="156" t="s">
        <v>1560</v>
      </c>
      <c r="E628" s="153">
        <v>0.0</v>
      </c>
      <c r="F628" s="157">
        <v>7.0</v>
      </c>
      <c r="G628" s="158" t="s">
        <v>1274</v>
      </c>
      <c r="H628" s="153">
        <v>1.0</v>
      </c>
      <c r="I628" s="118"/>
      <c r="J628" s="118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  <c r="AA628" s="118"/>
      <c r="AB628" s="118"/>
    </row>
    <row r="629" ht="15.75" customHeight="1">
      <c r="A629" s="159"/>
      <c r="B629" s="160"/>
      <c r="C629" s="155"/>
      <c r="D629" s="156" t="s">
        <v>1560</v>
      </c>
      <c r="E629" s="153">
        <v>0.0</v>
      </c>
      <c r="F629" s="157">
        <v>8.0</v>
      </c>
      <c r="G629" s="158" t="s">
        <v>1276</v>
      </c>
      <c r="H629" s="153">
        <v>2.0</v>
      </c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  <c r="AA629" s="118"/>
      <c r="AB629" s="118"/>
    </row>
    <row r="630" ht="15.75" customHeight="1">
      <c r="A630" s="159"/>
      <c r="B630" s="160"/>
      <c r="C630" s="155"/>
      <c r="D630" s="156" t="s">
        <v>1560</v>
      </c>
      <c r="E630" s="153">
        <v>0.0</v>
      </c>
      <c r="F630" s="157">
        <v>9.0</v>
      </c>
      <c r="G630" s="158" t="s">
        <v>1277</v>
      </c>
      <c r="H630" s="153">
        <v>4.0</v>
      </c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  <c r="AA630" s="118"/>
      <c r="AB630" s="118"/>
    </row>
    <row r="631" ht="15.75" customHeight="1">
      <c r="A631" s="159"/>
      <c r="B631" s="160"/>
      <c r="C631" s="155"/>
      <c r="D631" s="156" t="s">
        <v>1561</v>
      </c>
      <c r="E631" s="153">
        <v>0.0</v>
      </c>
      <c r="F631" s="157">
        <v>3.0</v>
      </c>
      <c r="G631" s="158" t="s">
        <v>1268</v>
      </c>
      <c r="H631" s="153">
        <v>3.0</v>
      </c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  <c r="AA631" s="118"/>
      <c r="AB631" s="118"/>
    </row>
    <row r="632" ht="15.75" customHeight="1">
      <c r="A632" s="159"/>
      <c r="B632" s="160"/>
      <c r="C632" s="155"/>
      <c r="D632" s="156" t="s">
        <v>1561</v>
      </c>
      <c r="E632" s="153">
        <v>0.0</v>
      </c>
      <c r="F632" s="157">
        <v>4.0</v>
      </c>
      <c r="G632" s="158" t="s">
        <v>1270</v>
      </c>
      <c r="H632" s="153">
        <v>5.0</v>
      </c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  <c r="AA632" s="118"/>
      <c r="AB632" s="118"/>
    </row>
    <row r="633" ht="15.75" customHeight="1">
      <c r="A633" s="159"/>
      <c r="B633" s="160"/>
      <c r="C633" s="155"/>
      <c r="D633" s="156" t="s">
        <v>1561</v>
      </c>
      <c r="E633" s="153">
        <v>0.0</v>
      </c>
      <c r="F633" s="157">
        <v>5.0</v>
      </c>
      <c r="G633" s="158" t="s">
        <v>1271</v>
      </c>
      <c r="H633" s="153">
        <v>6.0</v>
      </c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  <c r="AA633" s="118"/>
      <c r="AB633" s="118"/>
    </row>
    <row r="634" ht="15.75" customHeight="1">
      <c r="A634" s="159"/>
      <c r="B634" s="160"/>
      <c r="C634" s="155"/>
      <c r="D634" s="156" t="s">
        <v>1561</v>
      </c>
      <c r="E634" s="153">
        <v>0.0</v>
      </c>
      <c r="F634" s="157">
        <v>6.0</v>
      </c>
      <c r="G634" s="158" t="s">
        <v>1273</v>
      </c>
      <c r="H634" s="153">
        <v>7.0</v>
      </c>
      <c r="I634" s="118"/>
      <c r="J634" s="118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  <c r="AA634" s="118"/>
      <c r="AB634" s="118"/>
    </row>
    <row r="635" ht="15.75" customHeight="1">
      <c r="A635" s="159"/>
      <c r="B635" s="160"/>
      <c r="C635" s="155"/>
      <c r="D635" s="156" t="s">
        <v>1561</v>
      </c>
      <c r="E635" s="153">
        <v>0.0</v>
      </c>
      <c r="F635" s="157">
        <v>7.0</v>
      </c>
      <c r="G635" s="158" t="s">
        <v>1274</v>
      </c>
      <c r="H635" s="153">
        <v>1.0</v>
      </c>
      <c r="I635" s="118"/>
      <c r="J635" s="118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  <c r="AA635" s="118"/>
      <c r="AB635" s="118"/>
    </row>
    <row r="636" ht="15.75" customHeight="1">
      <c r="A636" s="159"/>
      <c r="B636" s="160"/>
      <c r="C636" s="155"/>
      <c r="D636" s="156" t="s">
        <v>1561</v>
      </c>
      <c r="E636" s="153">
        <v>0.0</v>
      </c>
      <c r="F636" s="157">
        <v>8.0</v>
      </c>
      <c r="G636" s="158" t="s">
        <v>1276</v>
      </c>
      <c r="H636" s="153">
        <v>2.0</v>
      </c>
      <c r="I636" s="118"/>
      <c r="J636" s="118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  <c r="AA636" s="118"/>
      <c r="AB636" s="118"/>
    </row>
    <row r="637" ht="15.75" customHeight="1">
      <c r="A637" s="159"/>
      <c r="B637" s="160"/>
      <c r="C637" s="155"/>
      <c r="D637" s="156" t="s">
        <v>1561</v>
      </c>
      <c r="E637" s="153">
        <v>0.0</v>
      </c>
      <c r="F637" s="157">
        <v>9.0</v>
      </c>
      <c r="G637" s="158" t="s">
        <v>1277</v>
      </c>
      <c r="H637" s="153">
        <v>4.0</v>
      </c>
      <c r="I637" s="118"/>
      <c r="J637" s="118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  <c r="AA637" s="118"/>
      <c r="AB637" s="118"/>
    </row>
    <row r="638" ht="15.75" customHeight="1">
      <c r="A638" s="159"/>
      <c r="B638" s="160"/>
      <c r="C638" s="155"/>
      <c r="D638" s="156" t="s">
        <v>1562</v>
      </c>
      <c r="E638" s="153">
        <v>0.0</v>
      </c>
      <c r="F638" s="157">
        <v>3.0</v>
      </c>
      <c r="G638" s="158" t="s">
        <v>1268</v>
      </c>
      <c r="H638" s="153">
        <v>3.0</v>
      </c>
      <c r="I638" s="118"/>
      <c r="J638" s="118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  <c r="AA638" s="118"/>
      <c r="AB638" s="118"/>
    </row>
    <row r="639" ht="15.75" customHeight="1">
      <c r="A639" s="159"/>
      <c r="B639" s="160"/>
      <c r="C639" s="155"/>
      <c r="D639" s="156" t="s">
        <v>1562</v>
      </c>
      <c r="E639" s="153">
        <v>0.0</v>
      </c>
      <c r="F639" s="157">
        <v>4.0</v>
      </c>
      <c r="G639" s="158" t="s">
        <v>1563</v>
      </c>
      <c r="H639" s="153">
        <v>5.0</v>
      </c>
      <c r="I639" s="118"/>
      <c r="J639" s="118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  <c r="AA639" s="118"/>
      <c r="AB639" s="118"/>
    </row>
    <row r="640" ht="15.75" customHeight="1">
      <c r="A640" s="159"/>
      <c r="B640" s="160"/>
      <c r="C640" s="155"/>
      <c r="D640" s="156" t="s">
        <v>1562</v>
      </c>
      <c r="E640" s="153">
        <v>0.0</v>
      </c>
      <c r="F640" s="157">
        <v>5.0</v>
      </c>
      <c r="G640" s="158" t="s">
        <v>1415</v>
      </c>
      <c r="H640" s="153">
        <v>6.0</v>
      </c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  <c r="AA640" s="118"/>
      <c r="AB640" s="118"/>
    </row>
    <row r="641" ht="15.75" customHeight="1">
      <c r="A641" s="159"/>
      <c r="B641" s="160"/>
      <c r="C641" s="155"/>
      <c r="D641" s="156" t="s">
        <v>1562</v>
      </c>
      <c r="E641" s="153">
        <v>0.0</v>
      </c>
      <c r="F641" s="157">
        <v>6.0</v>
      </c>
      <c r="G641" s="158" t="s">
        <v>1564</v>
      </c>
      <c r="H641" s="153">
        <v>7.0</v>
      </c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  <c r="AA641" s="118"/>
      <c r="AB641" s="118"/>
    </row>
    <row r="642" ht="15.75" customHeight="1">
      <c r="A642" s="159"/>
      <c r="B642" s="160"/>
      <c r="C642" s="155"/>
      <c r="D642" s="156" t="s">
        <v>1562</v>
      </c>
      <c r="E642" s="153">
        <v>0.0</v>
      </c>
      <c r="F642" s="157">
        <v>7.0</v>
      </c>
      <c r="G642" s="158" t="s">
        <v>1274</v>
      </c>
      <c r="H642" s="153">
        <v>1.0</v>
      </c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  <c r="AA642" s="118"/>
      <c r="AB642" s="118"/>
    </row>
    <row r="643" ht="15.75" customHeight="1">
      <c r="A643" s="159"/>
      <c r="B643" s="160"/>
      <c r="C643" s="155"/>
      <c r="D643" s="156" t="s">
        <v>1562</v>
      </c>
      <c r="E643" s="153">
        <v>0.0</v>
      </c>
      <c r="F643" s="157">
        <v>8.0</v>
      </c>
      <c r="G643" s="158" t="s">
        <v>1565</v>
      </c>
      <c r="H643" s="153">
        <v>2.0</v>
      </c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  <c r="AA643" s="118"/>
      <c r="AB643" s="118"/>
    </row>
    <row r="644" ht="15.75" customHeight="1">
      <c r="A644" s="159"/>
      <c r="B644" s="160"/>
      <c r="C644" s="155"/>
      <c r="D644" s="156" t="s">
        <v>1562</v>
      </c>
      <c r="E644" s="153">
        <v>0.0</v>
      </c>
      <c r="F644" s="157">
        <v>9.0</v>
      </c>
      <c r="G644" s="158" t="s">
        <v>1566</v>
      </c>
      <c r="H644" s="153">
        <v>4.0</v>
      </c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  <c r="AA644" s="118"/>
      <c r="AB644" s="118"/>
    </row>
    <row r="645" ht="15.75" customHeight="1">
      <c r="A645" s="159"/>
      <c r="B645" s="160"/>
      <c r="C645" s="155"/>
      <c r="D645" s="156" t="s">
        <v>1567</v>
      </c>
      <c r="E645" s="153">
        <v>0.0</v>
      </c>
      <c r="F645" s="157">
        <v>3.0</v>
      </c>
      <c r="G645" s="158" t="s">
        <v>1268</v>
      </c>
      <c r="H645" s="153">
        <v>3.0</v>
      </c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  <c r="AA645" s="118"/>
      <c r="AB645" s="118"/>
    </row>
    <row r="646" ht="15.75" customHeight="1">
      <c r="A646" s="159"/>
      <c r="B646" s="160"/>
      <c r="C646" s="155"/>
      <c r="D646" s="156" t="s">
        <v>1567</v>
      </c>
      <c r="E646" s="153">
        <v>0.0</v>
      </c>
      <c r="F646" s="157">
        <v>4.0</v>
      </c>
      <c r="G646" s="158" t="s">
        <v>1270</v>
      </c>
      <c r="H646" s="153">
        <v>5.0</v>
      </c>
      <c r="I646" s="118"/>
      <c r="J646" s="118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  <c r="AA646" s="118"/>
      <c r="AB646" s="118"/>
    </row>
    <row r="647" ht="15.75" customHeight="1">
      <c r="A647" s="159"/>
      <c r="B647" s="160"/>
      <c r="C647" s="155"/>
      <c r="D647" s="156" t="s">
        <v>1567</v>
      </c>
      <c r="E647" s="153">
        <v>0.0</v>
      </c>
      <c r="F647" s="157">
        <v>5.0</v>
      </c>
      <c r="G647" s="158" t="s">
        <v>1271</v>
      </c>
      <c r="H647" s="153">
        <v>6.0</v>
      </c>
      <c r="I647" s="118"/>
      <c r="J647" s="118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  <c r="AA647" s="118"/>
      <c r="AB647" s="118"/>
    </row>
    <row r="648" ht="15.75" customHeight="1">
      <c r="A648" s="159"/>
      <c r="B648" s="160"/>
      <c r="C648" s="155"/>
      <c r="D648" s="156" t="s">
        <v>1567</v>
      </c>
      <c r="E648" s="153">
        <v>0.0</v>
      </c>
      <c r="F648" s="157">
        <v>6.0</v>
      </c>
      <c r="G648" s="158" t="s">
        <v>1273</v>
      </c>
      <c r="H648" s="153">
        <v>7.0</v>
      </c>
      <c r="I648" s="118"/>
      <c r="J648" s="118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  <c r="AA648" s="118"/>
      <c r="AB648" s="118"/>
    </row>
    <row r="649" ht="15.75" customHeight="1">
      <c r="A649" s="159"/>
      <c r="B649" s="160"/>
      <c r="C649" s="155"/>
      <c r="D649" s="156" t="s">
        <v>1567</v>
      </c>
      <c r="E649" s="153">
        <v>0.0</v>
      </c>
      <c r="F649" s="157">
        <v>7.0</v>
      </c>
      <c r="G649" s="158" t="s">
        <v>1274</v>
      </c>
      <c r="H649" s="153">
        <v>1.0</v>
      </c>
      <c r="I649" s="118"/>
      <c r="J649" s="118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  <c r="AA649" s="118"/>
      <c r="AB649" s="118"/>
    </row>
    <row r="650" ht="15.75" customHeight="1">
      <c r="A650" s="159"/>
      <c r="B650" s="160"/>
      <c r="C650" s="155"/>
      <c r="D650" s="156" t="s">
        <v>1567</v>
      </c>
      <c r="E650" s="153">
        <v>0.0</v>
      </c>
      <c r="F650" s="157">
        <v>8.0</v>
      </c>
      <c r="G650" s="158" t="s">
        <v>1276</v>
      </c>
      <c r="H650" s="153">
        <v>2.0</v>
      </c>
      <c r="I650" s="118"/>
      <c r="J650" s="118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  <c r="AA650" s="118"/>
      <c r="AB650" s="118"/>
    </row>
    <row r="651" ht="15.75" customHeight="1">
      <c r="A651" s="159"/>
      <c r="B651" s="160"/>
      <c r="C651" s="155"/>
      <c r="D651" s="156" t="s">
        <v>1567</v>
      </c>
      <c r="E651" s="153">
        <v>0.0</v>
      </c>
      <c r="F651" s="157">
        <v>9.0</v>
      </c>
      <c r="G651" s="158" t="s">
        <v>1277</v>
      </c>
      <c r="H651" s="153">
        <v>4.0</v>
      </c>
      <c r="I651" s="118"/>
      <c r="J651" s="118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  <c r="AA651" s="118"/>
      <c r="AB651" s="118"/>
    </row>
    <row r="652" ht="15.75" customHeight="1">
      <c r="A652" s="159"/>
      <c r="B652" s="160"/>
      <c r="C652" s="155"/>
      <c r="D652" s="156" t="s">
        <v>1568</v>
      </c>
      <c r="E652" s="153">
        <v>0.0</v>
      </c>
      <c r="F652" s="157">
        <v>3.0</v>
      </c>
      <c r="G652" s="158" t="s">
        <v>1268</v>
      </c>
      <c r="H652" s="153">
        <v>3.0</v>
      </c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  <c r="AA652" s="118"/>
      <c r="AB652" s="118"/>
    </row>
    <row r="653" ht="15.75" customHeight="1">
      <c r="A653" s="159"/>
      <c r="B653" s="160"/>
      <c r="C653" s="155"/>
      <c r="D653" s="156" t="s">
        <v>1568</v>
      </c>
      <c r="E653" s="153">
        <v>0.0</v>
      </c>
      <c r="F653" s="157">
        <v>4.0</v>
      </c>
      <c r="G653" s="158" t="s">
        <v>1270</v>
      </c>
      <c r="H653" s="153">
        <v>5.0</v>
      </c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  <c r="AA653" s="118"/>
      <c r="AB653" s="118"/>
    </row>
    <row r="654" ht="15.75" customHeight="1">
      <c r="A654" s="159"/>
      <c r="B654" s="160"/>
      <c r="C654" s="155"/>
      <c r="D654" s="156" t="s">
        <v>1568</v>
      </c>
      <c r="E654" s="153">
        <v>0.0</v>
      </c>
      <c r="F654" s="157">
        <v>5.0</v>
      </c>
      <c r="G654" s="158" t="s">
        <v>1271</v>
      </c>
      <c r="H654" s="153">
        <v>6.0</v>
      </c>
      <c r="I654" s="118"/>
      <c r="J654" s="118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  <c r="AA654" s="118"/>
      <c r="AB654" s="118"/>
    </row>
    <row r="655" ht="15.75" customHeight="1">
      <c r="A655" s="159"/>
      <c r="B655" s="160"/>
      <c r="C655" s="155"/>
      <c r="D655" s="156" t="s">
        <v>1568</v>
      </c>
      <c r="E655" s="153">
        <v>0.0</v>
      </c>
      <c r="F655" s="157">
        <v>6.0</v>
      </c>
      <c r="G655" s="158" t="s">
        <v>1273</v>
      </c>
      <c r="H655" s="153">
        <v>7.0</v>
      </c>
      <c r="I655" s="118"/>
      <c r="J655" s="118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  <c r="AA655" s="118"/>
      <c r="AB655" s="118"/>
    </row>
    <row r="656" ht="15.75" customHeight="1">
      <c r="A656" s="159"/>
      <c r="B656" s="160"/>
      <c r="C656" s="155"/>
      <c r="D656" s="156" t="s">
        <v>1568</v>
      </c>
      <c r="E656" s="153">
        <v>0.0</v>
      </c>
      <c r="F656" s="157">
        <v>7.0</v>
      </c>
      <c r="G656" s="158" t="s">
        <v>1274</v>
      </c>
      <c r="H656" s="153">
        <v>1.0</v>
      </c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  <c r="AA656" s="118"/>
      <c r="AB656" s="118"/>
    </row>
    <row r="657" ht="15.75" customHeight="1">
      <c r="A657" s="159"/>
      <c r="B657" s="160"/>
      <c r="C657" s="155"/>
      <c r="D657" s="156" t="s">
        <v>1568</v>
      </c>
      <c r="E657" s="153">
        <v>0.0</v>
      </c>
      <c r="F657" s="157">
        <v>8.0</v>
      </c>
      <c r="G657" s="158" t="s">
        <v>1276</v>
      </c>
      <c r="H657" s="153">
        <v>2.0</v>
      </c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  <c r="AA657" s="118"/>
      <c r="AB657" s="118"/>
    </row>
    <row r="658" ht="15.75" customHeight="1">
      <c r="A658" s="159"/>
      <c r="B658" s="160"/>
      <c r="C658" s="155"/>
      <c r="D658" s="156" t="s">
        <v>1568</v>
      </c>
      <c r="E658" s="153">
        <v>0.0</v>
      </c>
      <c r="F658" s="157">
        <v>9.0</v>
      </c>
      <c r="G658" s="158" t="s">
        <v>1277</v>
      </c>
      <c r="H658" s="153">
        <v>4.0</v>
      </c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  <c r="AA658" s="118"/>
      <c r="AB658" s="118"/>
    </row>
    <row r="659" ht="15.75" customHeight="1">
      <c r="A659" s="159"/>
      <c r="B659" s="160"/>
      <c r="C659" s="155"/>
      <c r="D659" s="156" t="s">
        <v>1569</v>
      </c>
      <c r="E659" s="153">
        <v>0.0</v>
      </c>
      <c r="F659" s="157">
        <v>3.0</v>
      </c>
      <c r="G659" s="158" t="s">
        <v>1268</v>
      </c>
      <c r="H659" s="153">
        <v>3.0</v>
      </c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  <c r="AA659" s="118"/>
      <c r="AB659" s="118"/>
    </row>
    <row r="660" ht="15.75" customHeight="1">
      <c r="A660" s="159"/>
      <c r="B660" s="160"/>
      <c r="C660" s="155"/>
      <c r="D660" s="156" t="s">
        <v>1569</v>
      </c>
      <c r="E660" s="153">
        <v>0.0</v>
      </c>
      <c r="F660" s="157">
        <v>4.0</v>
      </c>
      <c r="G660" s="158" t="s">
        <v>1270</v>
      </c>
      <c r="H660" s="153">
        <v>5.0</v>
      </c>
      <c r="I660" s="118"/>
      <c r="J660" s="118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  <c r="AA660" s="118"/>
      <c r="AB660" s="118"/>
    </row>
    <row r="661" ht="15.75" customHeight="1">
      <c r="A661" s="159"/>
      <c r="B661" s="160"/>
      <c r="C661" s="155"/>
      <c r="D661" s="156" t="s">
        <v>1569</v>
      </c>
      <c r="E661" s="153">
        <v>0.0</v>
      </c>
      <c r="F661" s="157">
        <v>5.0</v>
      </c>
      <c r="G661" s="158" t="s">
        <v>1271</v>
      </c>
      <c r="H661" s="153">
        <v>6.0</v>
      </c>
      <c r="I661" s="118"/>
      <c r="J661" s="118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  <c r="AA661" s="118"/>
      <c r="AB661" s="118"/>
    </row>
    <row r="662" ht="15.75" customHeight="1">
      <c r="A662" s="159"/>
      <c r="B662" s="160"/>
      <c r="C662" s="155"/>
      <c r="D662" s="156" t="s">
        <v>1569</v>
      </c>
      <c r="E662" s="153">
        <v>0.0</v>
      </c>
      <c r="F662" s="157">
        <v>6.0</v>
      </c>
      <c r="G662" s="158" t="s">
        <v>1273</v>
      </c>
      <c r="H662" s="153">
        <v>7.0</v>
      </c>
      <c r="I662" s="118"/>
      <c r="J662" s="118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  <c r="AA662" s="118"/>
      <c r="AB662" s="118"/>
    </row>
    <row r="663" ht="15.75" customHeight="1">
      <c r="A663" s="159"/>
      <c r="B663" s="160"/>
      <c r="C663" s="155"/>
      <c r="D663" s="156" t="s">
        <v>1569</v>
      </c>
      <c r="E663" s="153">
        <v>0.0</v>
      </c>
      <c r="F663" s="157">
        <v>7.0</v>
      </c>
      <c r="G663" s="158" t="s">
        <v>1274</v>
      </c>
      <c r="H663" s="153">
        <v>1.0</v>
      </c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  <c r="AA663" s="118"/>
      <c r="AB663" s="118"/>
    </row>
    <row r="664" ht="15.75" customHeight="1">
      <c r="A664" s="159"/>
      <c r="B664" s="160"/>
      <c r="C664" s="155"/>
      <c r="D664" s="156" t="s">
        <v>1569</v>
      </c>
      <c r="E664" s="153">
        <v>0.0</v>
      </c>
      <c r="F664" s="157">
        <v>8.0</v>
      </c>
      <c r="G664" s="158" t="s">
        <v>1276</v>
      </c>
      <c r="H664" s="153">
        <v>2.0</v>
      </c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  <c r="AA664" s="118"/>
      <c r="AB664" s="118"/>
    </row>
    <row r="665" ht="15.75" customHeight="1">
      <c r="A665" s="159"/>
      <c r="B665" s="160"/>
      <c r="C665" s="155"/>
      <c r="D665" s="156" t="s">
        <v>1569</v>
      </c>
      <c r="E665" s="153">
        <v>0.0</v>
      </c>
      <c r="F665" s="157">
        <v>9.0</v>
      </c>
      <c r="G665" s="158" t="s">
        <v>1277</v>
      </c>
      <c r="H665" s="153">
        <v>4.0</v>
      </c>
      <c r="I665" s="118"/>
      <c r="J665" s="118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  <c r="AA665" s="118"/>
      <c r="AB665" s="118"/>
    </row>
    <row r="666" ht="15.75" customHeight="1">
      <c r="A666" s="159"/>
      <c r="B666" s="160"/>
      <c r="C666" s="155"/>
      <c r="D666" s="156" t="s">
        <v>1570</v>
      </c>
      <c r="E666" s="153">
        <v>0.0</v>
      </c>
      <c r="F666" s="157">
        <v>1.0</v>
      </c>
      <c r="G666" s="158" t="s">
        <v>1571</v>
      </c>
      <c r="H666" s="153" t="s">
        <v>1572</v>
      </c>
      <c r="I666" s="118"/>
      <c r="J666" s="118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  <c r="AA666" s="118"/>
      <c r="AB666" s="118"/>
    </row>
    <row r="667" ht="15.75" customHeight="1">
      <c r="A667" s="159"/>
      <c r="B667" s="160"/>
      <c r="C667" s="155"/>
      <c r="D667" s="156" t="s">
        <v>1570</v>
      </c>
      <c r="E667" s="153">
        <v>0.0</v>
      </c>
      <c r="F667" s="157">
        <v>2.0</v>
      </c>
      <c r="G667" s="158" t="s">
        <v>1573</v>
      </c>
      <c r="H667" s="153" t="s">
        <v>1486</v>
      </c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  <c r="AA667" s="118"/>
      <c r="AB667" s="118"/>
    </row>
    <row r="668" ht="15.75" customHeight="1">
      <c r="A668" s="159"/>
      <c r="B668" s="160"/>
      <c r="C668" s="155"/>
      <c r="D668" s="156" t="s">
        <v>1570</v>
      </c>
      <c r="E668" s="153">
        <v>0.0</v>
      </c>
      <c r="F668" s="157">
        <v>16.0</v>
      </c>
      <c r="G668" s="158" t="s">
        <v>1574</v>
      </c>
      <c r="H668" s="153"/>
      <c r="I668" s="118"/>
      <c r="J668" s="118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  <c r="AA668" s="118"/>
      <c r="AB668" s="118"/>
    </row>
    <row r="669" ht="15.75" customHeight="1">
      <c r="A669" s="159"/>
      <c r="B669" s="160"/>
      <c r="C669" s="155"/>
      <c r="D669" s="156" t="s">
        <v>1575</v>
      </c>
      <c r="E669" s="153">
        <v>0.0</v>
      </c>
      <c r="F669" s="157">
        <v>1.0</v>
      </c>
      <c r="G669" s="158" t="s">
        <v>1571</v>
      </c>
      <c r="H669" s="153" t="s">
        <v>1576</v>
      </c>
      <c r="I669" s="118"/>
      <c r="J669" s="118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  <c r="AA669" s="118"/>
      <c r="AB669" s="118"/>
    </row>
    <row r="670" ht="15.75" customHeight="1">
      <c r="A670" s="159"/>
      <c r="B670" s="160"/>
      <c r="C670" s="155"/>
      <c r="D670" s="156" t="s">
        <v>1575</v>
      </c>
      <c r="E670" s="153">
        <v>0.0</v>
      </c>
      <c r="F670" s="157">
        <v>2.0</v>
      </c>
      <c r="G670" s="158" t="s">
        <v>1577</v>
      </c>
      <c r="H670" s="153" t="s">
        <v>1578</v>
      </c>
      <c r="I670" s="118"/>
      <c r="J670" s="118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  <c r="AA670" s="118"/>
      <c r="AB670" s="118"/>
    </row>
    <row r="671" ht="15.75" customHeight="1">
      <c r="A671" s="159"/>
      <c r="B671" s="160"/>
      <c r="C671" s="155"/>
      <c r="D671" s="156" t="s">
        <v>1575</v>
      </c>
      <c r="E671" s="153">
        <v>0.0</v>
      </c>
      <c r="F671" s="157">
        <v>3.0</v>
      </c>
      <c r="G671" s="158" t="s">
        <v>1579</v>
      </c>
      <c r="H671" s="153" t="s">
        <v>1580</v>
      </c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  <c r="AA671" s="118"/>
      <c r="AB671" s="118"/>
    </row>
    <row r="672" ht="15.75" customHeight="1">
      <c r="A672" s="159"/>
      <c r="B672" s="160"/>
      <c r="C672" s="155"/>
      <c r="D672" s="156" t="s">
        <v>1575</v>
      </c>
      <c r="E672" s="153">
        <v>0.0</v>
      </c>
      <c r="F672" s="157">
        <v>4.0</v>
      </c>
      <c r="G672" s="158" t="s">
        <v>1563</v>
      </c>
      <c r="H672" s="153" t="s">
        <v>1581</v>
      </c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  <c r="AA672" s="118"/>
      <c r="AB672" s="118"/>
    </row>
    <row r="673" ht="15.75" customHeight="1">
      <c r="A673" s="159"/>
      <c r="B673" s="160"/>
      <c r="C673" s="155"/>
      <c r="D673" s="156" t="s">
        <v>1575</v>
      </c>
      <c r="E673" s="153">
        <v>0.0</v>
      </c>
      <c r="F673" s="157">
        <v>15.0</v>
      </c>
      <c r="G673" s="158" t="s">
        <v>1582</v>
      </c>
      <c r="H673" s="153" t="s">
        <v>1583</v>
      </c>
      <c r="I673" s="118"/>
      <c r="J673" s="118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  <c r="AA673" s="118"/>
      <c r="AB673" s="118"/>
    </row>
    <row r="674" ht="15.75" customHeight="1">
      <c r="A674" s="159"/>
      <c r="B674" s="160"/>
      <c r="C674" s="155"/>
      <c r="D674" s="156" t="s">
        <v>1584</v>
      </c>
      <c r="E674" s="153">
        <v>0.0</v>
      </c>
      <c r="F674" s="157">
        <v>1.0</v>
      </c>
      <c r="G674" s="158" t="s">
        <v>1571</v>
      </c>
      <c r="H674" s="153" t="s">
        <v>1576</v>
      </c>
      <c r="I674" s="118"/>
      <c r="J674" s="118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  <c r="AA674" s="118"/>
      <c r="AB674" s="118"/>
    </row>
    <row r="675" ht="15.75" customHeight="1">
      <c r="A675" s="159"/>
      <c r="B675" s="160"/>
      <c r="C675" s="155"/>
      <c r="D675" s="156" t="s">
        <v>1584</v>
      </c>
      <c r="E675" s="153">
        <v>0.0</v>
      </c>
      <c r="F675" s="157">
        <v>2.0</v>
      </c>
      <c r="G675" s="158" t="s">
        <v>1305</v>
      </c>
      <c r="H675" s="153" t="s">
        <v>1578</v>
      </c>
      <c r="I675" s="118"/>
      <c r="J675" s="118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  <c r="AA675" s="118"/>
      <c r="AB675" s="118"/>
    </row>
    <row r="676" ht="15.75" customHeight="1">
      <c r="A676" s="159"/>
      <c r="B676" s="160"/>
      <c r="C676" s="155"/>
      <c r="D676" s="156" t="s">
        <v>1584</v>
      </c>
      <c r="E676" s="153">
        <v>0.0</v>
      </c>
      <c r="F676" s="157">
        <v>3.0</v>
      </c>
      <c r="G676" s="158" t="s">
        <v>1442</v>
      </c>
      <c r="H676" s="153" t="s">
        <v>1580</v>
      </c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  <c r="AA676" s="118"/>
      <c r="AB676" s="118"/>
    </row>
    <row r="677" ht="15.75" customHeight="1">
      <c r="A677" s="159"/>
      <c r="B677" s="160"/>
      <c r="C677" s="155"/>
      <c r="D677" s="156" t="s">
        <v>1584</v>
      </c>
      <c r="E677" s="153">
        <v>0.0</v>
      </c>
      <c r="F677" s="157">
        <v>4.0</v>
      </c>
      <c r="G677" s="158" t="s">
        <v>1269</v>
      </c>
      <c r="H677" s="153" t="s">
        <v>1581</v>
      </c>
      <c r="I677" s="118"/>
      <c r="J677" s="118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  <c r="AA677" s="118"/>
      <c r="AB677" s="118"/>
    </row>
    <row r="678" ht="15.75" customHeight="1">
      <c r="A678" s="159"/>
      <c r="B678" s="160"/>
      <c r="C678" s="155"/>
      <c r="D678" s="156" t="s">
        <v>1584</v>
      </c>
      <c r="E678" s="153">
        <v>0.0</v>
      </c>
      <c r="F678" s="157">
        <v>15.0</v>
      </c>
      <c r="G678" s="158" t="s">
        <v>1573</v>
      </c>
      <c r="H678" s="153" t="s">
        <v>1583</v>
      </c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  <c r="AA678" s="118"/>
      <c r="AB678" s="118"/>
    </row>
    <row r="679" ht="15.75" customHeight="1">
      <c r="A679" s="159"/>
      <c r="B679" s="160"/>
      <c r="C679" s="155"/>
      <c r="D679" s="156" t="s">
        <v>1585</v>
      </c>
      <c r="E679" s="153">
        <v>0.0</v>
      </c>
      <c r="F679" s="157">
        <v>1.0</v>
      </c>
      <c r="G679" s="158" t="s">
        <v>1571</v>
      </c>
      <c r="H679" s="153" t="s">
        <v>1576</v>
      </c>
      <c r="I679" s="118"/>
      <c r="J679" s="118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  <c r="AA679" s="118"/>
      <c r="AB679" s="118"/>
    </row>
    <row r="680" ht="15.75" customHeight="1">
      <c r="A680" s="159"/>
      <c r="B680" s="160"/>
      <c r="C680" s="155"/>
      <c r="D680" s="156" t="s">
        <v>1585</v>
      </c>
      <c r="E680" s="153">
        <v>0.0</v>
      </c>
      <c r="F680" s="157">
        <v>2.0</v>
      </c>
      <c r="G680" s="158" t="s">
        <v>1305</v>
      </c>
      <c r="H680" s="153" t="s">
        <v>1578</v>
      </c>
      <c r="I680" s="118"/>
      <c r="J680" s="118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  <c r="AA680" s="118"/>
      <c r="AB680" s="118"/>
    </row>
    <row r="681" ht="15.75" customHeight="1">
      <c r="A681" s="159"/>
      <c r="B681" s="160"/>
      <c r="C681" s="155"/>
      <c r="D681" s="156" t="s">
        <v>1585</v>
      </c>
      <c r="E681" s="153">
        <v>0.0</v>
      </c>
      <c r="F681" s="157">
        <v>3.0</v>
      </c>
      <c r="G681" s="158" t="s">
        <v>1442</v>
      </c>
      <c r="H681" s="153" t="s">
        <v>1580</v>
      </c>
      <c r="I681" s="118"/>
      <c r="J681" s="118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  <c r="AA681" s="118"/>
      <c r="AB681" s="118"/>
    </row>
    <row r="682" ht="15.75" customHeight="1">
      <c r="A682" s="159"/>
      <c r="B682" s="160"/>
      <c r="C682" s="155"/>
      <c r="D682" s="156" t="s">
        <v>1585</v>
      </c>
      <c r="E682" s="153">
        <v>0.0</v>
      </c>
      <c r="F682" s="157">
        <v>4.0</v>
      </c>
      <c r="G682" s="158" t="s">
        <v>1269</v>
      </c>
      <c r="H682" s="153" t="s">
        <v>1581</v>
      </c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  <c r="AA682" s="118"/>
      <c r="AB682" s="118"/>
    </row>
    <row r="683" ht="15.75" customHeight="1">
      <c r="A683" s="159"/>
      <c r="B683" s="160"/>
      <c r="C683" s="155"/>
      <c r="D683" s="156" t="s">
        <v>1585</v>
      </c>
      <c r="E683" s="153">
        <v>0.0</v>
      </c>
      <c r="F683" s="157">
        <v>15.0</v>
      </c>
      <c r="G683" s="158" t="s">
        <v>1582</v>
      </c>
      <c r="H683" s="153" t="s">
        <v>1583</v>
      </c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  <c r="AA683" s="118"/>
      <c r="AB683" s="118"/>
    </row>
    <row r="684" ht="15.75" customHeight="1">
      <c r="A684" s="159"/>
      <c r="B684" s="160"/>
      <c r="C684" s="155"/>
      <c r="D684" s="156" t="s">
        <v>1586</v>
      </c>
      <c r="E684" s="153">
        <v>0.0</v>
      </c>
      <c r="F684" s="157">
        <v>1.0</v>
      </c>
      <c r="G684" s="158" t="s">
        <v>1587</v>
      </c>
      <c r="H684" s="153" t="s">
        <v>1576</v>
      </c>
      <c r="I684" s="118"/>
      <c r="J684" s="118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  <c r="AA684" s="118"/>
      <c r="AB684" s="118"/>
    </row>
    <row r="685" ht="15.75" customHeight="1">
      <c r="A685" s="159"/>
      <c r="B685" s="160"/>
      <c r="C685" s="155"/>
      <c r="D685" s="156" t="s">
        <v>1586</v>
      </c>
      <c r="E685" s="153">
        <v>0.0</v>
      </c>
      <c r="F685" s="157">
        <v>2.0</v>
      </c>
      <c r="G685" s="158" t="s">
        <v>1588</v>
      </c>
      <c r="H685" s="153" t="s">
        <v>1578</v>
      </c>
      <c r="I685" s="118"/>
      <c r="J685" s="118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  <c r="AA685" s="118"/>
      <c r="AB685" s="118"/>
    </row>
    <row r="686" ht="15.75" customHeight="1">
      <c r="A686" s="159"/>
      <c r="B686" s="160"/>
      <c r="C686" s="155"/>
      <c r="D686" s="156" t="s">
        <v>1586</v>
      </c>
      <c r="E686" s="153">
        <v>0.0</v>
      </c>
      <c r="F686" s="157">
        <v>3.0</v>
      </c>
      <c r="G686" s="158" t="s">
        <v>1442</v>
      </c>
      <c r="H686" s="153" t="s">
        <v>1580</v>
      </c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  <c r="AA686" s="118"/>
      <c r="AB686" s="118"/>
    </row>
    <row r="687" ht="15.75" customHeight="1">
      <c r="A687" s="159"/>
      <c r="B687" s="160"/>
      <c r="C687" s="155"/>
      <c r="D687" s="156" t="s">
        <v>1586</v>
      </c>
      <c r="E687" s="153">
        <v>0.0</v>
      </c>
      <c r="F687" s="157">
        <v>4.0</v>
      </c>
      <c r="G687" s="158" t="s">
        <v>1269</v>
      </c>
      <c r="H687" s="153" t="s">
        <v>1581</v>
      </c>
      <c r="I687" s="118"/>
      <c r="J687" s="118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  <c r="AA687" s="118"/>
      <c r="AB687" s="118"/>
    </row>
    <row r="688" ht="15.75" customHeight="1">
      <c r="A688" s="159"/>
      <c r="B688" s="160"/>
      <c r="C688" s="155"/>
      <c r="D688" s="156" t="s">
        <v>1586</v>
      </c>
      <c r="E688" s="153">
        <v>0.0</v>
      </c>
      <c r="F688" s="157">
        <v>9.0</v>
      </c>
      <c r="G688" s="158" t="s">
        <v>1277</v>
      </c>
      <c r="H688" s="153" t="s">
        <v>1589</v>
      </c>
      <c r="I688" s="118"/>
      <c r="J688" s="118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  <c r="AA688" s="118"/>
      <c r="AB688" s="118"/>
    </row>
    <row r="689" ht="15.75" customHeight="1">
      <c r="A689" s="159"/>
      <c r="B689" s="160"/>
      <c r="C689" s="155"/>
      <c r="D689" s="156" t="s">
        <v>1586</v>
      </c>
      <c r="E689" s="153">
        <v>0.0</v>
      </c>
      <c r="F689" s="157">
        <v>10.0</v>
      </c>
      <c r="G689" s="158" t="s">
        <v>1590</v>
      </c>
      <c r="H689" s="153" t="s">
        <v>1591</v>
      </c>
      <c r="I689" s="118"/>
      <c r="J689" s="118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  <c r="AA689" s="118"/>
      <c r="AB689" s="118"/>
    </row>
    <row r="690" ht="15.75" customHeight="1">
      <c r="A690" s="159"/>
      <c r="B690" s="160"/>
      <c r="C690" s="155"/>
      <c r="D690" s="156" t="s">
        <v>1586</v>
      </c>
      <c r="E690" s="153">
        <v>0.0</v>
      </c>
      <c r="F690" s="157">
        <v>14.0</v>
      </c>
      <c r="G690" s="158" t="s">
        <v>1303</v>
      </c>
      <c r="H690" s="153" t="s">
        <v>1592</v>
      </c>
      <c r="I690" s="118"/>
      <c r="J690" s="118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  <c r="AA690" s="118"/>
      <c r="AB690" s="118"/>
    </row>
    <row r="691" ht="15.75" customHeight="1">
      <c r="A691" s="159"/>
      <c r="B691" s="160"/>
      <c r="C691" s="155"/>
      <c r="D691" s="156" t="s">
        <v>1586</v>
      </c>
      <c r="E691" s="153">
        <v>0.0</v>
      </c>
      <c r="F691" s="157">
        <v>15.0</v>
      </c>
      <c r="G691" s="158" t="s">
        <v>1593</v>
      </c>
      <c r="H691" s="153" t="s">
        <v>1583</v>
      </c>
      <c r="I691" s="118"/>
      <c r="J691" s="118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  <c r="AA691" s="118"/>
      <c r="AB691" s="118"/>
    </row>
    <row r="692" ht="15.75" customHeight="1">
      <c r="A692" s="159"/>
      <c r="B692" s="160"/>
      <c r="C692" s="155"/>
      <c r="D692" s="156" t="s">
        <v>1594</v>
      </c>
      <c r="E692" s="153">
        <v>0.0</v>
      </c>
      <c r="F692" s="157">
        <v>1.0</v>
      </c>
      <c r="G692" s="158" t="s">
        <v>1587</v>
      </c>
      <c r="H692" s="153" t="s">
        <v>1576</v>
      </c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  <c r="AA692" s="118"/>
      <c r="AB692" s="118"/>
    </row>
    <row r="693" ht="15.75" customHeight="1">
      <c r="A693" s="159"/>
      <c r="B693" s="160"/>
      <c r="C693" s="155"/>
      <c r="D693" s="156" t="s">
        <v>1594</v>
      </c>
      <c r="E693" s="153">
        <v>0.0</v>
      </c>
      <c r="F693" s="157">
        <v>2.0</v>
      </c>
      <c r="G693" s="158" t="s">
        <v>1516</v>
      </c>
      <c r="H693" s="153" t="s">
        <v>1578</v>
      </c>
      <c r="I693" s="118"/>
      <c r="J693" s="118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  <c r="AA693" s="118"/>
      <c r="AB693" s="118"/>
    </row>
    <row r="694" ht="15.75" customHeight="1">
      <c r="A694" s="159"/>
      <c r="B694" s="160"/>
      <c r="C694" s="155"/>
      <c r="D694" s="156" t="s">
        <v>1594</v>
      </c>
      <c r="E694" s="153">
        <v>0.0</v>
      </c>
      <c r="F694" s="157">
        <v>3.0</v>
      </c>
      <c r="G694" s="158" t="s">
        <v>1442</v>
      </c>
      <c r="H694" s="153" t="s">
        <v>1580</v>
      </c>
      <c r="I694" s="118"/>
      <c r="J694" s="118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  <c r="AA694" s="118"/>
      <c r="AB694" s="118"/>
    </row>
    <row r="695" ht="15.75" customHeight="1">
      <c r="A695" s="159"/>
      <c r="B695" s="160"/>
      <c r="C695" s="155"/>
      <c r="D695" s="156" t="s">
        <v>1594</v>
      </c>
      <c r="E695" s="153">
        <v>0.0</v>
      </c>
      <c r="F695" s="157">
        <v>4.0</v>
      </c>
      <c r="G695" s="158" t="s">
        <v>1269</v>
      </c>
      <c r="H695" s="153" t="s">
        <v>1581</v>
      </c>
      <c r="I695" s="118"/>
      <c r="J695" s="118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  <c r="AA695" s="118"/>
      <c r="AB695" s="118"/>
    </row>
    <row r="696" ht="15.75" customHeight="1">
      <c r="A696" s="159"/>
      <c r="B696" s="160"/>
      <c r="C696" s="155"/>
      <c r="D696" s="156" t="s">
        <v>1594</v>
      </c>
      <c r="E696" s="153">
        <v>0.0</v>
      </c>
      <c r="F696" s="157">
        <v>15.0</v>
      </c>
      <c r="G696" s="158" t="s">
        <v>1593</v>
      </c>
      <c r="H696" s="153" t="s">
        <v>1583</v>
      </c>
      <c r="I696" s="118"/>
      <c r="J696" s="118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  <c r="AA696" s="118"/>
      <c r="AB696" s="118"/>
    </row>
    <row r="697" ht="15.75" customHeight="1">
      <c r="A697" s="159"/>
      <c r="B697" s="160"/>
      <c r="C697" s="155"/>
      <c r="D697" s="156" t="s">
        <v>1595</v>
      </c>
      <c r="E697" s="153">
        <v>0.0</v>
      </c>
      <c r="F697" s="157">
        <v>1.0</v>
      </c>
      <c r="G697" s="158" t="s">
        <v>1571</v>
      </c>
      <c r="H697" s="153" t="s">
        <v>1576</v>
      </c>
      <c r="I697" s="118"/>
      <c r="J697" s="118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  <c r="AA697" s="118"/>
      <c r="AB697" s="118"/>
    </row>
    <row r="698" ht="15.75" customHeight="1">
      <c r="A698" s="159"/>
      <c r="B698" s="160"/>
      <c r="C698" s="155"/>
      <c r="D698" s="156" t="s">
        <v>1595</v>
      </c>
      <c r="E698" s="153">
        <v>0.0</v>
      </c>
      <c r="F698" s="157">
        <v>2.0</v>
      </c>
      <c r="G698" s="158" t="s">
        <v>1596</v>
      </c>
      <c r="H698" s="153" t="s">
        <v>1583</v>
      </c>
      <c r="I698" s="118"/>
      <c r="J698" s="118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  <c r="AA698" s="118"/>
      <c r="AB698" s="118"/>
    </row>
    <row r="699" ht="15.75" customHeight="1">
      <c r="A699" s="159"/>
      <c r="B699" s="160"/>
      <c r="C699" s="155"/>
      <c r="D699" s="156" t="s">
        <v>1595</v>
      </c>
      <c r="E699" s="153">
        <v>0.0</v>
      </c>
      <c r="F699" s="157">
        <v>3.0</v>
      </c>
      <c r="G699" s="158" t="s">
        <v>1442</v>
      </c>
      <c r="H699" s="153" t="s">
        <v>1580</v>
      </c>
      <c r="I699" s="118"/>
      <c r="J699" s="118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  <c r="AA699" s="118"/>
      <c r="AB699" s="118"/>
    </row>
    <row r="700" ht="15.75" customHeight="1">
      <c r="A700" s="159"/>
      <c r="B700" s="160"/>
      <c r="C700" s="155"/>
      <c r="D700" s="156" t="s">
        <v>1595</v>
      </c>
      <c r="E700" s="153">
        <v>0.0</v>
      </c>
      <c r="F700" s="157">
        <v>4.0</v>
      </c>
      <c r="G700" s="158" t="s">
        <v>1269</v>
      </c>
      <c r="H700" s="153" t="s">
        <v>1581</v>
      </c>
      <c r="I700" s="118"/>
      <c r="J700" s="118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  <c r="AA700" s="118"/>
      <c r="AB700" s="118"/>
    </row>
    <row r="701" ht="15.75" customHeight="1">
      <c r="A701" s="159"/>
      <c r="B701" s="160"/>
      <c r="C701" s="155"/>
      <c r="D701" s="156" t="s">
        <v>1595</v>
      </c>
      <c r="E701" s="153">
        <v>0.0</v>
      </c>
      <c r="F701" s="157">
        <v>16.0</v>
      </c>
      <c r="G701" s="158" t="s">
        <v>1305</v>
      </c>
      <c r="H701" s="153" t="s">
        <v>1578</v>
      </c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  <c r="AA701" s="118"/>
      <c r="AB701" s="118"/>
    </row>
    <row r="702" ht="15.75" customHeight="1">
      <c r="A702" s="159"/>
      <c r="B702" s="160"/>
      <c r="C702" s="155"/>
      <c r="D702" s="156" t="s">
        <v>1597</v>
      </c>
      <c r="E702" s="153">
        <v>0.0</v>
      </c>
      <c r="F702" s="157">
        <v>1.0</v>
      </c>
      <c r="G702" s="158" t="s">
        <v>1587</v>
      </c>
      <c r="H702" s="153" t="s">
        <v>1576</v>
      </c>
      <c r="I702" s="118"/>
      <c r="J702" s="118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  <c r="AA702" s="118"/>
      <c r="AB702" s="118"/>
    </row>
    <row r="703" ht="15.75" customHeight="1">
      <c r="A703" s="159"/>
      <c r="B703" s="160"/>
      <c r="C703" s="155"/>
      <c r="D703" s="156" t="s">
        <v>1597</v>
      </c>
      <c r="E703" s="153">
        <v>0.0</v>
      </c>
      <c r="F703" s="157">
        <v>2.0</v>
      </c>
      <c r="G703" s="158" t="s">
        <v>1305</v>
      </c>
      <c r="H703" s="153" t="s">
        <v>1578</v>
      </c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  <c r="AA703" s="118"/>
      <c r="AB703" s="118"/>
    </row>
    <row r="704" ht="15.75" customHeight="1">
      <c r="A704" s="159"/>
      <c r="B704" s="160"/>
      <c r="C704" s="155"/>
      <c r="D704" s="156" t="s">
        <v>1597</v>
      </c>
      <c r="E704" s="153">
        <v>0.0</v>
      </c>
      <c r="F704" s="157">
        <v>3.0</v>
      </c>
      <c r="G704" s="158" t="s">
        <v>1442</v>
      </c>
      <c r="H704" s="153" t="s">
        <v>1580</v>
      </c>
      <c r="I704" s="118"/>
      <c r="J704" s="118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  <c r="AA704" s="118"/>
      <c r="AB704" s="118"/>
    </row>
    <row r="705" ht="15.75" customHeight="1">
      <c r="A705" s="159"/>
      <c r="B705" s="160"/>
      <c r="C705" s="155"/>
      <c r="D705" s="156" t="s">
        <v>1597</v>
      </c>
      <c r="E705" s="153">
        <v>0.0</v>
      </c>
      <c r="F705" s="157">
        <v>4.0</v>
      </c>
      <c r="G705" s="158" t="s">
        <v>1269</v>
      </c>
      <c r="H705" s="153" t="s">
        <v>1581</v>
      </c>
      <c r="I705" s="118"/>
      <c r="J705" s="118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  <c r="AA705" s="118"/>
      <c r="AB705" s="118"/>
    </row>
    <row r="706" ht="15.75" customHeight="1">
      <c r="A706" s="159"/>
      <c r="B706" s="160"/>
      <c r="C706" s="155"/>
      <c r="D706" s="156" t="s">
        <v>1597</v>
      </c>
      <c r="E706" s="153">
        <v>0.0</v>
      </c>
      <c r="F706" s="157">
        <v>9.0</v>
      </c>
      <c r="G706" s="158" t="s">
        <v>1277</v>
      </c>
      <c r="H706" s="153" t="s">
        <v>1589</v>
      </c>
      <c r="I706" s="118"/>
      <c r="J706" s="118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  <c r="AA706" s="118"/>
      <c r="AB706" s="118"/>
    </row>
    <row r="707" ht="15.75" customHeight="1">
      <c r="A707" s="159"/>
      <c r="B707" s="160"/>
      <c r="C707" s="155"/>
      <c r="D707" s="156" t="s">
        <v>1597</v>
      </c>
      <c r="E707" s="153">
        <v>0.0</v>
      </c>
      <c r="F707" s="157">
        <v>10.0</v>
      </c>
      <c r="G707" s="158" t="s">
        <v>1590</v>
      </c>
      <c r="H707" s="153" t="s">
        <v>1591</v>
      </c>
      <c r="I707" s="118"/>
      <c r="J707" s="118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  <c r="AA707" s="118"/>
      <c r="AB707" s="118"/>
    </row>
    <row r="708" ht="15.75" customHeight="1">
      <c r="A708" s="159"/>
      <c r="B708" s="160"/>
      <c r="C708" s="155"/>
      <c r="D708" s="156" t="s">
        <v>1597</v>
      </c>
      <c r="E708" s="153">
        <v>0.0</v>
      </c>
      <c r="F708" s="157">
        <v>14.0</v>
      </c>
      <c r="G708" s="158" t="s">
        <v>1303</v>
      </c>
      <c r="H708" s="153" t="s">
        <v>1592</v>
      </c>
      <c r="I708" s="118"/>
      <c r="J708" s="118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  <c r="AA708" s="118"/>
      <c r="AB708" s="118"/>
    </row>
    <row r="709" ht="15.75" customHeight="1">
      <c r="A709" s="159"/>
      <c r="B709" s="160"/>
      <c r="C709" s="155"/>
      <c r="D709" s="156" t="s">
        <v>1597</v>
      </c>
      <c r="E709" s="153">
        <v>0.0</v>
      </c>
      <c r="F709" s="157">
        <v>15.0</v>
      </c>
      <c r="G709" s="158" t="s">
        <v>1593</v>
      </c>
      <c r="H709" s="153" t="s">
        <v>1583</v>
      </c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  <c r="AA709" s="118"/>
      <c r="AB709" s="118"/>
    </row>
    <row r="710" ht="15.75" customHeight="1">
      <c r="A710" s="159"/>
      <c r="B710" s="160"/>
      <c r="C710" s="155"/>
      <c r="D710" s="156" t="s">
        <v>1597</v>
      </c>
      <c r="E710" s="153">
        <v>0.0</v>
      </c>
      <c r="F710" s="157">
        <v>16.0</v>
      </c>
      <c r="G710" s="158" t="s">
        <v>1593</v>
      </c>
      <c r="H710" s="153" t="s">
        <v>1583</v>
      </c>
      <c r="I710" s="118"/>
      <c r="J710" s="118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  <c r="AA710" s="118"/>
      <c r="AB710" s="118"/>
    </row>
    <row r="711" ht="15.75" customHeight="1">
      <c r="A711" s="159"/>
      <c r="B711" s="160"/>
      <c r="C711" s="155"/>
      <c r="D711" s="156" t="s">
        <v>1597</v>
      </c>
      <c r="E711" s="153">
        <v>0.0</v>
      </c>
      <c r="F711" s="157">
        <v>20.0</v>
      </c>
      <c r="G711" s="158" t="s">
        <v>1598</v>
      </c>
      <c r="H711" s="153" t="s">
        <v>1599</v>
      </c>
      <c r="I711" s="118"/>
      <c r="J711" s="118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  <c r="AA711" s="118"/>
      <c r="AB711" s="118"/>
    </row>
    <row r="712" ht="15.75" customHeight="1">
      <c r="A712" s="159"/>
      <c r="B712" s="160"/>
      <c r="C712" s="155"/>
      <c r="D712" s="156" t="s">
        <v>1600</v>
      </c>
      <c r="E712" s="153">
        <v>0.0</v>
      </c>
      <c r="F712" s="157">
        <v>1.0</v>
      </c>
      <c r="G712" s="158" t="s">
        <v>1587</v>
      </c>
      <c r="H712" s="153" t="s">
        <v>1576</v>
      </c>
      <c r="I712" s="118"/>
      <c r="J712" s="118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  <c r="AA712" s="118"/>
      <c r="AB712" s="118"/>
    </row>
    <row r="713" ht="15.75" customHeight="1">
      <c r="A713" s="159"/>
      <c r="B713" s="160"/>
      <c r="C713" s="155"/>
      <c r="D713" s="156" t="s">
        <v>1600</v>
      </c>
      <c r="E713" s="153">
        <v>0.0</v>
      </c>
      <c r="F713" s="157">
        <v>2.0</v>
      </c>
      <c r="G713" s="158" t="s">
        <v>1516</v>
      </c>
      <c r="H713" s="153" t="s">
        <v>1578</v>
      </c>
      <c r="I713" s="118"/>
      <c r="J713" s="118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  <c r="AA713" s="118"/>
      <c r="AB713" s="118"/>
    </row>
    <row r="714" ht="15.75" customHeight="1">
      <c r="A714" s="159"/>
      <c r="B714" s="160"/>
      <c r="C714" s="155"/>
      <c r="D714" s="156" t="s">
        <v>1600</v>
      </c>
      <c r="E714" s="153">
        <v>0.0</v>
      </c>
      <c r="F714" s="157">
        <v>3.0</v>
      </c>
      <c r="G714" s="158" t="s">
        <v>1442</v>
      </c>
      <c r="H714" s="153" t="s">
        <v>1580</v>
      </c>
      <c r="I714" s="118"/>
      <c r="J714" s="118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  <c r="AA714" s="118"/>
      <c r="AB714" s="118"/>
    </row>
    <row r="715" ht="15.75" customHeight="1">
      <c r="A715" s="159"/>
      <c r="B715" s="160"/>
      <c r="C715" s="155"/>
      <c r="D715" s="156" t="s">
        <v>1600</v>
      </c>
      <c r="E715" s="153">
        <v>0.0</v>
      </c>
      <c r="F715" s="157">
        <v>4.0</v>
      </c>
      <c r="G715" s="158" t="s">
        <v>1269</v>
      </c>
      <c r="H715" s="153" t="s">
        <v>1581</v>
      </c>
      <c r="I715" s="118"/>
      <c r="J715" s="118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  <c r="AA715" s="118"/>
      <c r="AB715" s="118"/>
    </row>
    <row r="716" ht="15.75" customHeight="1">
      <c r="A716" s="159"/>
      <c r="B716" s="160"/>
      <c r="C716" s="155"/>
      <c r="D716" s="156" t="s">
        <v>1600</v>
      </c>
      <c r="E716" s="153">
        <v>0.0</v>
      </c>
      <c r="F716" s="157">
        <v>15.0</v>
      </c>
      <c r="G716" s="158" t="s">
        <v>1593</v>
      </c>
      <c r="H716" s="153" t="s">
        <v>1583</v>
      </c>
      <c r="I716" s="118"/>
      <c r="J716" s="118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  <c r="AA716" s="118"/>
      <c r="AB716" s="118"/>
    </row>
    <row r="717" ht="15.75" customHeight="1">
      <c r="A717" s="159"/>
      <c r="B717" s="160"/>
      <c r="C717" s="155"/>
      <c r="D717" s="156" t="s">
        <v>1601</v>
      </c>
      <c r="E717" s="153">
        <v>0.0</v>
      </c>
      <c r="F717" s="157">
        <v>1.0</v>
      </c>
      <c r="G717" s="158" t="s">
        <v>1587</v>
      </c>
      <c r="H717" s="153" t="s">
        <v>1576</v>
      </c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  <c r="AA717" s="118"/>
      <c r="AB717" s="118"/>
    </row>
    <row r="718" ht="15.75" customHeight="1">
      <c r="A718" s="159"/>
      <c r="B718" s="160"/>
      <c r="C718" s="155"/>
      <c r="D718" s="156" t="s">
        <v>1601</v>
      </c>
      <c r="E718" s="153">
        <v>0.0</v>
      </c>
      <c r="F718" s="157">
        <v>2.0</v>
      </c>
      <c r="G718" s="158" t="s">
        <v>1577</v>
      </c>
      <c r="H718" s="153" t="s">
        <v>1578</v>
      </c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  <c r="AA718" s="118"/>
      <c r="AB718" s="118"/>
    </row>
    <row r="719" ht="15.75" customHeight="1">
      <c r="A719" s="159"/>
      <c r="B719" s="160"/>
      <c r="C719" s="155"/>
      <c r="D719" s="156" t="s">
        <v>1601</v>
      </c>
      <c r="E719" s="153">
        <v>0.0</v>
      </c>
      <c r="F719" s="157">
        <v>3.0</v>
      </c>
      <c r="G719" s="158" t="s">
        <v>1442</v>
      </c>
      <c r="H719" s="153" t="s">
        <v>1580</v>
      </c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  <c r="AA719" s="118"/>
      <c r="AB719" s="118"/>
    </row>
    <row r="720" ht="15.75" customHeight="1">
      <c r="A720" s="159"/>
      <c r="B720" s="160"/>
      <c r="C720" s="155"/>
      <c r="D720" s="156" t="s">
        <v>1601</v>
      </c>
      <c r="E720" s="153">
        <v>0.0</v>
      </c>
      <c r="F720" s="157">
        <v>4.0</v>
      </c>
      <c r="G720" s="158" t="s">
        <v>1269</v>
      </c>
      <c r="H720" s="153" t="s">
        <v>1581</v>
      </c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  <c r="AA720" s="118"/>
      <c r="AB720" s="118"/>
    </row>
    <row r="721" ht="15.75" customHeight="1">
      <c r="A721" s="159"/>
      <c r="B721" s="160"/>
      <c r="C721" s="155"/>
      <c r="D721" s="156" t="s">
        <v>1601</v>
      </c>
      <c r="E721" s="153">
        <v>0.0</v>
      </c>
      <c r="F721" s="157">
        <v>9.0</v>
      </c>
      <c r="G721" s="158" t="s">
        <v>1277</v>
      </c>
      <c r="H721" s="153" t="s">
        <v>1589</v>
      </c>
      <c r="I721" s="118"/>
      <c r="J721" s="118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  <c r="AA721" s="118"/>
      <c r="AB721" s="118"/>
    </row>
    <row r="722" ht="15.75" customHeight="1">
      <c r="A722" s="159"/>
      <c r="B722" s="160"/>
      <c r="C722" s="155"/>
      <c r="D722" s="156" t="s">
        <v>1601</v>
      </c>
      <c r="E722" s="153">
        <v>0.0</v>
      </c>
      <c r="F722" s="157">
        <v>10.0</v>
      </c>
      <c r="G722" s="158" t="s">
        <v>1590</v>
      </c>
      <c r="H722" s="153" t="s">
        <v>1591</v>
      </c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  <c r="AA722" s="118"/>
      <c r="AB722" s="118"/>
    </row>
    <row r="723" ht="15.75" customHeight="1">
      <c r="A723" s="159"/>
      <c r="B723" s="160"/>
      <c r="C723" s="155"/>
      <c r="D723" s="156" t="s">
        <v>1601</v>
      </c>
      <c r="E723" s="153">
        <v>0.0</v>
      </c>
      <c r="F723" s="157">
        <v>14.0</v>
      </c>
      <c r="G723" s="158" t="s">
        <v>1303</v>
      </c>
      <c r="H723" s="153" t="s">
        <v>1592</v>
      </c>
      <c r="I723" s="118"/>
      <c r="J723" s="118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  <c r="AA723" s="118"/>
      <c r="AB723" s="118"/>
    </row>
    <row r="724" ht="15.75" customHeight="1">
      <c r="A724" s="159"/>
      <c r="B724" s="160"/>
      <c r="C724" s="155"/>
      <c r="D724" s="156" t="s">
        <v>1601</v>
      </c>
      <c r="E724" s="153">
        <v>0.0</v>
      </c>
      <c r="F724" s="157">
        <v>15.0</v>
      </c>
      <c r="G724" s="158" t="s">
        <v>1593</v>
      </c>
      <c r="H724" s="153" t="s">
        <v>1583</v>
      </c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  <c r="AA724" s="118"/>
      <c r="AB724" s="118"/>
    </row>
    <row r="725" ht="15.75" customHeight="1">
      <c r="A725" s="159"/>
      <c r="B725" s="160"/>
      <c r="C725" s="155"/>
      <c r="D725" s="156" t="s">
        <v>1601</v>
      </c>
      <c r="E725" s="153">
        <v>0.0</v>
      </c>
      <c r="F725" s="157">
        <v>16.0</v>
      </c>
      <c r="G725" s="158" t="s">
        <v>1577</v>
      </c>
      <c r="H725" s="153" t="s">
        <v>1578</v>
      </c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  <c r="AA725" s="118"/>
      <c r="AB725" s="118"/>
    </row>
    <row r="726" ht="15.75" customHeight="1">
      <c r="A726" s="159"/>
      <c r="B726" s="160"/>
      <c r="C726" s="155"/>
      <c r="D726" s="156" t="s">
        <v>1602</v>
      </c>
      <c r="E726" s="153">
        <v>0.0</v>
      </c>
      <c r="F726" s="157">
        <v>1.0</v>
      </c>
      <c r="G726" s="158" t="s">
        <v>1603</v>
      </c>
      <c r="H726" s="153" t="s">
        <v>1391</v>
      </c>
      <c r="I726" s="118"/>
      <c r="J726" s="118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  <c r="AA726" s="118"/>
      <c r="AB726" s="118"/>
    </row>
    <row r="727" ht="15.75" customHeight="1">
      <c r="A727" s="159"/>
      <c r="B727" s="160"/>
      <c r="C727" s="155"/>
      <c r="D727" s="156" t="s">
        <v>1602</v>
      </c>
      <c r="E727" s="153">
        <v>0.0</v>
      </c>
      <c r="F727" s="157">
        <v>2.0</v>
      </c>
      <c r="G727" s="158" t="s">
        <v>1305</v>
      </c>
      <c r="H727" s="153" t="s">
        <v>1486</v>
      </c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  <c r="AA727" s="118"/>
      <c r="AB727" s="118"/>
    </row>
    <row r="728" ht="15.75" customHeight="1">
      <c r="A728" s="159"/>
      <c r="B728" s="160"/>
      <c r="C728" s="155"/>
      <c r="D728" s="156" t="s">
        <v>1602</v>
      </c>
      <c r="E728" s="153">
        <v>0.0</v>
      </c>
      <c r="F728" s="157">
        <v>3.0</v>
      </c>
      <c r="G728" s="158" t="s">
        <v>1442</v>
      </c>
      <c r="H728" s="153" t="s">
        <v>1394</v>
      </c>
      <c r="I728" s="118"/>
      <c r="J728" s="118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  <c r="AA728" s="118"/>
      <c r="AB728" s="118"/>
    </row>
    <row r="729" ht="15.75" customHeight="1">
      <c r="A729" s="159"/>
      <c r="B729" s="160"/>
      <c r="C729" s="155"/>
      <c r="D729" s="156" t="s">
        <v>1602</v>
      </c>
      <c r="E729" s="153">
        <v>0.0</v>
      </c>
      <c r="F729" s="157">
        <v>4.0</v>
      </c>
      <c r="G729" s="158" t="s">
        <v>1269</v>
      </c>
      <c r="H729" s="153" t="s">
        <v>1604</v>
      </c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  <c r="AA729" s="118"/>
      <c r="AB729" s="118"/>
    </row>
    <row r="730" ht="15.75" customHeight="1">
      <c r="A730" s="159"/>
      <c r="B730" s="160"/>
      <c r="C730" s="155"/>
      <c r="D730" s="156" t="s">
        <v>1602</v>
      </c>
      <c r="E730" s="153">
        <v>0.0</v>
      </c>
      <c r="F730" s="157">
        <v>14.0</v>
      </c>
      <c r="G730" s="158" t="s">
        <v>1605</v>
      </c>
      <c r="H730" s="153" t="s">
        <v>1397</v>
      </c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  <c r="AA730" s="118"/>
      <c r="AB730" s="118"/>
    </row>
    <row r="731" ht="15.75" customHeight="1">
      <c r="A731" s="159"/>
      <c r="B731" s="160"/>
      <c r="C731" s="155"/>
      <c r="D731" s="156" t="s">
        <v>1602</v>
      </c>
      <c r="E731" s="153">
        <v>0.0</v>
      </c>
      <c r="F731" s="157">
        <v>15.0</v>
      </c>
      <c r="G731" s="158" t="s">
        <v>1606</v>
      </c>
      <c r="H731" s="153" t="s">
        <v>1393</v>
      </c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  <c r="AA731" s="118"/>
      <c r="AB731" s="118"/>
    </row>
    <row r="732" ht="15.75" customHeight="1">
      <c r="A732" s="159"/>
      <c r="B732" s="160"/>
      <c r="C732" s="155"/>
      <c r="D732" s="156" t="s">
        <v>1607</v>
      </c>
      <c r="E732" s="153">
        <v>0.0</v>
      </c>
      <c r="F732" s="157">
        <v>1.0</v>
      </c>
      <c r="G732" s="158" t="s">
        <v>1263</v>
      </c>
      <c r="H732" s="153">
        <v>1.0</v>
      </c>
      <c r="I732" s="118"/>
      <c r="J732" s="118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  <c r="AA732" s="118"/>
      <c r="AB732" s="118"/>
    </row>
    <row r="733" ht="15.75" customHeight="1">
      <c r="A733" s="159"/>
      <c r="B733" s="160"/>
      <c r="C733" s="155"/>
      <c r="D733" s="156" t="s">
        <v>1607</v>
      </c>
      <c r="E733" s="153">
        <v>0.0</v>
      </c>
      <c r="F733" s="157">
        <v>2.0</v>
      </c>
      <c r="G733" s="158" t="s">
        <v>1266</v>
      </c>
      <c r="H733" s="153">
        <v>2.0</v>
      </c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  <c r="AA733" s="118"/>
      <c r="AB733" s="118"/>
    </row>
    <row r="734" ht="15.75" customHeight="1">
      <c r="A734" s="159"/>
      <c r="B734" s="160"/>
      <c r="C734" s="155"/>
      <c r="D734" s="156" t="s">
        <v>1607</v>
      </c>
      <c r="E734" s="153">
        <v>0.0</v>
      </c>
      <c r="F734" s="157">
        <v>3.0</v>
      </c>
      <c r="G734" s="158" t="s">
        <v>1268</v>
      </c>
      <c r="H734" s="153">
        <v>3.0</v>
      </c>
      <c r="I734" s="118"/>
      <c r="J734" s="118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  <c r="AA734" s="118"/>
      <c r="AB734" s="118"/>
    </row>
    <row r="735" ht="15.75" customHeight="1">
      <c r="A735" s="159"/>
      <c r="B735" s="160"/>
      <c r="C735" s="155"/>
      <c r="D735" s="156" t="s">
        <v>1607</v>
      </c>
      <c r="E735" s="153">
        <v>0.0</v>
      </c>
      <c r="F735" s="157">
        <v>4.0</v>
      </c>
      <c r="G735" s="158" t="s">
        <v>1269</v>
      </c>
      <c r="H735" s="153">
        <v>4.0</v>
      </c>
      <c r="I735" s="118"/>
      <c r="J735" s="118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  <c r="AA735" s="118"/>
      <c r="AB735" s="118"/>
    </row>
    <row r="736" ht="15.75" customHeight="1">
      <c r="A736" s="159"/>
      <c r="B736" s="160"/>
      <c r="C736" s="155"/>
      <c r="D736" s="156" t="s">
        <v>1607</v>
      </c>
      <c r="E736" s="153">
        <v>0.0</v>
      </c>
      <c r="F736" s="157">
        <v>5.0</v>
      </c>
      <c r="G736" s="158" t="s">
        <v>1271</v>
      </c>
      <c r="H736" s="153">
        <v>5.0</v>
      </c>
      <c r="I736" s="118"/>
      <c r="J736" s="118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  <c r="AA736" s="118"/>
      <c r="AB736" s="118"/>
    </row>
    <row r="737" ht="15.75" customHeight="1">
      <c r="A737" s="159"/>
      <c r="B737" s="160"/>
      <c r="C737" s="155"/>
      <c r="D737" s="156" t="s">
        <v>1607</v>
      </c>
      <c r="E737" s="153">
        <v>0.0</v>
      </c>
      <c r="F737" s="157">
        <v>6.0</v>
      </c>
      <c r="G737" s="158" t="s">
        <v>1273</v>
      </c>
      <c r="H737" s="153">
        <v>6.0</v>
      </c>
      <c r="I737" s="118"/>
      <c r="J737" s="118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  <c r="AA737" s="118"/>
      <c r="AB737" s="118"/>
    </row>
    <row r="738" ht="15.75" customHeight="1">
      <c r="A738" s="159"/>
      <c r="B738" s="160"/>
      <c r="C738" s="155"/>
      <c r="D738" s="156" t="s">
        <v>1608</v>
      </c>
      <c r="E738" s="153">
        <v>0.0</v>
      </c>
      <c r="F738" s="157">
        <v>1.0</v>
      </c>
      <c r="G738" s="158" t="s">
        <v>1571</v>
      </c>
      <c r="H738" s="153" t="s">
        <v>1576</v>
      </c>
      <c r="I738" s="118"/>
      <c r="J738" s="118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  <c r="AA738" s="118"/>
      <c r="AB738" s="118"/>
    </row>
    <row r="739" ht="15.75" customHeight="1">
      <c r="A739" s="159"/>
      <c r="B739" s="160"/>
      <c r="C739" s="155"/>
      <c r="D739" s="156" t="s">
        <v>1608</v>
      </c>
      <c r="E739" s="153">
        <v>0.0</v>
      </c>
      <c r="F739" s="157">
        <v>3.0</v>
      </c>
      <c r="G739" s="158" t="s">
        <v>1442</v>
      </c>
      <c r="H739" s="153" t="s">
        <v>1580</v>
      </c>
      <c r="I739" s="118"/>
      <c r="J739" s="118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  <c r="AA739" s="118"/>
      <c r="AB739" s="118"/>
    </row>
    <row r="740" ht="15.75" customHeight="1">
      <c r="A740" s="159"/>
      <c r="B740" s="160"/>
      <c r="C740" s="155"/>
      <c r="D740" s="156" t="s">
        <v>1608</v>
      </c>
      <c r="E740" s="153">
        <v>0.0</v>
      </c>
      <c r="F740" s="157">
        <v>4.0</v>
      </c>
      <c r="G740" s="158" t="s">
        <v>1269</v>
      </c>
      <c r="H740" s="153" t="s">
        <v>1581</v>
      </c>
      <c r="I740" s="118"/>
      <c r="J740" s="118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  <c r="AA740" s="118"/>
      <c r="AB740" s="118"/>
    </row>
    <row r="741" ht="15.75" customHeight="1">
      <c r="A741" s="159"/>
      <c r="B741" s="160"/>
      <c r="C741" s="155"/>
      <c r="D741" s="156" t="s">
        <v>1608</v>
      </c>
      <c r="E741" s="153">
        <v>0.0</v>
      </c>
      <c r="F741" s="157">
        <v>15.0</v>
      </c>
      <c r="G741" s="158" t="s">
        <v>1582</v>
      </c>
      <c r="H741" s="153" t="s">
        <v>1583</v>
      </c>
      <c r="I741" s="118"/>
      <c r="J741" s="118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  <c r="AA741" s="118"/>
      <c r="AB741" s="118"/>
    </row>
    <row r="742" ht="15.75" customHeight="1">
      <c r="A742" s="159"/>
      <c r="B742" s="160"/>
      <c r="C742" s="155"/>
      <c r="D742" s="156" t="s">
        <v>1609</v>
      </c>
      <c r="E742" s="153">
        <v>0.0</v>
      </c>
      <c r="F742" s="157">
        <v>1.0</v>
      </c>
      <c r="G742" s="158" t="s">
        <v>1263</v>
      </c>
      <c r="H742" s="153">
        <v>1.0</v>
      </c>
      <c r="I742" s="118"/>
      <c r="J742" s="118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  <c r="AA742" s="118"/>
      <c r="AB742" s="118"/>
    </row>
    <row r="743" ht="15.75" customHeight="1">
      <c r="A743" s="159"/>
      <c r="B743" s="160"/>
      <c r="C743" s="155"/>
      <c r="D743" s="156" t="s">
        <v>1609</v>
      </c>
      <c r="E743" s="153">
        <v>0.0</v>
      </c>
      <c r="F743" s="157">
        <v>2.0</v>
      </c>
      <c r="G743" s="158" t="s">
        <v>1266</v>
      </c>
      <c r="H743" s="153">
        <v>2.0</v>
      </c>
      <c r="I743" s="118"/>
      <c r="J743" s="118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  <c r="AA743" s="118"/>
      <c r="AB743" s="118"/>
    </row>
    <row r="744" ht="15.75" customHeight="1">
      <c r="A744" s="159"/>
      <c r="B744" s="160"/>
      <c r="C744" s="155"/>
      <c r="D744" s="156" t="s">
        <v>1609</v>
      </c>
      <c r="E744" s="153">
        <v>0.0</v>
      </c>
      <c r="F744" s="157">
        <v>3.0</v>
      </c>
      <c r="G744" s="158" t="s">
        <v>1268</v>
      </c>
      <c r="H744" s="153">
        <v>3.0</v>
      </c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  <c r="AA744" s="118"/>
      <c r="AB744" s="118"/>
    </row>
    <row r="745" ht="15.75" customHeight="1">
      <c r="A745" s="159"/>
      <c r="B745" s="160"/>
      <c r="C745" s="155"/>
      <c r="D745" s="156" t="s">
        <v>1609</v>
      </c>
      <c r="E745" s="153">
        <v>0.0</v>
      </c>
      <c r="F745" s="157">
        <v>4.0</v>
      </c>
      <c r="G745" s="158" t="s">
        <v>1269</v>
      </c>
      <c r="H745" s="153">
        <v>4.0</v>
      </c>
      <c r="I745" s="118"/>
      <c r="J745" s="118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  <c r="AA745" s="118"/>
      <c r="AB745" s="118"/>
    </row>
    <row r="746" ht="15.75" customHeight="1">
      <c r="A746" s="159"/>
      <c r="B746" s="160"/>
      <c r="C746" s="155"/>
      <c r="D746" s="156" t="s">
        <v>1609</v>
      </c>
      <c r="E746" s="153">
        <v>0.0</v>
      </c>
      <c r="F746" s="157">
        <v>5.0</v>
      </c>
      <c r="G746" s="158" t="s">
        <v>1271</v>
      </c>
      <c r="H746" s="153">
        <v>5.0</v>
      </c>
      <c r="I746" s="118"/>
      <c r="J746" s="118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  <c r="AA746" s="118"/>
      <c r="AB746" s="118"/>
    </row>
    <row r="747" ht="15.75" customHeight="1">
      <c r="A747" s="159"/>
      <c r="B747" s="160"/>
      <c r="C747" s="155"/>
      <c r="D747" s="156" t="s">
        <v>1609</v>
      </c>
      <c r="E747" s="153">
        <v>0.0</v>
      </c>
      <c r="F747" s="157">
        <v>6.0</v>
      </c>
      <c r="G747" s="158" t="s">
        <v>1273</v>
      </c>
      <c r="H747" s="153">
        <v>6.0</v>
      </c>
      <c r="I747" s="118"/>
      <c r="J747" s="118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  <c r="AA747" s="118"/>
      <c r="AB747" s="118"/>
    </row>
    <row r="748" ht="15.75" customHeight="1">
      <c r="A748" s="159"/>
      <c r="B748" s="160"/>
      <c r="C748" s="155"/>
      <c r="D748" s="156" t="s">
        <v>1610</v>
      </c>
      <c r="E748" s="153">
        <v>0.0</v>
      </c>
      <c r="F748" s="157">
        <v>3.0</v>
      </c>
      <c r="G748" s="158" t="s">
        <v>1268</v>
      </c>
      <c r="H748" s="153">
        <v>3.0</v>
      </c>
      <c r="I748" s="118"/>
      <c r="J748" s="118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  <c r="AA748" s="118"/>
      <c r="AB748" s="118"/>
    </row>
    <row r="749" ht="15.75" customHeight="1">
      <c r="A749" s="159"/>
      <c r="B749" s="160"/>
      <c r="C749" s="155"/>
      <c r="D749" s="156" t="s">
        <v>1610</v>
      </c>
      <c r="E749" s="153">
        <v>0.0</v>
      </c>
      <c r="F749" s="157">
        <v>4.0</v>
      </c>
      <c r="G749" s="158" t="s">
        <v>1270</v>
      </c>
      <c r="H749" s="153">
        <v>5.0</v>
      </c>
      <c r="I749" s="118"/>
      <c r="J749" s="118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  <c r="AA749" s="118"/>
      <c r="AB749" s="118"/>
    </row>
    <row r="750" ht="15.75" customHeight="1">
      <c r="A750" s="159"/>
      <c r="B750" s="160"/>
      <c r="C750" s="155"/>
      <c r="D750" s="156" t="s">
        <v>1610</v>
      </c>
      <c r="E750" s="153">
        <v>0.0</v>
      </c>
      <c r="F750" s="157">
        <v>5.0</v>
      </c>
      <c r="G750" s="158" t="s">
        <v>1271</v>
      </c>
      <c r="H750" s="153">
        <v>6.0</v>
      </c>
      <c r="I750" s="118"/>
      <c r="J750" s="118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  <c r="AA750" s="118"/>
      <c r="AB750" s="118"/>
    </row>
    <row r="751" ht="15.75" customHeight="1">
      <c r="A751" s="159"/>
      <c r="B751" s="160"/>
      <c r="C751" s="155"/>
      <c r="D751" s="156" t="s">
        <v>1610</v>
      </c>
      <c r="E751" s="153">
        <v>0.0</v>
      </c>
      <c r="F751" s="157">
        <v>6.0</v>
      </c>
      <c r="G751" s="158" t="s">
        <v>1273</v>
      </c>
      <c r="H751" s="153">
        <v>7.0</v>
      </c>
      <c r="I751" s="118"/>
      <c r="J751" s="118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  <c r="AA751" s="118"/>
      <c r="AB751" s="118"/>
    </row>
    <row r="752" ht="15.75" customHeight="1">
      <c r="A752" s="159"/>
      <c r="B752" s="160"/>
      <c r="C752" s="155"/>
      <c r="D752" s="156" t="s">
        <v>1610</v>
      </c>
      <c r="E752" s="153">
        <v>0.0</v>
      </c>
      <c r="F752" s="157">
        <v>7.0</v>
      </c>
      <c r="G752" s="158" t="s">
        <v>1274</v>
      </c>
      <c r="H752" s="153">
        <v>1.0</v>
      </c>
      <c r="I752" s="118"/>
      <c r="J752" s="118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  <c r="AA752" s="118"/>
      <c r="AB752" s="118"/>
    </row>
    <row r="753" ht="15.75" customHeight="1">
      <c r="A753" s="159"/>
      <c r="B753" s="160"/>
      <c r="C753" s="155"/>
      <c r="D753" s="156" t="s">
        <v>1610</v>
      </c>
      <c r="E753" s="153">
        <v>0.0</v>
      </c>
      <c r="F753" s="157">
        <v>8.0</v>
      </c>
      <c r="G753" s="158" t="s">
        <v>1276</v>
      </c>
      <c r="H753" s="153">
        <v>2.0</v>
      </c>
      <c r="I753" s="118"/>
      <c r="J753" s="118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  <c r="AA753" s="118"/>
      <c r="AB753" s="118"/>
    </row>
    <row r="754" ht="15.75" customHeight="1">
      <c r="A754" s="159"/>
      <c r="B754" s="160"/>
      <c r="C754" s="155"/>
      <c r="D754" s="156" t="s">
        <v>1610</v>
      </c>
      <c r="E754" s="153">
        <v>0.0</v>
      </c>
      <c r="F754" s="157">
        <v>9.0</v>
      </c>
      <c r="G754" s="158" t="s">
        <v>1277</v>
      </c>
      <c r="H754" s="153">
        <v>4.0</v>
      </c>
      <c r="I754" s="118"/>
      <c r="J754" s="118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  <c r="AA754" s="118"/>
      <c r="AB754" s="118"/>
    </row>
    <row r="755" ht="15.75" customHeight="1">
      <c r="A755" s="159"/>
      <c r="B755" s="160"/>
      <c r="C755" s="155"/>
      <c r="D755" s="156" t="s">
        <v>1611</v>
      </c>
      <c r="E755" s="153">
        <v>0.0</v>
      </c>
      <c r="F755" s="157">
        <v>3.0</v>
      </c>
      <c r="G755" s="158" t="s">
        <v>1268</v>
      </c>
      <c r="H755" s="153">
        <v>3.0</v>
      </c>
      <c r="I755" s="118"/>
      <c r="J755" s="118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  <c r="AA755" s="118"/>
      <c r="AB755" s="118"/>
    </row>
    <row r="756" ht="15.75" customHeight="1">
      <c r="A756" s="159"/>
      <c r="B756" s="160"/>
      <c r="C756" s="155"/>
      <c r="D756" s="156" t="s">
        <v>1611</v>
      </c>
      <c r="E756" s="153">
        <v>0.0</v>
      </c>
      <c r="F756" s="157">
        <v>4.0</v>
      </c>
      <c r="G756" s="158" t="s">
        <v>1270</v>
      </c>
      <c r="H756" s="153">
        <v>5.0</v>
      </c>
      <c r="I756" s="118"/>
      <c r="J756" s="118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  <c r="AA756" s="118"/>
      <c r="AB756" s="118"/>
    </row>
    <row r="757" ht="15.75" customHeight="1">
      <c r="A757" s="159"/>
      <c r="B757" s="160"/>
      <c r="C757" s="155"/>
      <c r="D757" s="156" t="s">
        <v>1611</v>
      </c>
      <c r="E757" s="153">
        <v>0.0</v>
      </c>
      <c r="F757" s="157">
        <v>5.0</v>
      </c>
      <c r="G757" s="158" t="s">
        <v>1271</v>
      </c>
      <c r="H757" s="153">
        <v>6.0</v>
      </c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  <c r="AA757" s="118"/>
      <c r="AB757" s="118"/>
    </row>
    <row r="758" ht="15.75" customHeight="1">
      <c r="A758" s="159"/>
      <c r="B758" s="160"/>
      <c r="C758" s="155"/>
      <c r="D758" s="156" t="s">
        <v>1611</v>
      </c>
      <c r="E758" s="153">
        <v>0.0</v>
      </c>
      <c r="F758" s="157">
        <v>6.0</v>
      </c>
      <c r="G758" s="158" t="s">
        <v>1358</v>
      </c>
      <c r="H758" s="153">
        <v>7.0</v>
      </c>
      <c r="I758" s="118"/>
      <c r="J758" s="118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  <c r="AA758" s="118"/>
      <c r="AB758" s="118"/>
    </row>
    <row r="759" ht="15.75" customHeight="1">
      <c r="A759" s="159"/>
      <c r="B759" s="160"/>
      <c r="C759" s="155"/>
      <c r="D759" s="156" t="s">
        <v>1611</v>
      </c>
      <c r="E759" s="153">
        <v>0.0</v>
      </c>
      <c r="F759" s="157">
        <v>7.0</v>
      </c>
      <c r="G759" s="158" t="s">
        <v>1274</v>
      </c>
      <c r="H759" s="153">
        <v>1.0</v>
      </c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  <c r="AA759" s="118"/>
      <c r="AB759" s="118"/>
    </row>
    <row r="760" ht="15.75" customHeight="1">
      <c r="A760" s="159"/>
      <c r="B760" s="160"/>
      <c r="C760" s="155"/>
      <c r="D760" s="156" t="s">
        <v>1611</v>
      </c>
      <c r="E760" s="153">
        <v>0.0</v>
      </c>
      <c r="F760" s="157">
        <v>8.0</v>
      </c>
      <c r="G760" s="158" t="s">
        <v>1359</v>
      </c>
      <c r="H760" s="153">
        <v>2.0</v>
      </c>
      <c r="I760" s="118"/>
      <c r="J760" s="118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  <c r="AA760" s="118"/>
      <c r="AB760" s="118"/>
    </row>
    <row r="761" ht="15.75" customHeight="1">
      <c r="A761" s="159"/>
      <c r="B761" s="160"/>
      <c r="C761" s="155"/>
      <c r="D761" s="156" t="s">
        <v>1611</v>
      </c>
      <c r="E761" s="153">
        <v>0.0</v>
      </c>
      <c r="F761" s="157">
        <v>9.0</v>
      </c>
      <c r="G761" s="158" t="s">
        <v>1277</v>
      </c>
      <c r="H761" s="153">
        <v>4.0</v>
      </c>
      <c r="I761" s="118"/>
      <c r="J761" s="118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  <c r="AA761" s="118"/>
      <c r="AB761" s="118"/>
    </row>
    <row r="762" ht="15.75" customHeight="1">
      <c r="A762" s="159"/>
      <c r="B762" s="160"/>
      <c r="C762" s="155"/>
      <c r="D762" s="156" t="s">
        <v>1612</v>
      </c>
      <c r="E762" s="153">
        <v>0.0</v>
      </c>
      <c r="F762" s="157">
        <v>1.0</v>
      </c>
      <c r="G762" s="158" t="s">
        <v>1263</v>
      </c>
      <c r="H762" s="153">
        <v>1.0</v>
      </c>
      <c r="I762" s="118"/>
      <c r="J762" s="118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  <c r="AA762" s="118"/>
      <c r="AB762" s="118"/>
    </row>
    <row r="763" ht="15.75" customHeight="1">
      <c r="A763" s="159"/>
      <c r="B763" s="160"/>
      <c r="C763" s="155"/>
      <c r="D763" s="156" t="s">
        <v>1612</v>
      </c>
      <c r="E763" s="153">
        <v>0.0</v>
      </c>
      <c r="F763" s="157">
        <v>2.0</v>
      </c>
      <c r="G763" s="158" t="s">
        <v>1266</v>
      </c>
      <c r="H763" s="153">
        <v>2.0</v>
      </c>
      <c r="I763" s="118"/>
      <c r="J763" s="118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  <c r="AA763" s="118"/>
      <c r="AB763" s="118"/>
    </row>
    <row r="764" ht="15.75" customHeight="1">
      <c r="A764" s="159"/>
      <c r="B764" s="160"/>
      <c r="C764" s="155"/>
      <c r="D764" s="156" t="s">
        <v>1612</v>
      </c>
      <c r="E764" s="153">
        <v>0.0</v>
      </c>
      <c r="F764" s="157">
        <v>3.0</v>
      </c>
      <c r="G764" s="158" t="s">
        <v>1268</v>
      </c>
      <c r="H764" s="153">
        <v>3.0</v>
      </c>
      <c r="I764" s="118"/>
      <c r="J764" s="118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  <c r="AA764" s="118"/>
      <c r="AB764" s="118"/>
    </row>
    <row r="765" ht="15.75" customHeight="1">
      <c r="A765" s="159"/>
      <c r="B765" s="160"/>
      <c r="C765" s="155"/>
      <c r="D765" s="156" t="s">
        <v>1612</v>
      </c>
      <c r="E765" s="153">
        <v>0.0</v>
      </c>
      <c r="F765" s="157">
        <v>4.0</v>
      </c>
      <c r="G765" s="158" t="s">
        <v>1269</v>
      </c>
      <c r="H765" s="153">
        <v>4.0</v>
      </c>
      <c r="I765" s="118"/>
      <c r="J765" s="118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  <c r="AA765" s="118"/>
      <c r="AB765" s="118"/>
    </row>
    <row r="766" ht="15.75" customHeight="1">
      <c r="A766" s="159"/>
      <c r="B766" s="160"/>
      <c r="C766" s="155"/>
      <c r="D766" s="156" t="s">
        <v>1612</v>
      </c>
      <c r="E766" s="153">
        <v>0.0</v>
      </c>
      <c r="F766" s="157">
        <v>5.0</v>
      </c>
      <c r="G766" s="158" t="s">
        <v>1271</v>
      </c>
      <c r="H766" s="153">
        <v>5.0</v>
      </c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  <c r="AA766" s="118"/>
      <c r="AB766" s="118"/>
    </row>
    <row r="767" ht="15.75" customHeight="1">
      <c r="A767" s="159"/>
      <c r="B767" s="160"/>
      <c r="C767" s="155"/>
      <c r="D767" s="156" t="s">
        <v>1612</v>
      </c>
      <c r="E767" s="153">
        <v>0.0</v>
      </c>
      <c r="F767" s="157">
        <v>6.0</v>
      </c>
      <c r="G767" s="158" t="s">
        <v>1358</v>
      </c>
      <c r="H767" s="153">
        <v>6.0</v>
      </c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  <c r="AA767" s="118"/>
      <c r="AB767" s="118"/>
    </row>
    <row r="768" ht="15.75" customHeight="1">
      <c r="A768" s="159"/>
      <c r="B768" s="160"/>
      <c r="C768" s="155"/>
      <c r="D768" s="156" t="s">
        <v>1613</v>
      </c>
      <c r="E768" s="153">
        <v>0.0</v>
      </c>
      <c r="F768" s="157">
        <v>3.0</v>
      </c>
      <c r="G768" s="158" t="s">
        <v>1268</v>
      </c>
      <c r="H768" s="153">
        <v>3.0</v>
      </c>
      <c r="I768" s="118"/>
      <c r="J768" s="118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  <c r="AA768" s="118"/>
      <c r="AB768" s="118"/>
    </row>
    <row r="769" ht="15.75" customHeight="1">
      <c r="A769" s="159"/>
      <c r="B769" s="160"/>
      <c r="C769" s="155"/>
      <c r="D769" s="156" t="s">
        <v>1613</v>
      </c>
      <c r="E769" s="153">
        <v>0.0</v>
      </c>
      <c r="F769" s="157">
        <v>4.0</v>
      </c>
      <c r="G769" s="158" t="s">
        <v>1270</v>
      </c>
      <c r="H769" s="153">
        <v>5.0</v>
      </c>
      <c r="I769" s="118"/>
      <c r="J769" s="118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  <c r="AA769" s="118"/>
      <c r="AB769" s="118"/>
    </row>
    <row r="770" ht="15.75" customHeight="1">
      <c r="A770" s="159"/>
      <c r="B770" s="160"/>
      <c r="C770" s="155"/>
      <c r="D770" s="156" t="s">
        <v>1613</v>
      </c>
      <c r="E770" s="153">
        <v>0.0</v>
      </c>
      <c r="F770" s="157">
        <v>5.0</v>
      </c>
      <c r="G770" s="158" t="s">
        <v>1271</v>
      </c>
      <c r="H770" s="153">
        <v>6.0</v>
      </c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  <c r="AA770" s="118"/>
      <c r="AB770" s="118"/>
    </row>
    <row r="771" ht="15.75" customHeight="1">
      <c r="A771" s="159"/>
      <c r="B771" s="160"/>
      <c r="C771" s="155"/>
      <c r="D771" s="156" t="s">
        <v>1613</v>
      </c>
      <c r="E771" s="153">
        <v>0.0</v>
      </c>
      <c r="F771" s="157">
        <v>6.0</v>
      </c>
      <c r="G771" s="158" t="s">
        <v>1358</v>
      </c>
      <c r="H771" s="153">
        <v>7.0</v>
      </c>
      <c r="I771" s="118"/>
      <c r="J771" s="118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  <c r="AA771" s="118"/>
      <c r="AB771" s="118"/>
    </row>
    <row r="772" ht="15.75" customHeight="1">
      <c r="A772" s="159"/>
      <c r="B772" s="160"/>
      <c r="C772" s="155"/>
      <c r="D772" s="156" t="s">
        <v>1613</v>
      </c>
      <c r="E772" s="153">
        <v>0.0</v>
      </c>
      <c r="F772" s="157">
        <v>7.0</v>
      </c>
      <c r="G772" s="158" t="s">
        <v>1274</v>
      </c>
      <c r="H772" s="153">
        <v>1.0</v>
      </c>
      <c r="I772" s="118"/>
      <c r="J772" s="118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  <c r="AA772" s="118"/>
      <c r="AB772" s="118"/>
    </row>
    <row r="773" ht="15.75" customHeight="1">
      <c r="A773" s="159"/>
      <c r="B773" s="160"/>
      <c r="C773" s="155"/>
      <c r="D773" s="156" t="s">
        <v>1613</v>
      </c>
      <c r="E773" s="153">
        <v>0.0</v>
      </c>
      <c r="F773" s="157">
        <v>8.0</v>
      </c>
      <c r="G773" s="158" t="s">
        <v>1359</v>
      </c>
      <c r="H773" s="153">
        <v>2.0</v>
      </c>
      <c r="I773" s="118"/>
      <c r="J773" s="118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  <c r="AA773" s="118"/>
      <c r="AB773" s="118"/>
    </row>
    <row r="774" ht="15.75" customHeight="1">
      <c r="A774" s="159"/>
      <c r="B774" s="160"/>
      <c r="C774" s="155"/>
      <c r="D774" s="156" t="s">
        <v>1613</v>
      </c>
      <c r="E774" s="153">
        <v>0.0</v>
      </c>
      <c r="F774" s="157">
        <v>9.0</v>
      </c>
      <c r="G774" s="158" t="s">
        <v>1277</v>
      </c>
      <c r="H774" s="153">
        <v>4.0</v>
      </c>
      <c r="I774" s="118"/>
      <c r="J774" s="118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  <c r="AA774" s="118"/>
      <c r="AB774" s="118"/>
    </row>
    <row r="775" ht="15.75" customHeight="1">
      <c r="A775" s="159"/>
      <c r="B775" s="160"/>
      <c r="C775" s="155"/>
      <c r="D775" s="156" t="s">
        <v>1614</v>
      </c>
      <c r="E775" s="153">
        <v>0.0</v>
      </c>
      <c r="F775" s="157">
        <v>3.0</v>
      </c>
      <c r="G775" s="158" t="s">
        <v>1268</v>
      </c>
      <c r="H775" s="153">
        <v>3.0</v>
      </c>
      <c r="I775" s="118"/>
      <c r="J775" s="118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  <c r="AA775" s="118"/>
      <c r="AB775" s="118"/>
    </row>
    <row r="776" ht="15.75" customHeight="1">
      <c r="A776" s="159"/>
      <c r="B776" s="160"/>
      <c r="C776" s="155"/>
      <c r="D776" s="156" t="s">
        <v>1614</v>
      </c>
      <c r="E776" s="153">
        <v>0.0</v>
      </c>
      <c r="F776" s="157">
        <v>4.0</v>
      </c>
      <c r="G776" s="158" t="s">
        <v>1270</v>
      </c>
      <c r="H776" s="153">
        <v>5.0</v>
      </c>
      <c r="I776" s="118"/>
      <c r="J776" s="118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  <c r="AA776" s="118"/>
      <c r="AB776" s="118"/>
    </row>
    <row r="777" ht="15.75" customHeight="1">
      <c r="A777" s="159"/>
      <c r="B777" s="160"/>
      <c r="C777" s="155"/>
      <c r="D777" s="156" t="s">
        <v>1614</v>
      </c>
      <c r="E777" s="153">
        <v>0.0</v>
      </c>
      <c r="F777" s="157">
        <v>5.0</v>
      </c>
      <c r="G777" s="158" t="s">
        <v>1271</v>
      </c>
      <c r="H777" s="153">
        <v>6.0</v>
      </c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  <c r="AA777" s="118"/>
      <c r="AB777" s="118"/>
    </row>
    <row r="778" ht="15.75" customHeight="1">
      <c r="A778" s="159"/>
      <c r="B778" s="160"/>
      <c r="C778" s="155"/>
      <c r="D778" s="156" t="s">
        <v>1614</v>
      </c>
      <c r="E778" s="153">
        <v>0.0</v>
      </c>
      <c r="F778" s="157">
        <v>6.0</v>
      </c>
      <c r="G778" s="158" t="s">
        <v>1273</v>
      </c>
      <c r="H778" s="153">
        <v>7.0</v>
      </c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  <c r="AA778" s="118"/>
      <c r="AB778" s="118"/>
    </row>
    <row r="779" ht="15.75" customHeight="1">
      <c r="A779" s="159"/>
      <c r="B779" s="160"/>
      <c r="C779" s="155"/>
      <c r="D779" s="156" t="s">
        <v>1614</v>
      </c>
      <c r="E779" s="153">
        <v>0.0</v>
      </c>
      <c r="F779" s="157">
        <v>7.0</v>
      </c>
      <c r="G779" s="158" t="s">
        <v>1274</v>
      </c>
      <c r="H779" s="153">
        <v>1.0</v>
      </c>
      <c r="I779" s="118"/>
      <c r="J779" s="118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  <c r="AA779" s="118"/>
      <c r="AB779" s="118"/>
    </row>
    <row r="780" ht="15.75" customHeight="1">
      <c r="A780" s="159"/>
      <c r="B780" s="160"/>
      <c r="C780" s="155"/>
      <c r="D780" s="156" t="s">
        <v>1614</v>
      </c>
      <c r="E780" s="153">
        <v>0.0</v>
      </c>
      <c r="F780" s="157">
        <v>8.0</v>
      </c>
      <c r="G780" s="158" t="s">
        <v>1276</v>
      </c>
      <c r="H780" s="153">
        <v>2.0</v>
      </c>
      <c r="I780" s="118"/>
      <c r="J780" s="118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  <c r="AA780" s="118"/>
      <c r="AB780" s="118"/>
    </row>
    <row r="781" ht="15.75" customHeight="1">
      <c r="A781" s="159"/>
      <c r="B781" s="160"/>
      <c r="C781" s="155"/>
      <c r="D781" s="156" t="s">
        <v>1614</v>
      </c>
      <c r="E781" s="153">
        <v>0.0</v>
      </c>
      <c r="F781" s="157">
        <v>9.0</v>
      </c>
      <c r="G781" s="158" t="s">
        <v>1277</v>
      </c>
      <c r="H781" s="153">
        <v>4.0</v>
      </c>
      <c r="I781" s="118"/>
      <c r="J781" s="118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  <c r="AA781" s="118"/>
      <c r="AB781" s="118"/>
    </row>
    <row r="782" ht="15.75" customHeight="1">
      <c r="A782" s="159"/>
      <c r="B782" s="160"/>
      <c r="C782" s="155"/>
      <c r="D782" s="156" t="s">
        <v>1615</v>
      </c>
      <c r="E782" s="153">
        <v>0.0</v>
      </c>
      <c r="F782" s="157">
        <v>1.0</v>
      </c>
      <c r="G782" s="158" t="s">
        <v>1263</v>
      </c>
      <c r="H782" s="153">
        <v>1.0</v>
      </c>
      <c r="I782" s="118"/>
      <c r="J782" s="118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  <c r="AA782" s="118"/>
      <c r="AB782" s="118"/>
    </row>
    <row r="783" ht="15.75" customHeight="1">
      <c r="A783" s="159"/>
      <c r="B783" s="160"/>
      <c r="C783" s="155"/>
      <c r="D783" s="156" t="s">
        <v>1615</v>
      </c>
      <c r="E783" s="153">
        <v>0.0</v>
      </c>
      <c r="F783" s="157">
        <v>2.0</v>
      </c>
      <c r="G783" s="158" t="s">
        <v>1266</v>
      </c>
      <c r="H783" s="153">
        <v>2.0</v>
      </c>
      <c r="I783" s="118"/>
      <c r="J783" s="118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  <c r="AA783" s="118"/>
      <c r="AB783" s="118"/>
    </row>
    <row r="784" ht="15.75" customHeight="1">
      <c r="A784" s="159"/>
      <c r="B784" s="160"/>
      <c r="C784" s="155"/>
      <c r="D784" s="156" t="s">
        <v>1615</v>
      </c>
      <c r="E784" s="153">
        <v>0.0</v>
      </c>
      <c r="F784" s="157">
        <v>3.0</v>
      </c>
      <c r="G784" s="158" t="s">
        <v>1268</v>
      </c>
      <c r="H784" s="153">
        <v>3.0</v>
      </c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  <c r="AA784" s="118"/>
      <c r="AB784" s="118"/>
    </row>
    <row r="785" ht="15.75" customHeight="1">
      <c r="A785" s="159"/>
      <c r="B785" s="160"/>
      <c r="C785" s="155"/>
      <c r="D785" s="156" t="s">
        <v>1615</v>
      </c>
      <c r="E785" s="153">
        <v>0.0</v>
      </c>
      <c r="F785" s="157">
        <v>4.0</v>
      </c>
      <c r="G785" s="158" t="s">
        <v>1269</v>
      </c>
      <c r="H785" s="153">
        <v>4.0</v>
      </c>
      <c r="I785" s="118"/>
      <c r="J785" s="118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  <c r="AA785" s="118"/>
      <c r="AB785" s="118"/>
    </row>
    <row r="786" ht="15.75" customHeight="1">
      <c r="A786" s="159"/>
      <c r="B786" s="160"/>
      <c r="C786" s="155"/>
      <c r="D786" s="156" t="s">
        <v>1615</v>
      </c>
      <c r="E786" s="153">
        <v>0.0</v>
      </c>
      <c r="F786" s="157">
        <v>5.0</v>
      </c>
      <c r="G786" s="158" t="s">
        <v>1271</v>
      </c>
      <c r="H786" s="153">
        <v>5.0</v>
      </c>
      <c r="I786" s="118"/>
      <c r="J786" s="118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  <c r="AA786" s="118"/>
      <c r="AB786" s="118"/>
    </row>
    <row r="787" ht="15.75" customHeight="1">
      <c r="A787" s="159"/>
      <c r="B787" s="160"/>
      <c r="C787" s="155"/>
      <c r="D787" s="156" t="s">
        <v>1615</v>
      </c>
      <c r="E787" s="153">
        <v>0.0</v>
      </c>
      <c r="F787" s="157">
        <v>6.0</v>
      </c>
      <c r="G787" s="158" t="s">
        <v>1273</v>
      </c>
      <c r="H787" s="153">
        <v>6.0</v>
      </c>
      <c r="I787" s="118"/>
      <c r="J787" s="118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  <c r="AA787" s="118"/>
      <c r="AB787" s="118"/>
    </row>
    <row r="788" ht="15.75" customHeight="1">
      <c r="A788" s="159"/>
      <c r="B788" s="160"/>
      <c r="C788" s="155"/>
      <c r="D788" s="156" t="s">
        <v>1616</v>
      </c>
      <c r="E788" s="153">
        <v>0.0</v>
      </c>
      <c r="F788" s="157">
        <v>1.0</v>
      </c>
      <c r="G788" s="158" t="s">
        <v>1617</v>
      </c>
      <c r="H788" s="153">
        <v>51.0</v>
      </c>
      <c r="I788" s="118"/>
      <c r="J788" s="118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  <c r="AA788" s="118"/>
      <c r="AB788" s="118"/>
    </row>
    <row r="789" ht="15.75" customHeight="1">
      <c r="A789" s="159"/>
      <c r="B789" s="160"/>
      <c r="C789" s="155"/>
      <c r="D789" s="156" t="s">
        <v>1616</v>
      </c>
      <c r="E789" s="153">
        <v>0.0</v>
      </c>
      <c r="F789" s="157">
        <v>51.0</v>
      </c>
      <c r="G789" s="158" t="s">
        <v>1617</v>
      </c>
      <c r="H789" s="153">
        <v>51.0</v>
      </c>
      <c r="I789" s="118"/>
      <c r="J789" s="118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  <c r="AA789" s="118"/>
      <c r="AB789" s="118"/>
    </row>
    <row r="790" ht="15.75" customHeight="1">
      <c r="A790" s="159"/>
      <c r="B790" s="160"/>
      <c r="C790" s="155"/>
      <c r="D790" s="156" t="s">
        <v>1616</v>
      </c>
      <c r="E790" s="153">
        <v>0.0</v>
      </c>
      <c r="F790" s="157">
        <v>52.0</v>
      </c>
      <c r="G790" s="158" t="s">
        <v>1618</v>
      </c>
      <c r="H790" s="153">
        <v>52.0</v>
      </c>
      <c r="I790" s="118"/>
      <c r="J790" s="118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  <c r="AA790" s="118"/>
      <c r="AB790" s="118"/>
    </row>
    <row r="791" ht="15.75" customHeight="1">
      <c r="A791" s="159"/>
      <c r="B791" s="160"/>
      <c r="C791" s="155"/>
      <c r="D791" s="156" t="s">
        <v>1616</v>
      </c>
      <c r="E791" s="153">
        <v>0.0</v>
      </c>
      <c r="F791" s="157">
        <v>53.0</v>
      </c>
      <c r="G791" s="158" t="s">
        <v>1617</v>
      </c>
      <c r="H791" s="153">
        <v>53.0</v>
      </c>
      <c r="I791" s="118"/>
      <c r="J791" s="118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  <c r="AA791" s="118"/>
      <c r="AB791" s="118"/>
    </row>
    <row r="792" ht="15.75" customHeight="1">
      <c r="A792" s="159"/>
      <c r="B792" s="160"/>
      <c r="C792" s="155"/>
      <c r="D792" s="156" t="s">
        <v>1616</v>
      </c>
      <c r="E792" s="153">
        <v>0.0</v>
      </c>
      <c r="F792" s="157">
        <v>54.0</v>
      </c>
      <c r="G792" s="158" t="s">
        <v>1617</v>
      </c>
      <c r="H792" s="153">
        <v>54.0</v>
      </c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  <c r="AA792" s="118"/>
      <c r="AB792" s="118"/>
    </row>
    <row r="793" ht="15.75" customHeight="1">
      <c r="A793" s="159"/>
      <c r="B793" s="160"/>
      <c r="C793" s="155"/>
      <c r="D793" s="156" t="s">
        <v>1616</v>
      </c>
      <c r="E793" s="153">
        <v>0.0</v>
      </c>
      <c r="F793" s="157">
        <v>55.0</v>
      </c>
      <c r="G793" s="158" t="s">
        <v>1426</v>
      </c>
      <c r="H793" s="153">
        <v>55.0</v>
      </c>
      <c r="I793" s="118"/>
      <c r="J793" s="118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  <c r="AA793" s="118"/>
      <c r="AB793" s="118"/>
    </row>
    <row r="794" ht="15.75" customHeight="1">
      <c r="A794" s="159"/>
      <c r="B794" s="160"/>
      <c r="C794" s="155"/>
      <c r="D794" s="156" t="s">
        <v>1616</v>
      </c>
      <c r="E794" s="153">
        <v>0.0</v>
      </c>
      <c r="F794" s="157">
        <v>56.0</v>
      </c>
      <c r="G794" s="158" t="s">
        <v>1269</v>
      </c>
      <c r="H794" s="153">
        <v>56.0</v>
      </c>
      <c r="I794" s="118"/>
      <c r="J794" s="118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  <c r="AA794" s="118"/>
      <c r="AB794" s="118"/>
    </row>
    <row r="795" ht="15.75" customHeight="1">
      <c r="A795" s="159"/>
      <c r="B795" s="160"/>
      <c r="C795" s="155"/>
      <c r="D795" s="156" t="s">
        <v>1616</v>
      </c>
      <c r="E795" s="153">
        <v>0.0</v>
      </c>
      <c r="F795" s="157">
        <v>57.0</v>
      </c>
      <c r="G795" s="158" t="s">
        <v>1619</v>
      </c>
      <c r="H795" s="153">
        <v>57.0</v>
      </c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  <c r="AA795" s="118"/>
      <c r="AB795" s="118"/>
    </row>
    <row r="796" ht="15.75" customHeight="1">
      <c r="A796" s="159"/>
      <c r="B796" s="160"/>
      <c r="C796" s="155"/>
      <c r="D796" s="156" t="s">
        <v>1616</v>
      </c>
      <c r="E796" s="153">
        <v>0.0</v>
      </c>
      <c r="F796" s="157">
        <v>58.0</v>
      </c>
      <c r="G796" s="158" t="s">
        <v>1285</v>
      </c>
      <c r="H796" s="153">
        <v>58.0</v>
      </c>
      <c r="I796" s="118"/>
      <c r="J796" s="118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  <c r="AA796" s="118"/>
      <c r="AB796" s="118"/>
    </row>
    <row r="797" ht="15.75" customHeight="1">
      <c r="A797" s="159"/>
      <c r="B797" s="160"/>
      <c r="C797" s="155"/>
      <c r="D797" s="156" t="s">
        <v>1616</v>
      </c>
      <c r="E797" s="153">
        <v>0.0</v>
      </c>
      <c r="F797" s="157">
        <v>59.0</v>
      </c>
      <c r="G797" s="158" t="s">
        <v>1620</v>
      </c>
      <c r="H797" s="153">
        <v>59.0</v>
      </c>
      <c r="I797" s="118"/>
      <c r="J797" s="118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  <c r="AA797" s="118"/>
      <c r="AB797" s="118"/>
    </row>
    <row r="798" ht="15.75" customHeight="1">
      <c r="A798" s="159"/>
      <c r="B798" s="160"/>
      <c r="C798" s="155"/>
      <c r="D798" s="156" t="s">
        <v>1616</v>
      </c>
      <c r="E798" s="153">
        <v>0.0</v>
      </c>
      <c r="F798" s="157">
        <v>61.0</v>
      </c>
      <c r="G798" s="158" t="s">
        <v>1621</v>
      </c>
      <c r="H798" s="153">
        <v>61.0</v>
      </c>
      <c r="I798" s="118"/>
      <c r="J798" s="118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  <c r="AA798" s="118"/>
      <c r="AB798" s="118"/>
    </row>
    <row r="799" ht="15.75" customHeight="1">
      <c r="A799" s="159"/>
      <c r="B799" s="160"/>
      <c r="C799" s="155"/>
      <c r="D799" s="156" t="s">
        <v>1616</v>
      </c>
      <c r="E799" s="153">
        <v>0.0</v>
      </c>
      <c r="F799" s="157">
        <v>62.0</v>
      </c>
      <c r="G799" s="158" t="s">
        <v>1618</v>
      </c>
      <c r="H799" s="153">
        <v>62.0</v>
      </c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  <c r="AA799" s="118"/>
      <c r="AB799" s="118"/>
    </row>
    <row r="800" ht="15.75" customHeight="1">
      <c r="A800" s="159"/>
      <c r="B800" s="160"/>
      <c r="C800" s="155"/>
      <c r="D800" s="156" t="s">
        <v>1616</v>
      </c>
      <c r="E800" s="153">
        <v>0.0</v>
      </c>
      <c r="F800" s="157">
        <v>63.0</v>
      </c>
      <c r="G800" s="158" t="s">
        <v>1622</v>
      </c>
      <c r="H800" s="153">
        <v>63.0</v>
      </c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  <c r="AA800" s="118"/>
      <c r="AB800" s="118"/>
    </row>
    <row r="801" ht="15.75" customHeight="1">
      <c r="A801" s="159"/>
      <c r="B801" s="160"/>
      <c r="C801" s="155"/>
      <c r="D801" s="156" t="s">
        <v>1616</v>
      </c>
      <c r="E801" s="153">
        <v>0.0</v>
      </c>
      <c r="F801" s="157">
        <v>64.0</v>
      </c>
      <c r="G801" s="158" t="s">
        <v>1272</v>
      </c>
      <c r="H801" s="153">
        <v>64.0</v>
      </c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  <c r="AA801" s="118"/>
      <c r="AB801" s="118"/>
    </row>
    <row r="802" ht="15.75" customHeight="1">
      <c r="A802" s="159"/>
      <c r="B802" s="160"/>
      <c r="C802" s="155"/>
      <c r="D802" s="156" t="s">
        <v>1616</v>
      </c>
      <c r="E802" s="153">
        <v>0.0</v>
      </c>
      <c r="F802" s="157">
        <v>65.0</v>
      </c>
      <c r="G802" s="158" t="s">
        <v>1426</v>
      </c>
      <c r="H802" s="153">
        <v>65.0</v>
      </c>
      <c r="I802" s="118"/>
      <c r="J802" s="118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  <c r="AA802" s="118"/>
      <c r="AB802" s="118"/>
    </row>
    <row r="803" ht="15.75" customHeight="1">
      <c r="A803" s="159"/>
      <c r="B803" s="160"/>
      <c r="C803" s="155"/>
      <c r="D803" s="156" t="s">
        <v>1616</v>
      </c>
      <c r="E803" s="153">
        <v>0.0</v>
      </c>
      <c r="F803" s="157">
        <v>66.0</v>
      </c>
      <c r="G803" s="158" t="s">
        <v>1269</v>
      </c>
      <c r="H803" s="153">
        <v>66.0</v>
      </c>
      <c r="I803" s="118"/>
      <c r="J803" s="118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  <c r="AA803" s="118"/>
      <c r="AB803" s="118"/>
    </row>
    <row r="804" ht="15.75" customHeight="1">
      <c r="A804" s="159"/>
      <c r="B804" s="160"/>
      <c r="C804" s="155"/>
      <c r="D804" s="156" t="s">
        <v>1616</v>
      </c>
      <c r="E804" s="153">
        <v>0.0</v>
      </c>
      <c r="F804" s="157">
        <v>67.0</v>
      </c>
      <c r="G804" s="158" t="s">
        <v>1619</v>
      </c>
      <c r="H804" s="153">
        <v>67.0</v>
      </c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  <c r="AA804" s="118"/>
      <c r="AB804" s="118"/>
    </row>
    <row r="805" ht="15.75" customHeight="1">
      <c r="A805" s="159"/>
      <c r="B805" s="160"/>
      <c r="C805" s="155"/>
      <c r="D805" s="156" t="s">
        <v>1616</v>
      </c>
      <c r="E805" s="153">
        <v>0.0</v>
      </c>
      <c r="F805" s="157">
        <v>68.0</v>
      </c>
      <c r="G805" s="158" t="s">
        <v>1285</v>
      </c>
      <c r="H805" s="153">
        <v>68.0</v>
      </c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  <c r="AA805" s="118"/>
      <c r="AB805" s="118"/>
    </row>
    <row r="806" ht="15.75" customHeight="1">
      <c r="A806" s="159"/>
      <c r="B806" s="160"/>
      <c r="C806" s="155"/>
      <c r="D806" s="156" t="s">
        <v>1616</v>
      </c>
      <c r="E806" s="153">
        <v>0.0</v>
      </c>
      <c r="F806" s="157">
        <v>69.0</v>
      </c>
      <c r="G806" s="158" t="s">
        <v>1623</v>
      </c>
      <c r="H806" s="153">
        <v>69.0</v>
      </c>
      <c r="I806" s="118"/>
      <c r="J806" s="118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  <c r="AA806" s="118"/>
      <c r="AB806" s="118"/>
    </row>
    <row r="807" ht="15.75" customHeight="1">
      <c r="A807" s="159"/>
      <c r="B807" s="160"/>
      <c r="C807" s="155"/>
      <c r="D807" s="156" t="s">
        <v>1616</v>
      </c>
      <c r="E807" s="153">
        <v>0.0</v>
      </c>
      <c r="F807" s="157">
        <v>71.0</v>
      </c>
      <c r="G807" s="158" t="s">
        <v>1624</v>
      </c>
      <c r="H807" s="153">
        <v>71.0</v>
      </c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  <c r="AA807" s="118"/>
      <c r="AB807" s="118"/>
    </row>
    <row r="808" ht="15.75" customHeight="1">
      <c r="A808" s="159"/>
      <c r="B808" s="160"/>
      <c r="C808" s="155"/>
      <c r="D808" s="156" t="s">
        <v>1616</v>
      </c>
      <c r="E808" s="153">
        <v>0.0</v>
      </c>
      <c r="F808" s="157">
        <v>72.0</v>
      </c>
      <c r="G808" s="158" t="s">
        <v>1285</v>
      </c>
      <c r="H808" s="153">
        <v>72.0</v>
      </c>
      <c r="I808" s="118"/>
      <c r="J808" s="118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  <c r="AA808" s="118"/>
      <c r="AB808" s="118"/>
    </row>
    <row r="809" ht="15.75" customHeight="1">
      <c r="A809" s="159"/>
      <c r="B809" s="160"/>
      <c r="C809" s="155"/>
      <c r="D809" s="156" t="s">
        <v>1616</v>
      </c>
      <c r="E809" s="153">
        <v>0.0</v>
      </c>
      <c r="F809" s="157">
        <v>78.0</v>
      </c>
      <c r="G809" s="158" t="s">
        <v>1285</v>
      </c>
      <c r="H809" s="153">
        <v>78.0</v>
      </c>
      <c r="I809" s="118"/>
      <c r="J809" s="118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  <c r="AA809" s="118"/>
      <c r="AB809" s="118"/>
    </row>
    <row r="810" ht="15.75" customHeight="1">
      <c r="A810" s="159"/>
      <c r="B810" s="160"/>
      <c r="C810" s="155"/>
      <c r="D810" s="156" t="s">
        <v>1616</v>
      </c>
      <c r="E810" s="153">
        <v>0.0</v>
      </c>
      <c r="F810" s="157">
        <v>79.0</v>
      </c>
      <c r="G810" s="158" t="s">
        <v>1625</v>
      </c>
      <c r="H810" s="153">
        <v>79.0</v>
      </c>
      <c r="I810" s="118"/>
      <c r="J810" s="118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  <c r="AA810" s="118"/>
      <c r="AB810" s="118"/>
    </row>
    <row r="811" ht="15.75" customHeight="1">
      <c r="A811" s="159"/>
      <c r="B811" s="160"/>
      <c r="C811" s="155"/>
      <c r="D811" s="156" t="s">
        <v>1616</v>
      </c>
      <c r="E811" s="153">
        <v>0.0</v>
      </c>
      <c r="F811" s="157">
        <v>81.0</v>
      </c>
      <c r="G811" s="158" t="s">
        <v>1626</v>
      </c>
      <c r="H811" s="153">
        <v>81.0</v>
      </c>
      <c r="I811" s="118"/>
      <c r="J811" s="118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  <c r="AA811" s="118"/>
      <c r="AB811" s="118"/>
    </row>
    <row r="812" ht="15.75" customHeight="1">
      <c r="A812" s="159"/>
      <c r="B812" s="160"/>
      <c r="C812" s="155"/>
      <c r="D812" s="156" t="s">
        <v>1616</v>
      </c>
      <c r="E812" s="153">
        <v>4303103.0</v>
      </c>
      <c r="F812" s="157">
        <v>52.0</v>
      </c>
      <c r="G812" s="158" t="s">
        <v>1627</v>
      </c>
      <c r="H812" s="153">
        <v>52.0</v>
      </c>
      <c r="I812" s="118"/>
      <c r="J812" s="118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  <c r="AA812" s="118"/>
      <c r="AB812" s="118"/>
    </row>
    <row r="813" ht="15.75" customHeight="1">
      <c r="A813" s="159"/>
      <c r="B813" s="160"/>
      <c r="C813" s="155"/>
      <c r="D813" s="156" t="s">
        <v>1616</v>
      </c>
      <c r="E813" s="153">
        <v>4303103.0</v>
      </c>
      <c r="F813" s="157">
        <v>53.0</v>
      </c>
      <c r="G813" s="158" t="s">
        <v>1628</v>
      </c>
      <c r="H813" s="153">
        <v>53.0</v>
      </c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  <c r="AA813" s="118"/>
      <c r="AB813" s="118"/>
    </row>
    <row r="814" ht="15.75" customHeight="1">
      <c r="A814" s="159"/>
      <c r="B814" s="160"/>
      <c r="C814" s="155"/>
      <c r="D814" s="156" t="s">
        <v>1616</v>
      </c>
      <c r="E814" s="153">
        <v>4303103.0</v>
      </c>
      <c r="F814" s="157">
        <v>58.0</v>
      </c>
      <c r="G814" s="158" t="s">
        <v>1460</v>
      </c>
      <c r="H814" s="153">
        <v>58.0</v>
      </c>
      <c r="I814" s="118"/>
      <c r="J814" s="118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  <c r="AA814" s="118"/>
      <c r="AB814" s="118"/>
    </row>
    <row r="815" ht="15.75" customHeight="1">
      <c r="A815" s="159"/>
      <c r="B815" s="160"/>
      <c r="C815" s="155"/>
      <c r="D815" s="156" t="s">
        <v>1616</v>
      </c>
      <c r="E815" s="153">
        <v>4303103.0</v>
      </c>
      <c r="F815" s="157">
        <v>59.0</v>
      </c>
      <c r="G815" s="158" t="s">
        <v>1625</v>
      </c>
      <c r="H815" s="153">
        <v>59.0</v>
      </c>
      <c r="I815" s="118"/>
      <c r="J815" s="118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  <c r="AA815" s="118"/>
      <c r="AB815" s="118"/>
    </row>
    <row r="816" ht="15.75" customHeight="1">
      <c r="A816" s="159"/>
      <c r="B816" s="160"/>
      <c r="C816" s="155"/>
      <c r="D816" s="156" t="s">
        <v>1616</v>
      </c>
      <c r="E816" s="153">
        <v>4303103.0</v>
      </c>
      <c r="F816" s="157">
        <v>62.0</v>
      </c>
      <c r="G816" s="158" t="s">
        <v>1629</v>
      </c>
      <c r="H816" s="153">
        <v>62.0</v>
      </c>
      <c r="I816" s="118"/>
      <c r="J816" s="118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  <c r="AA816" s="118"/>
      <c r="AB816" s="118"/>
    </row>
    <row r="817" ht="15.75" customHeight="1">
      <c r="A817" s="159"/>
      <c r="B817" s="160"/>
      <c r="C817" s="155"/>
      <c r="D817" s="156" t="s">
        <v>1616</v>
      </c>
      <c r="E817" s="153">
        <v>4303103.0</v>
      </c>
      <c r="F817" s="157">
        <v>63.0</v>
      </c>
      <c r="G817" s="158" t="s">
        <v>1630</v>
      </c>
      <c r="H817" s="153">
        <v>63.0</v>
      </c>
      <c r="I817" s="118"/>
      <c r="J817" s="118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  <c r="AA817" s="118"/>
      <c r="AB817" s="118"/>
    </row>
    <row r="818" ht="15.75" customHeight="1">
      <c r="A818" s="159"/>
      <c r="B818" s="160"/>
      <c r="C818" s="155"/>
      <c r="D818" s="156" t="s">
        <v>1616</v>
      </c>
      <c r="E818" s="153">
        <v>4303103.0</v>
      </c>
      <c r="F818" s="157">
        <v>64.0</v>
      </c>
      <c r="G818" s="158" t="s">
        <v>1631</v>
      </c>
      <c r="H818" s="153">
        <v>64.0</v>
      </c>
      <c r="I818" s="118"/>
      <c r="J818" s="118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  <c r="AA818" s="118"/>
      <c r="AB818" s="118"/>
    </row>
    <row r="819" ht="15.75" customHeight="1">
      <c r="A819" s="159"/>
      <c r="B819" s="160"/>
      <c r="C819" s="155"/>
      <c r="D819" s="156" t="s">
        <v>1616</v>
      </c>
      <c r="E819" s="153">
        <v>4303103.0</v>
      </c>
      <c r="F819" s="157">
        <v>68.0</v>
      </c>
      <c r="G819" s="158" t="s">
        <v>1285</v>
      </c>
      <c r="H819" s="153">
        <v>68.0</v>
      </c>
      <c r="I819" s="118"/>
      <c r="J819" s="118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  <c r="AA819" s="118"/>
      <c r="AB819" s="118"/>
    </row>
    <row r="820" ht="15.75" customHeight="1">
      <c r="A820" s="159"/>
      <c r="B820" s="160"/>
      <c r="C820" s="155"/>
      <c r="D820" s="156" t="s">
        <v>1616</v>
      </c>
      <c r="E820" s="153">
        <v>4303103.0</v>
      </c>
      <c r="F820" s="157">
        <v>69.0</v>
      </c>
      <c r="G820" s="158" t="s">
        <v>1625</v>
      </c>
      <c r="H820" s="153">
        <v>69.0</v>
      </c>
      <c r="I820" s="118"/>
      <c r="J820" s="118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  <c r="AA820" s="118"/>
      <c r="AB820" s="118"/>
    </row>
    <row r="821" ht="15.75" customHeight="1">
      <c r="A821" s="159"/>
      <c r="B821" s="160"/>
      <c r="C821" s="155"/>
      <c r="D821" s="156" t="s">
        <v>1616</v>
      </c>
      <c r="E821" s="153">
        <v>4303103.0</v>
      </c>
      <c r="F821" s="157">
        <v>78.0</v>
      </c>
      <c r="G821" s="158" t="s">
        <v>1285</v>
      </c>
      <c r="H821" s="153">
        <v>78.0</v>
      </c>
      <c r="I821" s="118"/>
      <c r="J821" s="118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  <c r="AA821" s="118"/>
      <c r="AB821" s="118"/>
    </row>
    <row r="822" ht="15.75" customHeight="1">
      <c r="A822" s="159"/>
      <c r="B822" s="160"/>
      <c r="C822" s="155"/>
      <c r="D822" s="156" t="s">
        <v>1616</v>
      </c>
      <c r="E822" s="153">
        <v>4303103.0</v>
      </c>
      <c r="F822" s="157">
        <v>79.0</v>
      </c>
      <c r="G822" s="158" t="s">
        <v>1625</v>
      </c>
      <c r="H822" s="153">
        <v>79.0</v>
      </c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  <c r="AA822" s="118"/>
      <c r="AB822" s="118"/>
    </row>
    <row r="823" ht="15.75" customHeight="1">
      <c r="A823" s="159"/>
      <c r="B823" s="160"/>
      <c r="C823" s="155"/>
      <c r="D823" s="156" t="s">
        <v>1616</v>
      </c>
      <c r="E823" s="153">
        <v>4303103.0</v>
      </c>
      <c r="F823" s="157">
        <v>81.0</v>
      </c>
      <c r="G823" s="158" t="s">
        <v>1626</v>
      </c>
      <c r="H823" s="153">
        <v>81.0</v>
      </c>
      <c r="I823" s="118"/>
      <c r="J823" s="118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  <c r="AA823" s="118"/>
      <c r="AB823" s="118"/>
    </row>
    <row r="824" ht="15.75" customHeight="1">
      <c r="A824" s="159"/>
      <c r="B824" s="160"/>
      <c r="C824" s="155"/>
      <c r="D824" s="156" t="s">
        <v>1616</v>
      </c>
      <c r="E824" s="153">
        <v>4314100.0</v>
      </c>
      <c r="F824" s="157">
        <v>2.0</v>
      </c>
      <c r="G824" s="158" t="s">
        <v>1632</v>
      </c>
      <c r="H824" s="153">
        <v>64.0</v>
      </c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  <c r="AA824" s="118"/>
      <c r="AB824" s="118"/>
    </row>
    <row r="825" ht="15.75" customHeight="1">
      <c r="A825" s="159"/>
      <c r="B825" s="160"/>
      <c r="C825" s="155"/>
      <c r="D825" s="156" t="s">
        <v>1616</v>
      </c>
      <c r="E825" s="153">
        <v>4314100.0</v>
      </c>
      <c r="F825" s="157">
        <v>5.0</v>
      </c>
      <c r="G825" s="158" t="s">
        <v>1271</v>
      </c>
      <c r="H825" s="153">
        <v>57.0</v>
      </c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  <c r="AA825" s="118"/>
      <c r="AB825" s="118"/>
    </row>
    <row r="826" ht="15.75" customHeight="1">
      <c r="A826" s="159"/>
      <c r="B826" s="160"/>
      <c r="C826" s="155"/>
      <c r="D826" s="156" t="s">
        <v>1616</v>
      </c>
      <c r="E826" s="153">
        <v>4314100.0</v>
      </c>
      <c r="F826" s="157">
        <v>10.0</v>
      </c>
      <c r="G826" s="158" t="s">
        <v>1633</v>
      </c>
      <c r="H826" s="153">
        <v>68.0</v>
      </c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  <c r="AA826" s="118"/>
      <c r="AB826" s="118"/>
    </row>
    <row r="827" ht="15.75" customHeight="1">
      <c r="A827" s="159"/>
      <c r="B827" s="160"/>
      <c r="C827" s="155"/>
      <c r="D827" s="156" t="s">
        <v>1616</v>
      </c>
      <c r="E827" s="153">
        <v>4314100.0</v>
      </c>
      <c r="F827" s="157">
        <v>12.0</v>
      </c>
      <c r="G827" s="158" t="s">
        <v>1634</v>
      </c>
      <c r="H827" s="153">
        <v>53.0</v>
      </c>
      <c r="I827" s="118"/>
      <c r="J827" s="118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  <c r="AA827" s="118"/>
      <c r="AB827" s="118"/>
    </row>
    <row r="828" ht="15.75" customHeight="1">
      <c r="A828" s="159"/>
      <c r="B828" s="160"/>
      <c r="C828" s="155"/>
      <c r="D828" s="156" t="s">
        <v>1616</v>
      </c>
      <c r="E828" s="153">
        <v>4314100.0</v>
      </c>
      <c r="F828" s="157">
        <v>16.0</v>
      </c>
      <c r="G828" s="158" t="s">
        <v>1285</v>
      </c>
      <c r="H828" s="153">
        <v>72.0</v>
      </c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  <c r="AA828" s="118"/>
      <c r="AB828" s="118"/>
    </row>
    <row r="829" ht="15.75" customHeight="1">
      <c r="A829" s="159"/>
      <c r="B829" s="160"/>
      <c r="C829" s="155"/>
      <c r="D829" s="156" t="s">
        <v>1616</v>
      </c>
      <c r="E829" s="153">
        <v>4314100.0</v>
      </c>
      <c r="F829" s="157">
        <v>51.0</v>
      </c>
      <c r="G829" s="158" t="s">
        <v>1627</v>
      </c>
      <c r="H829" s="153">
        <v>51.0</v>
      </c>
      <c r="I829" s="118"/>
      <c r="J829" s="118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  <c r="AA829" s="118"/>
      <c r="AB829" s="118"/>
    </row>
    <row r="830" ht="15.75" customHeight="1">
      <c r="A830" s="159"/>
      <c r="B830" s="160"/>
      <c r="C830" s="155"/>
      <c r="D830" s="156" t="s">
        <v>1616</v>
      </c>
      <c r="E830" s="153">
        <v>4314100.0</v>
      </c>
      <c r="F830" s="157">
        <v>52.0</v>
      </c>
      <c r="G830" s="158" t="s">
        <v>1628</v>
      </c>
      <c r="H830" s="153">
        <v>52.0</v>
      </c>
      <c r="I830" s="118"/>
      <c r="J830" s="118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  <c r="AA830" s="118"/>
      <c r="AB830" s="118"/>
    </row>
    <row r="831" ht="15.75" customHeight="1">
      <c r="A831" s="159"/>
      <c r="B831" s="160"/>
      <c r="C831" s="155"/>
      <c r="D831" s="156" t="s">
        <v>1616</v>
      </c>
      <c r="E831" s="153">
        <v>4314100.0</v>
      </c>
      <c r="F831" s="157">
        <v>57.0</v>
      </c>
      <c r="G831" s="158" t="s">
        <v>1271</v>
      </c>
      <c r="H831" s="153">
        <v>57.0</v>
      </c>
      <c r="I831" s="118"/>
      <c r="J831" s="118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  <c r="AA831" s="118"/>
      <c r="AB831" s="118"/>
    </row>
    <row r="832" ht="15.75" customHeight="1">
      <c r="A832" s="159"/>
      <c r="B832" s="160"/>
      <c r="C832" s="155"/>
      <c r="D832" s="156" t="s">
        <v>1616</v>
      </c>
      <c r="E832" s="153">
        <v>4314100.0</v>
      </c>
      <c r="F832" s="157">
        <v>63.0</v>
      </c>
      <c r="G832" s="158" t="s">
        <v>1623</v>
      </c>
      <c r="H832" s="153">
        <v>63.0</v>
      </c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  <c r="AA832" s="118"/>
      <c r="AB832" s="118"/>
    </row>
    <row r="833" ht="15.75" customHeight="1">
      <c r="A833" s="159"/>
      <c r="B833" s="160"/>
      <c r="C833" s="155"/>
      <c r="D833" s="156" t="s">
        <v>1616</v>
      </c>
      <c r="E833" s="153">
        <v>4314100.0</v>
      </c>
      <c r="F833" s="157">
        <v>64.0</v>
      </c>
      <c r="G833" s="158" t="s">
        <v>1272</v>
      </c>
      <c r="H833" s="153">
        <v>64.0</v>
      </c>
      <c r="I833" s="118"/>
      <c r="J833" s="118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  <c r="AA833" s="118"/>
      <c r="AB833" s="118"/>
    </row>
    <row r="834" ht="15.75" customHeight="1">
      <c r="A834" s="159"/>
      <c r="B834" s="160"/>
      <c r="C834" s="155"/>
      <c r="D834" s="156" t="s">
        <v>1616</v>
      </c>
      <c r="E834" s="153">
        <v>4314100.0</v>
      </c>
      <c r="F834" s="157">
        <v>67.0</v>
      </c>
      <c r="G834" s="158" t="s">
        <v>1271</v>
      </c>
      <c r="H834" s="153">
        <v>67.0</v>
      </c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  <c r="AA834" s="118"/>
      <c r="AB834" s="118"/>
    </row>
    <row r="835" ht="15.75" customHeight="1">
      <c r="A835" s="159"/>
      <c r="B835" s="160"/>
      <c r="C835" s="155"/>
      <c r="D835" s="156" t="s">
        <v>1616</v>
      </c>
      <c r="E835" s="153">
        <v>4314100.0</v>
      </c>
      <c r="F835" s="157">
        <v>68.0</v>
      </c>
      <c r="G835" s="158" t="s">
        <v>1633</v>
      </c>
      <c r="H835" s="153">
        <v>68.0</v>
      </c>
      <c r="I835" s="118"/>
      <c r="J835" s="118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  <c r="AA835" s="118"/>
      <c r="AB835" s="118"/>
    </row>
    <row r="836" ht="15.75" customHeight="1">
      <c r="A836" s="159"/>
      <c r="B836" s="160"/>
      <c r="C836" s="155"/>
      <c r="D836" s="156" t="s">
        <v>1616</v>
      </c>
      <c r="E836" s="153">
        <v>4314100.0</v>
      </c>
      <c r="F836" s="157">
        <v>69.0</v>
      </c>
      <c r="G836" s="158" t="s">
        <v>1272</v>
      </c>
      <c r="H836" s="153">
        <v>69.0</v>
      </c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  <c r="AA836" s="118"/>
      <c r="AB836" s="118"/>
    </row>
    <row r="837" ht="15.75" customHeight="1">
      <c r="A837" s="159"/>
      <c r="B837" s="160"/>
      <c r="C837" s="155"/>
      <c r="D837" s="156" t="s">
        <v>1635</v>
      </c>
      <c r="E837" s="153">
        <v>0.0</v>
      </c>
      <c r="F837" s="157">
        <v>1.0</v>
      </c>
      <c r="G837" s="158" t="s">
        <v>1263</v>
      </c>
      <c r="H837" s="153">
        <v>1.0</v>
      </c>
      <c r="I837" s="118"/>
      <c r="J837" s="118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  <c r="AA837" s="118"/>
      <c r="AB837" s="118"/>
    </row>
    <row r="838" ht="15.75" customHeight="1">
      <c r="A838" s="159"/>
      <c r="B838" s="160"/>
      <c r="C838" s="155"/>
      <c r="D838" s="156" t="s">
        <v>1635</v>
      </c>
      <c r="E838" s="153">
        <v>0.0</v>
      </c>
      <c r="F838" s="157">
        <v>2.0</v>
      </c>
      <c r="G838" s="158" t="s">
        <v>1266</v>
      </c>
      <c r="H838" s="153">
        <v>2.0</v>
      </c>
      <c r="I838" s="118"/>
      <c r="J838" s="118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  <c r="AA838" s="118"/>
      <c r="AB838" s="118"/>
    </row>
    <row r="839" ht="15.75" customHeight="1">
      <c r="A839" s="159"/>
      <c r="B839" s="160"/>
      <c r="C839" s="155"/>
      <c r="D839" s="156" t="s">
        <v>1635</v>
      </c>
      <c r="E839" s="153">
        <v>0.0</v>
      </c>
      <c r="F839" s="157">
        <v>3.0</v>
      </c>
      <c r="G839" s="158" t="s">
        <v>1268</v>
      </c>
      <c r="H839" s="153">
        <v>3.0</v>
      </c>
      <c r="I839" s="118"/>
      <c r="J839" s="118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  <c r="AA839" s="118"/>
      <c r="AB839" s="118"/>
    </row>
    <row r="840" ht="15.75" customHeight="1">
      <c r="A840" s="159"/>
      <c r="B840" s="160"/>
      <c r="C840" s="155"/>
      <c r="D840" s="156" t="s">
        <v>1635</v>
      </c>
      <c r="E840" s="153">
        <v>0.0</v>
      </c>
      <c r="F840" s="157">
        <v>4.0</v>
      </c>
      <c r="G840" s="158" t="s">
        <v>1269</v>
      </c>
      <c r="H840" s="153">
        <v>4.0</v>
      </c>
      <c r="I840" s="118"/>
      <c r="J840" s="118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  <c r="AA840" s="118"/>
      <c r="AB840" s="118"/>
    </row>
    <row r="841" ht="15.75" customHeight="1">
      <c r="A841" s="159"/>
      <c r="B841" s="160"/>
      <c r="C841" s="155"/>
      <c r="D841" s="156" t="s">
        <v>1635</v>
      </c>
      <c r="E841" s="153">
        <v>0.0</v>
      </c>
      <c r="F841" s="157">
        <v>5.0</v>
      </c>
      <c r="G841" s="158" t="s">
        <v>1271</v>
      </c>
      <c r="H841" s="153">
        <v>5.0</v>
      </c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  <c r="AA841" s="118"/>
      <c r="AB841" s="118"/>
    </row>
    <row r="842" ht="15.75" customHeight="1">
      <c r="A842" s="159"/>
      <c r="B842" s="160"/>
      <c r="C842" s="155"/>
      <c r="D842" s="156" t="s">
        <v>1635</v>
      </c>
      <c r="E842" s="153">
        <v>0.0</v>
      </c>
      <c r="F842" s="157">
        <v>6.0</v>
      </c>
      <c r="G842" s="158" t="s">
        <v>1273</v>
      </c>
      <c r="H842" s="153">
        <v>6.0</v>
      </c>
      <c r="I842" s="118"/>
      <c r="J842" s="118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  <c r="AA842" s="118"/>
      <c r="AB842" s="118"/>
    </row>
    <row r="843" ht="15.75" customHeight="1">
      <c r="A843" s="159"/>
      <c r="B843" s="160"/>
      <c r="C843" s="155"/>
      <c r="D843" s="156" t="s">
        <v>1636</v>
      </c>
      <c r="E843" s="153">
        <v>0.0</v>
      </c>
      <c r="F843" s="157">
        <v>1.0</v>
      </c>
      <c r="G843" s="158" t="s">
        <v>1263</v>
      </c>
      <c r="H843" s="153">
        <v>1.0</v>
      </c>
      <c r="I843" s="118"/>
      <c r="J843" s="118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  <c r="AA843" s="118"/>
      <c r="AB843" s="118"/>
    </row>
    <row r="844" ht="15.75" customHeight="1">
      <c r="A844" s="159"/>
      <c r="B844" s="160"/>
      <c r="C844" s="155"/>
      <c r="D844" s="156" t="s">
        <v>1636</v>
      </c>
      <c r="E844" s="153">
        <v>0.0</v>
      </c>
      <c r="F844" s="157">
        <v>2.0</v>
      </c>
      <c r="G844" s="158" t="s">
        <v>1266</v>
      </c>
      <c r="H844" s="153">
        <v>2.0</v>
      </c>
      <c r="I844" s="118"/>
      <c r="J844" s="118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  <c r="AA844" s="118"/>
      <c r="AB844" s="118"/>
    </row>
    <row r="845" ht="15.75" customHeight="1">
      <c r="A845" s="159"/>
      <c r="B845" s="160"/>
      <c r="C845" s="155"/>
      <c r="D845" s="156" t="s">
        <v>1636</v>
      </c>
      <c r="E845" s="153">
        <v>0.0</v>
      </c>
      <c r="F845" s="157">
        <v>3.0</v>
      </c>
      <c r="G845" s="158" t="s">
        <v>1268</v>
      </c>
      <c r="H845" s="153">
        <v>3.0</v>
      </c>
      <c r="I845" s="118"/>
      <c r="J845" s="118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  <c r="AA845" s="118"/>
      <c r="AB845" s="118"/>
    </row>
    <row r="846" ht="15.75" customHeight="1">
      <c r="A846" s="159"/>
      <c r="B846" s="160"/>
      <c r="C846" s="155"/>
      <c r="D846" s="156" t="s">
        <v>1636</v>
      </c>
      <c r="E846" s="153">
        <v>0.0</v>
      </c>
      <c r="F846" s="157">
        <v>4.0</v>
      </c>
      <c r="G846" s="158" t="s">
        <v>1269</v>
      </c>
      <c r="H846" s="153">
        <v>4.0</v>
      </c>
      <c r="I846" s="118"/>
      <c r="J846" s="118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  <c r="AA846" s="118"/>
      <c r="AB846" s="118"/>
    </row>
    <row r="847" ht="15.75" customHeight="1">
      <c r="A847" s="159"/>
      <c r="B847" s="160"/>
      <c r="C847" s="155"/>
      <c r="D847" s="156" t="s">
        <v>1636</v>
      </c>
      <c r="E847" s="153">
        <v>0.0</v>
      </c>
      <c r="F847" s="157">
        <v>5.0</v>
      </c>
      <c r="G847" s="158" t="s">
        <v>1271</v>
      </c>
      <c r="H847" s="153">
        <v>5.0</v>
      </c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  <c r="AA847" s="118"/>
      <c r="AB847" s="118"/>
    </row>
    <row r="848" ht="15.75" customHeight="1">
      <c r="A848" s="159"/>
      <c r="B848" s="160"/>
      <c r="C848" s="155"/>
      <c r="D848" s="156" t="s">
        <v>1636</v>
      </c>
      <c r="E848" s="153">
        <v>0.0</v>
      </c>
      <c r="F848" s="157">
        <v>6.0</v>
      </c>
      <c r="G848" s="158" t="s">
        <v>1358</v>
      </c>
      <c r="H848" s="153">
        <v>6.0</v>
      </c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  <c r="AA848" s="118"/>
      <c r="AB848" s="118"/>
    </row>
    <row r="849" ht="15.75" customHeight="1">
      <c r="A849" s="159"/>
      <c r="B849" s="160"/>
      <c r="C849" s="155"/>
      <c r="D849" s="156" t="s">
        <v>1637</v>
      </c>
      <c r="E849" s="153">
        <v>0.0</v>
      </c>
      <c r="F849" s="157">
        <v>1.0</v>
      </c>
      <c r="G849" s="158" t="s">
        <v>1263</v>
      </c>
      <c r="H849" s="153">
        <v>1.0</v>
      </c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  <c r="AA849" s="118"/>
      <c r="AB849" s="118"/>
    </row>
    <row r="850" ht="15.75" customHeight="1">
      <c r="A850" s="159"/>
      <c r="B850" s="160"/>
      <c r="C850" s="155"/>
      <c r="D850" s="156" t="s">
        <v>1637</v>
      </c>
      <c r="E850" s="153">
        <v>0.0</v>
      </c>
      <c r="F850" s="157">
        <v>2.0</v>
      </c>
      <c r="G850" s="158" t="s">
        <v>1266</v>
      </c>
      <c r="H850" s="153">
        <v>2.0</v>
      </c>
      <c r="I850" s="118"/>
      <c r="J850" s="118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  <c r="AA850" s="118"/>
      <c r="AB850" s="118"/>
    </row>
    <row r="851" ht="15.75" customHeight="1">
      <c r="A851" s="159"/>
      <c r="B851" s="160"/>
      <c r="C851" s="155"/>
      <c r="D851" s="156" t="s">
        <v>1637</v>
      </c>
      <c r="E851" s="153">
        <v>0.0</v>
      </c>
      <c r="F851" s="157">
        <v>3.0</v>
      </c>
      <c r="G851" s="158" t="s">
        <v>1268</v>
      </c>
      <c r="H851" s="153">
        <v>3.0</v>
      </c>
      <c r="I851" s="118"/>
      <c r="J851" s="118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  <c r="AA851" s="118"/>
      <c r="AB851" s="118"/>
    </row>
    <row r="852" ht="15.75" customHeight="1">
      <c r="A852" s="159"/>
      <c r="B852" s="160"/>
      <c r="C852" s="155"/>
      <c r="D852" s="156" t="s">
        <v>1637</v>
      </c>
      <c r="E852" s="153">
        <v>0.0</v>
      </c>
      <c r="F852" s="157">
        <v>4.0</v>
      </c>
      <c r="G852" s="158" t="s">
        <v>1269</v>
      </c>
      <c r="H852" s="153">
        <v>4.0</v>
      </c>
      <c r="I852" s="118"/>
      <c r="J852" s="118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  <c r="AA852" s="118"/>
      <c r="AB852" s="118"/>
    </row>
    <row r="853" ht="15.75" customHeight="1">
      <c r="A853" s="159"/>
      <c r="B853" s="160"/>
      <c r="C853" s="155"/>
      <c r="D853" s="156" t="s">
        <v>1637</v>
      </c>
      <c r="E853" s="153">
        <v>0.0</v>
      </c>
      <c r="F853" s="157">
        <v>5.0</v>
      </c>
      <c r="G853" s="158" t="s">
        <v>1271</v>
      </c>
      <c r="H853" s="153">
        <v>5.0</v>
      </c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  <c r="AA853" s="118"/>
      <c r="AB853" s="118"/>
    </row>
    <row r="854" ht="15.75" customHeight="1">
      <c r="A854" s="159"/>
      <c r="B854" s="160"/>
      <c r="C854" s="155"/>
      <c r="D854" s="156" t="s">
        <v>1637</v>
      </c>
      <c r="E854" s="153">
        <v>0.0</v>
      </c>
      <c r="F854" s="157">
        <v>6.0</v>
      </c>
      <c r="G854" s="158" t="s">
        <v>1273</v>
      </c>
      <c r="H854" s="153">
        <v>6.0</v>
      </c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  <c r="AA854" s="118"/>
      <c r="AB854" s="118"/>
    </row>
    <row r="855" ht="15.75" customHeight="1">
      <c r="A855" s="159"/>
      <c r="B855" s="160"/>
      <c r="C855" s="155"/>
      <c r="D855" s="156" t="s">
        <v>1638</v>
      </c>
      <c r="E855" s="153">
        <v>0.0</v>
      </c>
      <c r="F855" s="157">
        <v>1.0</v>
      </c>
      <c r="G855" s="158" t="s">
        <v>1639</v>
      </c>
      <c r="H855" s="153" t="s">
        <v>1391</v>
      </c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  <c r="AA855" s="118"/>
      <c r="AB855" s="118"/>
    </row>
    <row r="856" ht="15.75" customHeight="1">
      <c r="A856" s="159"/>
      <c r="B856" s="160"/>
      <c r="C856" s="155"/>
      <c r="D856" s="156" t="s">
        <v>1638</v>
      </c>
      <c r="E856" s="153">
        <v>0.0</v>
      </c>
      <c r="F856" s="157">
        <v>2.0</v>
      </c>
      <c r="G856" s="158" t="s">
        <v>1640</v>
      </c>
      <c r="H856" s="153" t="s">
        <v>1398</v>
      </c>
      <c r="I856" s="118"/>
      <c r="J856" s="118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  <c r="AA856" s="118"/>
      <c r="AB856" s="118"/>
    </row>
    <row r="857" ht="15.75" customHeight="1">
      <c r="A857" s="159"/>
      <c r="B857" s="160"/>
      <c r="C857" s="155"/>
      <c r="D857" s="156" t="s">
        <v>1638</v>
      </c>
      <c r="E857" s="153">
        <v>0.0</v>
      </c>
      <c r="F857" s="157">
        <v>3.0</v>
      </c>
      <c r="G857" s="158" t="s">
        <v>1641</v>
      </c>
      <c r="H857" s="153" t="s">
        <v>1394</v>
      </c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  <c r="AA857" s="118"/>
      <c r="AB857" s="118"/>
    </row>
    <row r="858" ht="15.75" customHeight="1">
      <c r="A858" s="159"/>
      <c r="B858" s="160"/>
      <c r="C858" s="155"/>
      <c r="D858" s="156" t="s">
        <v>1638</v>
      </c>
      <c r="E858" s="153">
        <v>0.0</v>
      </c>
      <c r="F858" s="157">
        <v>5.0</v>
      </c>
      <c r="G858" s="158" t="s">
        <v>1527</v>
      </c>
      <c r="H858" s="153" t="s">
        <v>1528</v>
      </c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  <c r="AA858" s="118"/>
      <c r="AB858" s="118"/>
    </row>
    <row r="859" ht="15.75" customHeight="1">
      <c r="A859" s="159"/>
      <c r="B859" s="160"/>
      <c r="C859" s="155"/>
      <c r="D859" s="156" t="s">
        <v>1638</v>
      </c>
      <c r="E859" s="153">
        <v>0.0</v>
      </c>
      <c r="F859" s="157">
        <v>14.0</v>
      </c>
      <c r="G859" s="158" t="s">
        <v>1283</v>
      </c>
      <c r="H859" s="153" t="s">
        <v>1397</v>
      </c>
      <c r="I859" s="118"/>
      <c r="J859" s="118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  <c r="AA859" s="118"/>
      <c r="AB859" s="118"/>
    </row>
    <row r="860" ht="15.75" customHeight="1">
      <c r="A860" s="159"/>
      <c r="B860" s="160"/>
      <c r="C860" s="155"/>
      <c r="D860" s="156" t="s">
        <v>1642</v>
      </c>
      <c r="E860" s="153">
        <v>0.0</v>
      </c>
      <c r="F860" s="157">
        <v>3.0</v>
      </c>
      <c r="G860" s="158" t="s">
        <v>1268</v>
      </c>
      <c r="H860" s="153">
        <v>3.0</v>
      </c>
      <c r="I860" s="118"/>
      <c r="J860" s="118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  <c r="AA860" s="118"/>
      <c r="AB860" s="118"/>
    </row>
    <row r="861" ht="15.75" customHeight="1">
      <c r="A861" s="159"/>
      <c r="B861" s="160"/>
      <c r="C861" s="155"/>
      <c r="D861" s="156" t="s">
        <v>1642</v>
      </c>
      <c r="E861" s="153">
        <v>0.0</v>
      </c>
      <c r="F861" s="157">
        <v>4.0</v>
      </c>
      <c r="G861" s="158" t="s">
        <v>1270</v>
      </c>
      <c r="H861" s="153">
        <v>5.0</v>
      </c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  <c r="AA861" s="118"/>
      <c r="AB861" s="118"/>
    </row>
    <row r="862" ht="15.75" customHeight="1">
      <c r="A862" s="159"/>
      <c r="B862" s="160"/>
      <c r="C862" s="155"/>
      <c r="D862" s="156" t="s">
        <v>1642</v>
      </c>
      <c r="E862" s="153">
        <v>0.0</v>
      </c>
      <c r="F862" s="157">
        <v>5.0</v>
      </c>
      <c r="G862" s="158" t="s">
        <v>1271</v>
      </c>
      <c r="H862" s="153">
        <v>6.0</v>
      </c>
      <c r="I862" s="118"/>
      <c r="J862" s="118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  <c r="AA862" s="118"/>
      <c r="AB862" s="118"/>
    </row>
    <row r="863" ht="15.75" customHeight="1">
      <c r="A863" s="159"/>
      <c r="B863" s="160"/>
      <c r="C863" s="155"/>
      <c r="D863" s="156" t="s">
        <v>1642</v>
      </c>
      <c r="E863" s="153">
        <v>0.0</v>
      </c>
      <c r="F863" s="157">
        <v>6.0</v>
      </c>
      <c r="G863" s="158" t="s">
        <v>1273</v>
      </c>
      <c r="H863" s="153">
        <v>7.0</v>
      </c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  <c r="AA863" s="118"/>
      <c r="AB863" s="118"/>
    </row>
    <row r="864" ht="15.75" customHeight="1">
      <c r="A864" s="159"/>
      <c r="B864" s="160"/>
      <c r="C864" s="155"/>
      <c r="D864" s="156" t="s">
        <v>1642</v>
      </c>
      <c r="E864" s="153">
        <v>0.0</v>
      </c>
      <c r="F864" s="157">
        <v>7.0</v>
      </c>
      <c r="G864" s="158" t="s">
        <v>1274</v>
      </c>
      <c r="H864" s="153">
        <v>1.0</v>
      </c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  <c r="AA864" s="118"/>
      <c r="AB864" s="118"/>
    </row>
    <row r="865" ht="15.75" customHeight="1">
      <c r="A865" s="159"/>
      <c r="B865" s="160"/>
      <c r="C865" s="155"/>
      <c r="D865" s="156" t="s">
        <v>1642</v>
      </c>
      <c r="E865" s="153">
        <v>0.0</v>
      </c>
      <c r="F865" s="157">
        <v>8.0</v>
      </c>
      <c r="G865" s="158" t="s">
        <v>1276</v>
      </c>
      <c r="H865" s="153">
        <v>2.0</v>
      </c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  <c r="AA865" s="118"/>
      <c r="AB865" s="118"/>
    </row>
    <row r="866" ht="15.75" customHeight="1">
      <c r="A866" s="159"/>
      <c r="B866" s="160"/>
      <c r="C866" s="155"/>
      <c r="D866" s="156" t="s">
        <v>1642</v>
      </c>
      <c r="E866" s="153">
        <v>0.0</v>
      </c>
      <c r="F866" s="157">
        <v>9.0</v>
      </c>
      <c r="G866" s="158" t="s">
        <v>1277</v>
      </c>
      <c r="H866" s="153">
        <v>4.0</v>
      </c>
      <c r="I866" s="118"/>
      <c r="J866" s="118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  <c r="AA866" s="118"/>
      <c r="AB866" s="118"/>
    </row>
    <row r="867" ht="15.75" customHeight="1">
      <c r="A867" s="159"/>
      <c r="B867" s="160"/>
      <c r="C867" s="155"/>
      <c r="D867" s="156" t="s">
        <v>1643</v>
      </c>
      <c r="E867" s="153">
        <v>0.0</v>
      </c>
      <c r="F867" s="157">
        <v>1.0</v>
      </c>
      <c r="G867" s="158" t="s">
        <v>1390</v>
      </c>
      <c r="H867" s="153" t="s">
        <v>1486</v>
      </c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  <c r="AA867" s="118"/>
      <c r="AB867" s="118"/>
    </row>
    <row r="868" ht="15.75" customHeight="1">
      <c r="A868" s="159"/>
      <c r="B868" s="160"/>
      <c r="C868" s="155"/>
      <c r="D868" s="156" t="s">
        <v>1643</v>
      </c>
      <c r="E868" s="153">
        <v>0.0</v>
      </c>
      <c r="F868" s="157">
        <v>2.0</v>
      </c>
      <c r="G868" s="158" t="s">
        <v>1644</v>
      </c>
      <c r="H868" s="153" t="s">
        <v>1393</v>
      </c>
      <c r="I868" s="118"/>
      <c r="J868" s="118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  <c r="AA868" s="118"/>
      <c r="AB868" s="118"/>
    </row>
    <row r="869" ht="15.75" customHeight="1">
      <c r="A869" s="159"/>
      <c r="B869" s="160"/>
      <c r="C869" s="155"/>
      <c r="D869" s="156" t="s">
        <v>1643</v>
      </c>
      <c r="E869" s="153">
        <v>0.0</v>
      </c>
      <c r="F869" s="157">
        <v>3.0</v>
      </c>
      <c r="G869" s="158" t="s">
        <v>1426</v>
      </c>
      <c r="H869" s="153" t="s">
        <v>1393</v>
      </c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  <c r="AA869" s="118"/>
      <c r="AB869" s="118"/>
    </row>
    <row r="870" ht="15.75" customHeight="1">
      <c r="A870" s="159"/>
      <c r="B870" s="160"/>
      <c r="C870" s="155"/>
      <c r="D870" s="156" t="s">
        <v>1643</v>
      </c>
      <c r="E870" s="153">
        <v>0.0</v>
      </c>
      <c r="F870" s="157">
        <v>4.0</v>
      </c>
      <c r="G870" s="158" t="s">
        <v>1269</v>
      </c>
      <c r="H870" s="153" t="s">
        <v>1393</v>
      </c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  <c r="AA870" s="118"/>
      <c r="AB870" s="118"/>
    </row>
    <row r="871" ht="15.75" customHeight="1">
      <c r="A871" s="159"/>
      <c r="B871" s="160"/>
      <c r="C871" s="155"/>
      <c r="D871" s="156" t="s">
        <v>1643</v>
      </c>
      <c r="E871" s="153">
        <v>0.0</v>
      </c>
      <c r="F871" s="157">
        <v>10.0</v>
      </c>
      <c r="G871" s="158" t="s">
        <v>1375</v>
      </c>
      <c r="H871" s="153" t="s">
        <v>1393</v>
      </c>
      <c r="I871" s="118"/>
      <c r="J871" s="118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  <c r="AA871" s="118"/>
      <c r="AB871" s="118"/>
    </row>
    <row r="872" ht="15.75" customHeight="1">
      <c r="A872" s="159"/>
      <c r="B872" s="160"/>
      <c r="C872" s="155"/>
      <c r="D872" s="156" t="s">
        <v>1643</v>
      </c>
      <c r="E872" s="153">
        <v>0.0</v>
      </c>
      <c r="F872" s="157">
        <v>12.0</v>
      </c>
      <c r="G872" s="158" t="s">
        <v>1280</v>
      </c>
      <c r="H872" s="153" t="s">
        <v>1479</v>
      </c>
      <c r="I872" s="118"/>
      <c r="J872" s="118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  <c r="AA872" s="118"/>
      <c r="AB872" s="118"/>
    </row>
    <row r="873" ht="15.75" customHeight="1">
      <c r="A873" s="159"/>
      <c r="B873" s="160"/>
      <c r="C873" s="155"/>
      <c r="D873" s="156" t="s">
        <v>1643</v>
      </c>
      <c r="E873" s="153">
        <v>0.0</v>
      </c>
      <c r="F873" s="157">
        <v>17.0</v>
      </c>
      <c r="G873" s="158" t="s">
        <v>1645</v>
      </c>
      <c r="H873" s="153" t="s">
        <v>1479</v>
      </c>
      <c r="I873" s="118"/>
      <c r="J873" s="118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  <c r="AA873" s="118"/>
      <c r="AB873" s="118"/>
    </row>
    <row r="874" ht="15.75" customHeight="1">
      <c r="A874" s="159"/>
      <c r="B874" s="160"/>
      <c r="C874" s="155"/>
      <c r="D874" s="156" t="s">
        <v>1643</v>
      </c>
      <c r="E874" s="153">
        <v>0.0</v>
      </c>
      <c r="F874" s="157">
        <v>51.0</v>
      </c>
      <c r="G874" s="158" t="s">
        <v>1646</v>
      </c>
      <c r="H874" s="153" t="s">
        <v>1391</v>
      </c>
      <c r="I874" s="118"/>
      <c r="J874" s="118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  <c r="AA874" s="118"/>
      <c r="AB874" s="118"/>
    </row>
    <row r="875" ht="15.75" customHeight="1">
      <c r="A875" s="159"/>
      <c r="B875" s="160"/>
      <c r="C875" s="155"/>
      <c r="D875" s="156" t="s">
        <v>1647</v>
      </c>
      <c r="E875" s="153">
        <v>0.0</v>
      </c>
      <c r="F875" s="157">
        <v>1.0</v>
      </c>
      <c r="G875" s="158" t="s">
        <v>1263</v>
      </c>
      <c r="H875" s="153">
        <v>1.0</v>
      </c>
      <c r="I875" s="118"/>
      <c r="J875" s="118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  <c r="AA875" s="118"/>
      <c r="AB875" s="118"/>
    </row>
    <row r="876" ht="15.75" customHeight="1">
      <c r="A876" s="159"/>
      <c r="B876" s="160"/>
      <c r="C876" s="155"/>
      <c r="D876" s="156" t="s">
        <v>1647</v>
      </c>
      <c r="E876" s="153">
        <v>0.0</v>
      </c>
      <c r="F876" s="157">
        <v>2.0</v>
      </c>
      <c r="G876" s="158" t="s">
        <v>1266</v>
      </c>
      <c r="H876" s="153">
        <v>2.0</v>
      </c>
      <c r="I876" s="118"/>
      <c r="J876" s="118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  <c r="AA876" s="118"/>
      <c r="AB876" s="118"/>
    </row>
    <row r="877" ht="15.75" customHeight="1">
      <c r="A877" s="159"/>
      <c r="B877" s="160"/>
      <c r="C877" s="155"/>
      <c r="D877" s="156" t="s">
        <v>1647</v>
      </c>
      <c r="E877" s="153">
        <v>0.0</v>
      </c>
      <c r="F877" s="157">
        <v>3.0</v>
      </c>
      <c r="G877" s="158" t="s">
        <v>1268</v>
      </c>
      <c r="H877" s="153">
        <v>3.0</v>
      </c>
      <c r="I877" s="118"/>
      <c r="J877" s="118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  <c r="AA877" s="118"/>
      <c r="AB877" s="118"/>
    </row>
    <row r="878" ht="15.75" customHeight="1">
      <c r="A878" s="159"/>
      <c r="B878" s="160"/>
      <c r="C878" s="155"/>
      <c r="D878" s="156" t="s">
        <v>1647</v>
      </c>
      <c r="E878" s="153">
        <v>0.0</v>
      </c>
      <c r="F878" s="157">
        <v>4.0</v>
      </c>
      <c r="G878" s="158" t="s">
        <v>1269</v>
      </c>
      <c r="H878" s="153">
        <v>4.0</v>
      </c>
      <c r="I878" s="118"/>
      <c r="J878" s="118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  <c r="AA878" s="118"/>
      <c r="AB878" s="118"/>
    </row>
    <row r="879" ht="15.75" customHeight="1">
      <c r="A879" s="159"/>
      <c r="B879" s="160"/>
      <c r="C879" s="155"/>
      <c r="D879" s="156" t="s">
        <v>1647</v>
      </c>
      <c r="E879" s="153">
        <v>0.0</v>
      </c>
      <c r="F879" s="157">
        <v>5.0</v>
      </c>
      <c r="G879" s="158" t="s">
        <v>1271</v>
      </c>
      <c r="H879" s="153">
        <v>5.0</v>
      </c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  <c r="AA879" s="118"/>
      <c r="AB879" s="118"/>
    </row>
    <row r="880" ht="15.75" customHeight="1">
      <c r="A880" s="159"/>
      <c r="B880" s="160"/>
      <c r="C880" s="155"/>
      <c r="D880" s="156" t="s">
        <v>1647</v>
      </c>
      <c r="E880" s="153">
        <v>0.0</v>
      </c>
      <c r="F880" s="157">
        <v>6.0</v>
      </c>
      <c r="G880" s="158" t="s">
        <v>1273</v>
      </c>
      <c r="H880" s="153">
        <v>6.0</v>
      </c>
      <c r="I880" s="118"/>
      <c r="J880" s="118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  <c r="AA880" s="118"/>
      <c r="AB880" s="118"/>
    </row>
    <row r="881" ht="15.75" customHeight="1">
      <c r="A881" s="159"/>
      <c r="B881" s="160"/>
      <c r="C881" s="155"/>
      <c r="D881" s="156" t="s">
        <v>1648</v>
      </c>
      <c r="E881" s="153">
        <v>0.0</v>
      </c>
      <c r="F881" s="157">
        <v>3.0</v>
      </c>
      <c r="G881" s="158" t="s">
        <v>1268</v>
      </c>
      <c r="H881" s="153">
        <v>3.0</v>
      </c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  <c r="AA881" s="118"/>
      <c r="AB881" s="118"/>
    </row>
    <row r="882" ht="15.75" customHeight="1">
      <c r="A882" s="159"/>
      <c r="B882" s="160"/>
      <c r="C882" s="155"/>
      <c r="D882" s="156" t="s">
        <v>1648</v>
      </c>
      <c r="E882" s="153">
        <v>0.0</v>
      </c>
      <c r="F882" s="157">
        <v>4.0</v>
      </c>
      <c r="G882" s="158" t="s">
        <v>1270</v>
      </c>
      <c r="H882" s="153">
        <v>5.0</v>
      </c>
      <c r="I882" s="118"/>
      <c r="J882" s="118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  <c r="AA882" s="118"/>
      <c r="AB882" s="118"/>
    </row>
    <row r="883" ht="15.75" customHeight="1">
      <c r="A883" s="159"/>
      <c r="B883" s="160"/>
      <c r="C883" s="155"/>
      <c r="D883" s="156" t="s">
        <v>1648</v>
      </c>
      <c r="E883" s="153">
        <v>0.0</v>
      </c>
      <c r="F883" s="157">
        <v>5.0</v>
      </c>
      <c r="G883" s="158" t="s">
        <v>1271</v>
      </c>
      <c r="H883" s="153">
        <v>6.0</v>
      </c>
      <c r="I883" s="118"/>
      <c r="J883" s="118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  <c r="AA883" s="118"/>
      <c r="AB883" s="118"/>
    </row>
    <row r="884" ht="15.75" customHeight="1">
      <c r="A884" s="159"/>
      <c r="B884" s="160"/>
      <c r="C884" s="155"/>
      <c r="D884" s="156" t="s">
        <v>1648</v>
      </c>
      <c r="E884" s="153">
        <v>0.0</v>
      </c>
      <c r="F884" s="157">
        <v>6.0</v>
      </c>
      <c r="G884" s="158" t="s">
        <v>1358</v>
      </c>
      <c r="H884" s="153">
        <v>7.0</v>
      </c>
      <c r="I884" s="118"/>
      <c r="J884" s="118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  <c r="AA884" s="118"/>
      <c r="AB884" s="118"/>
    </row>
    <row r="885" ht="15.75" customHeight="1">
      <c r="A885" s="159"/>
      <c r="B885" s="160"/>
      <c r="C885" s="155"/>
      <c r="D885" s="156" t="s">
        <v>1648</v>
      </c>
      <c r="E885" s="153">
        <v>0.0</v>
      </c>
      <c r="F885" s="157">
        <v>7.0</v>
      </c>
      <c r="G885" s="158" t="s">
        <v>1274</v>
      </c>
      <c r="H885" s="153">
        <v>1.0</v>
      </c>
      <c r="I885" s="118"/>
      <c r="J885" s="118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  <c r="AA885" s="118"/>
      <c r="AB885" s="118"/>
    </row>
    <row r="886" ht="15.75" customHeight="1">
      <c r="A886" s="159"/>
      <c r="B886" s="160"/>
      <c r="C886" s="155"/>
      <c r="D886" s="156" t="s">
        <v>1648</v>
      </c>
      <c r="E886" s="153">
        <v>0.0</v>
      </c>
      <c r="F886" s="157">
        <v>8.0</v>
      </c>
      <c r="G886" s="158" t="s">
        <v>1359</v>
      </c>
      <c r="H886" s="153">
        <v>2.0</v>
      </c>
      <c r="I886" s="118"/>
      <c r="J886" s="118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  <c r="AA886" s="118"/>
      <c r="AB886" s="118"/>
    </row>
    <row r="887" ht="15.75" customHeight="1">
      <c r="A887" s="159"/>
      <c r="B887" s="160"/>
      <c r="C887" s="155"/>
      <c r="D887" s="156" t="s">
        <v>1648</v>
      </c>
      <c r="E887" s="153">
        <v>0.0</v>
      </c>
      <c r="F887" s="157">
        <v>9.0</v>
      </c>
      <c r="G887" s="158" t="s">
        <v>1277</v>
      </c>
      <c r="H887" s="153">
        <v>4.0</v>
      </c>
      <c r="I887" s="118"/>
      <c r="J887" s="118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  <c r="AA887" s="118"/>
      <c r="AB887" s="118"/>
    </row>
    <row r="888" ht="15.75" customHeight="1">
      <c r="A888" s="159"/>
      <c r="B888" s="160"/>
      <c r="C888" s="155"/>
      <c r="D888" s="155"/>
      <c r="E888" s="159"/>
      <c r="F888" s="161"/>
      <c r="G888" s="118"/>
      <c r="H888" s="159"/>
      <c r="I888" s="118"/>
      <c r="J888" s="118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  <c r="AA888" s="118"/>
      <c r="AB888" s="118"/>
    </row>
    <row r="889" ht="15.75" customHeight="1">
      <c r="A889" s="159"/>
      <c r="B889" s="160"/>
      <c r="C889" s="155"/>
      <c r="D889" s="155"/>
      <c r="E889" s="159"/>
      <c r="F889" s="161"/>
      <c r="G889" s="118"/>
      <c r="H889" s="159"/>
      <c r="I889" s="118"/>
      <c r="J889" s="118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  <c r="AA889" s="118"/>
      <c r="AB889" s="118"/>
    </row>
    <row r="890" ht="15.75" customHeight="1">
      <c r="A890" s="159"/>
      <c r="B890" s="160"/>
      <c r="C890" s="155"/>
      <c r="D890" s="155"/>
      <c r="E890" s="159"/>
      <c r="F890" s="161"/>
      <c r="G890" s="118"/>
      <c r="H890" s="159"/>
      <c r="I890" s="118"/>
      <c r="J890" s="118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  <c r="AA890" s="118"/>
      <c r="AB890" s="118"/>
    </row>
    <row r="891" ht="15.75" customHeight="1">
      <c r="A891" s="159"/>
      <c r="B891" s="160"/>
      <c r="C891" s="155"/>
      <c r="D891" s="155"/>
      <c r="E891" s="159"/>
      <c r="F891" s="161"/>
      <c r="G891" s="118"/>
      <c r="H891" s="159"/>
      <c r="I891" s="118"/>
      <c r="J891" s="118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  <c r="AA891" s="118"/>
      <c r="AB891" s="118"/>
    </row>
    <row r="892" ht="15.75" customHeight="1">
      <c r="A892" s="159"/>
      <c r="B892" s="160"/>
      <c r="C892" s="155"/>
      <c r="D892" s="155"/>
      <c r="E892" s="159"/>
      <c r="F892" s="161"/>
      <c r="G892" s="118"/>
      <c r="H892" s="159"/>
      <c r="I892" s="118"/>
      <c r="J892" s="118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  <c r="AA892" s="118"/>
      <c r="AB892" s="118"/>
    </row>
    <row r="893" ht="15.75" customHeight="1">
      <c r="A893" s="159"/>
      <c r="B893" s="160"/>
      <c r="C893" s="155"/>
      <c r="D893" s="155"/>
      <c r="E893" s="159"/>
      <c r="F893" s="161"/>
      <c r="G893" s="118"/>
      <c r="H893" s="15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  <c r="AA893" s="118"/>
      <c r="AB893" s="118"/>
    </row>
    <row r="894" ht="15.75" customHeight="1">
      <c r="A894" s="159"/>
      <c r="B894" s="160"/>
      <c r="C894" s="155"/>
      <c r="D894" s="155"/>
      <c r="E894" s="159"/>
      <c r="F894" s="161"/>
      <c r="G894" s="118"/>
      <c r="H894" s="15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  <c r="AA894" s="118"/>
      <c r="AB894" s="118"/>
    </row>
    <row r="895" ht="15.75" customHeight="1">
      <c r="A895" s="159"/>
      <c r="B895" s="160"/>
      <c r="C895" s="155"/>
      <c r="D895" s="155"/>
      <c r="E895" s="159"/>
      <c r="F895" s="161"/>
      <c r="G895" s="118"/>
      <c r="H895" s="159"/>
      <c r="I895" s="118"/>
      <c r="J895" s="118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  <c r="AA895" s="118"/>
      <c r="AB895" s="118"/>
    </row>
    <row r="896" ht="15.75" customHeight="1">
      <c r="A896" s="159"/>
      <c r="B896" s="160"/>
      <c r="C896" s="155"/>
      <c r="D896" s="155"/>
      <c r="E896" s="159"/>
      <c r="F896" s="161"/>
      <c r="G896" s="118"/>
      <c r="H896" s="15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  <c r="AA896" s="118"/>
      <c r="AB896" s="118"/>
    </row>
    <row r="897" ht="15.75" customHeight="1">
      <c r="A897" s="159"/>
      <c r="B897" s="160"/>
      <c r="C897" s="155"/>
      <c r="D897" s="155"/>
      <c r="E897" s="159"/>
      <c r="F897" s="161"/>
      <c r="G897" s="118"/>
      <c r="H897" s="15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  <c r="AA897" s="118"/>
      <c r="AB897" s="118"/>
    </row>
    <row r="898" ht="15.75" customHeight="1">
      <c r="A898" s="159"/>
      <c r="B898" s="160"/>
      <c r="C898" s="155"/>
      <c r="D898" s="155"/>
      <c r="E898" s="159"/>
      <c r="F898" s="161"/>
      <c r="G898" s="118"/>
      <c r="H898" s="159"/>
      <c r="I898" s="118"/>
      <c r="J898" s="118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  <c r="AA898" s="118"/>
      <c r="AB898" s="118"/>
    </row>
    <row r="899" ht="15.75" customHeight="1">
      <c r="A899" s="159"/>
      <c r="B899" s="160"/>
      <c r="C899" s="155"/>
      <c r="D899" s="155"/>
      <c r="E899" s="159"/>
      <c r="F899" s="161"/>
      <c r="G899" s="118"/>
      <c r="H899" s="15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  <c r="AA899" s="118"/>
      <c r="AB899" s="118"/>
    </row>
    <row r="900" ht="15.75" customHeight="1">
      <c r="A900" s="159"/>
      <c r="B900" s="160"/>
      <c r="C900" s="155"/>
      <c r="D900" s="155"/>
      <c r="E900" s="159"/>
      <c r="F900" s="161"/>
      <c r="G900" s="118"/>
      <c r="H900" s="159"/>
      <c r="I900" s="118"/>
      <c r="J900" s="118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  <c r="AA900" s="118"/>
      <c r="AB900" s="118"/>
    </row>
    <row r="901" ht="15.75" customHeight="1">
      <c r="A901" s="159"/>
      <c r="B901" s="160"/>
      <c r="C901" s="155"/>
      <c r="D901" s="155"/>
      <c r="E901" s="159"/>
      <c r="F901" s="161"/>
      <c r="G901" s="118"/>
      <c r="H901" s="159"/>
      <c r="I901" s="118"/>
      <c r="J901" s="118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  <c r="AA901" s="118"/>
      <c r="AB901" s="118"/>
    </row>
    <row r="902" ht="15.75" customHeight="1">
      <c r="A902" s="159"/>
      <c r="B902" s="160"/>
      <c r="C902" s="155"/>
      <c r="D902" s="155"/>
      <c r="E902" s="159"/>
      <c r="F902" s="161"/>
      <c r="G902" s="118"/>
      <c r="H902" s="159"/>
      <c r="I902" s="118"/>
      <c r="J902" s="118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  <c r="AA902" s="118"/>
      <c r="AB902" s="118"/>
    </row>
    <row r="903" ht="15.75" customHeight="1">
      <c r="A903" s="159"/>
      <c r="B903" s="160"/>
      <c r="C903" s="155"/>
      <c r="D903" s="155"/>
      <c r="E903" s="159"/>
      <c r="F903" s="161"/>
      <c r="G903" s="118"/>
      <c r="H903" s="15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  <c r="AA903" s="118"/>
      <c r="AB903" s="118"/>
    </row>
    <row r="904" ht="15.75" customHeight="1">
      <c r="A904" s="159"/>
      <c r="B904" s="160"/>
      <c r="C904" s="155"/>
      <c r="D904" s="155"/>
      <c r="E904" s="159"/>
      <c r="F904" s="161"/>
      <c r="G904" s="118"/>
      <c r="H904" s="15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  <c r="AA904" s="118"/>
      <c r="AB904" s="118"/>
    </row>
    <row r="905" ht="15.75" customHeight="1">
      <c r="A905" s="159"/>
      <c r="B905" s="160"/>
      <c r="C905" s="155"/>
      <c r="D905" s="155"/>
      <c r="E905" s="159"/>
      <c r="F905" s="161"/>
      <c r="G905" s="118"/>
      <c r="H905" s="159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  <c r="AA905" s="118"/>
      <c r="AB905" s="118"/>
    </row>
    <row r="906" ht="15.75" customHeight="1">
      <c r="A906" s="159"/>
      <c r="B906" s="160"/>
      <c r="C906" s="155"/>
      <c r="D906" s="155"/>
      <c r="E906" s="159"/>
      <c r="F906" s="161"/>
      <c r="G906" s="118"/>
      <c r="H906" s="159"/>
      <c r="I906" s="118"/>
      <c r="J906" s="118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  <c r="AA906" s="118"/>
      <c r="AB906" s="118"/>
    </row>
    <row r="907" ht="15.75" customHeight="1">
      <c r="A907" s="159"/>
      <c r="B907" s="160"/>
      <c r="C907" s="155"/>
      <c r="D907" s="155"/>
      <c r="E907" s="159"/>
      <c r="F907" s="161"/>
      <c r="G907" s="118"/>
      <c r="H907" s="159"/>
      <c r="I907" s="118"/>
      <c r="J907" s="118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  <c r="AA907" s="118"/>
      <c r="AB907" s="118"/>
    </row>
    <row r="908" ht="15.75" customHeight="1">
      <c r="A908" s="159"/>
      <c r="B908" s="160"/>
      <c r="C908" s="155"/>
      <c r="D908" s="155"/>
      <c r="E908" s="159"/>
      <c r="F908" s="161"/>
      <c r="G908" s="118"/>
      <c r="H908" s="159"/>
      <c r="I908" s="118"/>
      <c r="J908" s="118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  <c r="AA908" s="118"/>
      <c r="AB908" s="118"/>
    </row>
    <row r="909" ht="15.75" customHeight="1">
      <c r="A909" s="159"/>
      <c r="B909" s="160"/>
      <c r="C909" s="155"/>
      <c r="D909" s="155"/>
      <c r="E909" s="159"/>
      <c r="F909" s="161"/>
      <c r="G909" s="118"/>
      <c r="H909" s="159"/>
      <c r="I909" s="118"/>
      <c r="J909" s="118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  <c r="AA909" s="118"/>
      <c r="AB909" s="118"/>
    </row>
    <row r="910" ht="15.75" customHeight="1">
      <c r="A910" s="159"/>
      <c r="B910" s="160"/>
      <c r="C910" s="155"/>
      <c r="D910" s="155"/>
      <c r="E910" s="159"/>
      <c r="F910" s="161"/>
      <c r="G910" s="118"/>
      <c r="H910" s="159"/>
      <c r="I910" s="118"/>
      <c r="J910" s="118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  <c r="AA910" s="118"/>
      <c r="AB910" s="118"/>
    </row>
    <row r="911" ht="15.75" customHeight="1">
      <c r="A911" s="159"/>
      <c r="B911" s="160"/>
      <c r="C911" s="155"/>
      <c r="D911" s="155"/>
      <c r="E911" s="159"/>
      <c r="F911" s="161"/>
      <c r="G911" s="118"/>
      <c r="H911" s="159"/>
      <c r="I911" s="118"/>
      <c r="J911" s="118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  <c r="AA911" s="118"/>
      <c r="AB911" s="118"/>
    </row>
    <row r="912" ht="15.75" customHeight="1">
      <c r="A912" s="159"/>
      <c r="B912" s="160"/>
      <c r="C912" s="155"/>
      <c r="D912" s="155"/>
      <c r="E912" s="159"/>
      <c r="F912" s="161"/>
      <c r="G912" s="118"/>
      <c r="H912" s="159"/>
      <c r="I912" s="118"/>
      <c r="J912" s="118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  <c r="AA912" s="118"/>
      <c r="AB912" s="118"/>
    </row>
    <row r="913" ht="15.75" customHeight="1">
      <c r="A913" s="159"/>
      <c r="B913" s="160"/>
      <c r="C913" s="155"/>
      <c r="D913" s="155"/>
      <c r="E913" s="159"/>
      <c r="F913" s="161"/>
      <c r="G913" s="118"/>
      <c r="H913" s="159"/>
      <c r="I913" s="118"/>
      <c r="J913" s="118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  <c r="AA913" s="118"/>
      <c r="AB913" s="118"/>
    </row>
    <row r="914" ht="15.75" customHeight="1">
      <c r="A914" s="159"/>
      <c r="B914" s="160"/>
      <c r="C914" s="155"/>
      <c r="D914" s="155"/>
      <c r="E914" s="159"/>
      <c r="F914" s="161"/>
      <c r="G914" s="118"/>
      <c r="H914" s="15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  <c r="AA914" s="118"/>
      <c r="AB914" s="118"/>
    </row>
    <row r="915" ht="15.75" customHeight="1">
      <c r="A915" s="159"/>
      <c r="B915" s="160"/>
      <c r="C915" s="155"/>
      <c r="D915" s="155"/>
      <c r="E915" s="159"/>
      <c r="F915" s="161"/>
      <c r="G915" s="118"/>
      <c r="H915" s="159"/>
      <c r="I915" s="118"/>
      <c r="J915" s="118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  <c r="AA915" s="118"/>
      <c r="AB915" s="118"/>
    </row>
    <row r="916" ht="15.75" customHeight="1">
      <c r="A916" s="159"/>
      <c r="B916" s="160"/>
      <c r="C916" s="155"/>
      <c r="D916" s="155"/>
      <c r="E916" s="159"/>
      <c r="F916" s="161"/>
      <c r="G916" s="118"/>
      <c r="H916" s="159"/>
      <c r="I916" s="118"/>
      <c r="J916" s="118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  <c r="AA916" s="118"/>
      <c r="AB916" s="118"/>
    </row>
    <row r="917" ht="15.75" customHeight="1">
      <c r="A917" s="159"/>
      <c r="B917" s="160"/>
      <c r="C917" s="155"/>
      <c r="D917" s="155"/>
      <c r="E917" s="159"/>
      <c r="F917" s="161"/>
      <c r="G917" s="118"/>
      <c r="H917" s="159"/>
      <c r="I917" s="118"/>
      <c r="J917" s="118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  <c r="AA917" s="118"/>
      <c r="AB917" s="118"/>
    </row>
    <row r="918" ht="15.75" customHeight="1">
      <c r="A918" s="159"/>
      <c r="B918" s="160"/>
      <c r="C918" s="155"/>
      <c r="D918" s="155"/>
      <c r="E918" s="159"/>
      <c r="F918" s="161"/>
      <c r="G918" s="118"/>
      <c r="H918" s="159"/>
      <c r="I918" s="118"/>
      <c r="J918" s="118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  <c r="AA918" s="118"/>
      <c r="AB918" s="118"/>
    </row>
    <row r="919" ht="15.75" customHeight="1">
      <c r="A919" s="159"/>
      <c r="B919" s="160"/>
      <c r="C919" s="155"/>
      <c r="D919" s="155"/>
      <c r="E919" s="159"/>
      <c r="F919" s="161"/>
      <c r="G919" s="118"/>
      <c r="H919" s="159"/>
      <c r="I919" s="118"/>
      <c r="J919" s="118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  <c r="AA919" s="118"/>
      <c r="AB919" s="118"/>
    </row>
    <row r="920" ht="15.75" customHeight="1">
      <c r="A920" s="159"/>
      <c r="B920" s="160"/>
      <c r="C920" s="155"/>
      <c r="D920" s="155"/>
      <c r="E920" s="159"/>
      <c r="F920" s="161"/>
      <c r="G920" s="118"/>
      <c r="H920" s="159"/>
      <c r="I920" s="118"/>
      <c r="J920" s="118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  <c r="AA920" s="118"/>
      <c r="AB920" s="118"/>
    </row>
    <row r="921" ht="15.75" customHeight="1">
      <c r="A921" s="159"/>
      <c r="B921" s="160"/>
      <c r="C921" s="155"/>
      <c r="D921" s="155"/>
      <c r="E921" s="159"/>
      <c r="F921" s="161"/>
      <c r="G921" s="118"/>
      <c r="H921" s="159"/>
      <c r="I921" s="118"/>
      <c r="J921" s="118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  <c r="AA921" s="118"/>
      <c r="AB921" s="118"/>
    </row>
    <row r="922" ht="15.75" customHeight="1">
      <c r="A922" s="159"/>
      <c r="B922" s="160"/>
      <c r="C922" s="155"/>
      <c r="D922" s="155"/>
      <c r="E922" s="159"/>
      <c r="F922" s="161"/>
      <c r="G922" s="118"/>
      <c r="H922" s="15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  <c r="AA922" s="118"/>
      <c r="AB922" s="118"/>
    </row>
    <row r="923" ht="15.75" customHeight="1">
      <c r="A923" s="159"/>
      <c r="B923" s="160"/>
      <c r="C923" s="155"/>
      <c r="D923" s="155"/>
      <c r="E923" s="159"/>
      <c r="F923" s="161"/>
      <c r="G923" s="118"/>
      <c r="H923" s="15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  <c r="AA923" s="118"/>
      <c r="AB923" s="118"/>
    </row>
    <row r="924" ht="15.75" customHeight="1">
      <c r="A924" s="159"/>
      <c r="B924" s="160"/>
      <c r="C924" s="155"/>
      <c r="D924" s="155"/>
      <c r="E924" s="159"/>
      <c r="F924" s="161"/>
      <c r="G924" s="118"/>
      <c r="H924" s="159"/>
      <c r="I924" s="118"/>
      <c r="J924" s="118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  <c r="AA924" s="118"/>
      <c r="AB924" s="118"/>
    </row>
    <row r="925" ht="15.75" customHeight="1">
      <c r="A925" s="159"/>
      <c r="B925" s="160"/>
      <c r="C925" s="155"/>
      <c r="D925" s="155"/>
      <c r="E925" s="159"/>
      <c r="F925" s="161"/>
      <c r="G925" s="118"/>
      <c r="H925" s="159"/>
      <c r="I925" s="118"/>
      <c r="J925" s="118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  <c r="AA925" s="118"/>
      <c r="AB925" s="118"/>
    </row>
    <row r="926" ht="15.75" customHeight="1">
      <c r="A926" s="159"/>
      <c r="B926" s="160"/>
      <c r="C926" s="155"/>
      <c r="D926" s="155"/>
      <c r="E926" s="159"/>
      <c r="F926" s="161"/>
      <c r="G926" s="118"/>
      <c r="H926" s="15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  <c r="AA926" s="118"/>
      <c r="AB926" s="118"/>
    </row>
    <row r="927" ht="15.75" customHeight="1">
      <c r="A927" s="159"/>
      <c r="B927" s="160"/>
      <c r="C927" s="155"/>
      <c r="D927" s="155"/>
      <c r="E927" s="159"/>
      <c r="F927" s="161"/>
      <c r="G927" s="118"/>
      <c r="H927" s="159"/>
      <c r="I927" s="118"/>
      <c r="J927" s="118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  <c r="AA927" s="118"/>
      <c r="AB927" s="118"/>
    </row>
    <row r="928" ht="15.75" customHeight="1">
      <c r="A928" s="159"/>
      <c r="B928" s="160"/>
      <c r="C928" s="155"/>
      <c r="D928" s="155"/>
      <c r="E928" s="159"/>
      <c r="F928" s="161"/>
      <c r="G928" s="118"/>
      <c r="H928" s="159"/>
      <c r="I928" s="118"/>
      <c r="J928" s="118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  <c r="AA928" s="118"/>
      <c r="AB928" s="118"/>
    </row>
    <row r="929" ht="15.75" customHeight="1">
      <c r="A929" s="159"/>
      <c r="B929" s="160"/>
      <c r="C929" s="155"/>
      <c r="D929" s="155"/>
      <c r="E929" s="159"/>
      <c r="F929" s="161"/>
      <c r="G929" s="118"/>
      <c r="H929" s="15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  <c r="AA929" s="118"/>
      <c r="AB929" s="118"/>
    </row>
    <row r="930" ht="15.75" customHeight="1">
      <c r="A930" s="159"/>
      <c r="B930" s="160"/>
      <c r="C930" s="155"/>
      <c r="D930" s="155"/>
      <c r="E930" s="159"/>
      <c r="F930" s="161"/>
      <c r="G930" s="118"/>
      <c r="H930" s="159"/>
      <c r="I930" s="118"/>
      <c r="J930" s="118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  <c r="AA930" s="118"/>
      <c r="AB930" s="118"/>
    </row>
  </sheetData>
  <mergeCells count="3">
    <mergeCell ref="D1:G1"/>
    <mergeCell ref="A2:B2"/>
    <mergeCell ref="D2:H2"/>
  </mergeCells>
  <printOptions/>
  <pageMargins bottom="0.7875" footer="0.0" header="0.0" left="0.511805555555556" right="0.511805555555556" top="0.78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1.57"/>
    <col customWidth="1" min="3" max="3" width="19.14"/>
    <col customWidth="1" min="4" max="4" width="59.43"/>
    <col customWidth="1" min="5" max="8" width="11.57"/>
    <col customWidth="1" min="9" max="9" width="23.14"/>
    <col customWidth="1" min="10" max="26" width="11.57"/>
  </cols>
  <sheetData>
    <row r="1" ht="26.25" customHeight="1">
      <c r="A1" s="162" t="s">
        <v>1649</v>
      </c>
      <c r="B1" s="163"/>
      <c r="C1" s="163"/>
      <c r="D1" s="163"/>
      <c r="E1" s="163"/>
      <c r="F1" s="163"/>
      <c r="G1" s="163"/>
      <c r="H1" s="163"/>
      <c r="I1" s="163"/>
      <c r="J1" s="164"/>
    </row>
    <row r="2" ht="12.75" customHeight="1">
      <c r="A2" s="121" t="s">
        <v>0</v>
      </c>
      <c r="B2" s="121" t="s">
        <v>1</v>
      </c>
      <c r="C2" s="121" t="s">
        <v>2</v>
      </c>
      <c r="D2" s="123" t="s">
        <v>3</v>
      </c>
      <c r="E2" s="121" t="s">
        <v>4</v>
      </c>
      <c r="F2" s="121" t="s">
        <v>5</v>
      </c>
      <c r="G2" s="121" t="s">
        <v>6</v>
      </c>
      <c r="H2" s="121" t="s">
        <v>7</v>
      </c>
      <c r="I2" s="121" t="s">
        <v>8</v>
      </c>
      <c r="J2" s="122" t="s">
        <v>9</v>
      </c>
    </row>
    <row r="3" ht="12.75" customHeight="1">
      <c r="A3" s="7">
        <v>2.0</v>
      </c>
      <c r="B3" s="8" t="s">
        <v>1650</v>
      </c>
      <c r="C3" s="136" t="s">
        <v>1244</v>
      </c>
      <c r="D3" s="165" t="s">
        <v>1651</v>
      </c>
      <c r="E3" s="125" t="s">
        <v>13</v>
      </c>
      <c r="F3" s="126" t="s">
        <v>14</v>
      </c>
      <c r="G3" s="127" t="s">
        <v>15</v>
      </c>
      <c r="H3" s="126" t="s">
        <v>1652</v>
      </c>
      <c r="I3" s="124" t="s">
        <v>1653</v>
      </c>
      <c r="J3" s="126" t="s">
        <v>16</v>
      </c>
    </row>
    <row r="4" ht="12.75" customHeight="1">
      <c r="A4" s="15">
        <v>3.0</v>
      </c>
      <c r="B4" s="16" t="s">
        <v>1654</v>
      </c>
      <c r="C4" s="128" t="s">
        <v>1246</v>
      </c>
      <c r="D4" s="132" t="s">
        <v>1655</v>
      </c>
      <c r="E4" s="91" t="s">
        <v>23</v>
      </c>
      <c r="F4" s="130" t="s">
        <v>417</v>
      </c>
      <c r="G4" s="166" t="s">
        <v>15</v>
      </c>
      <c r="H4" s="130" t="s">
        <v>1650</v>
      </c>
      <c r="I4" s="132"/>
      <c r="J4" s="130" t="s">
        <v>16</v>
      </c>
    </row>
    <row r="5" ht="12.75" customHeight="1">
      <c r="A5" s="15">
        <v>4.0</v>
      </c>
      <c r="B5" s="16" t="s">
        <v>1656</v>
      </c>
      <c r="C5" s="128" t="s">
        <v>1248</v>
      </c>
      <c r="D5" s="132" t="s">
        <v>1657</v>
      </c>
      <c r="E5" s="91" t="s">
        <v>23</v>
      </c>
      <c r="F5" s="130" t="s">
        <v>1221</v>
      </c>
      <c r="G5" s="166" t="s">
        <v>15</v>
      </c>
      <c r="H5" s="130" t="s">
        <v>1650</v>
      </c>
      <c r="I5" s="132"/>
      <c r="J5" s="130" t="s">
        <v>16</v>
      </c>
    </row>
    <row r="6" ht="12.75" customHeight="1">
      <c r="A6" s="15">
        <v>5.0</v>
      </c>
      <c r="B6" s="16" t="s">
        <v>1658</v>
      </c>
      <c r="C6" s="128" t="s">
        <v>1659</v>
      </c>
      <c r="D6" s="18" t="s">
        <v>1660</v>
      </c>
      <c r="E6" s="91" t="s">
        <v>23</v>
      </c>
      <c r="F6" s="15" t="s">
        <v>1221</v>
      </c>
      <c r="G6" s="167" t="s">
        <v>1661</v>
      </c>
      <c r="H6" s="130" t="s">
        <v>1650</v>
      </c>
      <c r="I6" s="132"/>
      <c r="J6" s="130" t="s">
        <v>16</v>
      </c>
    </row>
    <row r="7" ht="12.75" customHeight="1">
      <c r="A7" s="15">
        <v>6.0</v>
      </c>
      <c r="B7" s="16" t="s">
        <v>1662</v>
      </c>
      <c r="C7" s="128" t="s">
        <v>31</v>
      </c>
      <c r="D7" s="132" t="s">
        <v>1663</v>
      </c>
      <c r="E7" s="91" t="s">
        <v>23</v>
      </c>
      <c r="F7" s="130" t="s">
        <v>84</v>
      </c>
      <c r="G7" s="166" t="s">
        <v>15</v>
      </c>
      <c r="H7" s="130" t="s">
        <v>1650</v>
      </c>
      <c r="I7" s="132"/>
      <c r="J7" s="130" t="s">
        <v>16</v>
      </c>
    </row>
    <row r="8" ht="12.75" customHeight="1">
      <c r="A8" s="15">
        <v>7.0</v>
      </c>
      <c r="B8" s="16" t="s">
        <v>1664</v>
      </c>
      <c r="C8" s="128" t="s">
        <v>1665</v>
      </c>
      <c r="D8" s="132" t="s">
        <v>1666</v>
      </c>
      <c r="E8" s="91" t="s">
        <v>23</v>
      </c>
      <c r="F8" s="130" t="s">
        <v>677</v>
      </c>
      <c r="G8" s="166" t="s">
        <v>15</v>
      </c>
      <c r="H8" s="130" t="s">
        <v>1650</v>
      </c>
      <c r="I8" s="132" t="s">
        <v>1667</v>
      </c>
      <c r="J8" s="130" t="s">
        <v>16</v>
      </c>
    </row>
    <row r="9" ht="12.75" customHeight="1">
      <c r="A9" s="15">
        <v>8.0</v>
      </c>
      <c r="B9" s="16" t="s">
        <v>1668</v>
      </c>
      <c r="C9" s="128" t="s">
        <v>1669</v>
      </c>
      <c r="D9" s="132" t="s">
        <v>1670</v>
      </c>
      <c r="E9" s="91" t="s">
        <v>23</v>
      </c>
      <c r="F9" s="130" t="s">
        <v>849</v>
      </c>
      <c r="G9" s="166" t="s">
        <v>15</v>
      </c>
      <c r="H9" s="130" t="s">
        <v>1650</v>
      </c>
      <c r="I9" s="132" t="s">
        <v>1671</v>
      </c>
      <c r="J9" s="130" t="s">
        <v>16</v>
      </c>
    </row>
    <row r="10" ht="12.75" customHeight="1">
      <c r="A10" s="15">
        <v>9.0</v>
      </c>
      <c r="B10" s="16" t="s">
        <v>1672</v>
      </c>
      <c r="C10" s="128" t="s">
        <v>1673</v>
      </c>
      <c r="D10" s="132" t="s">
        <v>1674</v>
      </c>
      <c r="E10" s="91" t="s">
        <v>23</v>
      </c>
      <c r="F10" s="168" t="s">
        <v>64</v>
      </c>
      <c r="G10" s="166" t="s">
        <v>15</v>
      </c>
      <c r="H10" s="130" t="s">
        <v>1650</v>
      </c>
      <c r="I10" s="169" t="s">
        <v>65</v>
      </c>
      <c r="J10" s="130" t="s">
        <v>16</v>
      </c>
    </row>
    <row r="11" ht="12.75" customHeight="1">
      <c r="A11" s="15">
        <v>10.0</v>
      </c>
      <c r="B11" s="16" t="s">
        <v>1675</v>
      </c>
      <c r="C11" s="128" t="s">
        <v>1676</v>
      </c>
      <c r="D11" s="132" t="s">
        <v>1677</v>
      </c>
      <c r="E11" s="91" t="s">
        <v>23</v>
      </c>
      <c r="F11" s="168" t="s">
        <v>64</v>
      </c>
      <c r="G11" s="166" t="s">
        <v>15</v>
      </c>
      <c r="H11" s="130" t="s">
        <v>1650</v>
      </c>
      <c r="I11" s="132" t="s">
        <v>65</v>
      </c>
      <c r="J11" s="130" t="s">
        <v>16</v>
      </c>
    </row>
    <row r="12" ht="12.75" customHeight="1">
      <c r="A12" s="15">
        <v>11.0</v>
      </c>
      <c r="B12" s="16" t="s">
        <v>1678</v>
      </c>
      <c r="C12" s="128" t="s">
        <v>1679</v>
      </c>
      <c r="D12" s="132" t="s">
        <v>1680</v>
      </c>
      <c r="E12" s="91" t="s">
        <v>23</v>
      </c>
      <c r="F12" s="168" t="s">
        <v>64</v>
      </c>
      <c r="G12" s="166" t="s">
        <v>1661</v>
      </c>
      <c r="H12" s="130" t="s">
        <v>1650</v>
      </c>
      <c r="I12" s="132" t="s">
        <v>65</v>
      </c>
      <c r="J12" s="130" t="s">
        <v>16</v>
      </c>
    </row>
    <row r="13" ht="12.75" customHeight="1">
      <c r="A13" s="15">
        <v>12.0</v>
      </c>
      <c r="B13" s="16" t="s">
        <v>1681</v>
      </c>
      <c r="C13" s="128" t="s">
        <v>1682</v>
      </c>
      <c r="D13" s="132" t="s">
        <v>1683</v>
      </c>
      <c r="E13" s="91" t="s">
        <v>23</v>
      </c>
      <c r="F13" s="130" t="s">
        <v>872</v>
      </c>
      <c r="G13" s="166" t="s">
        <v>1661</v>
      </c>
      <c r="H13" s="130" t="s">
        <v>1650</v>
      </c>
      <c r="I13" s="132"/>
      <c r="J13" s="130" t="s">
        <v>16</v>
      </c>
    </row>
    <row r="14" ht="12.75" customHeight="1">
      <c r="A14" s="15">
        <v>13.0</v>
      </c>
      <c r="B14" s="16" t="s">
        <v>1684</v>
      </c>
      <c r="C14" s="51" t="s">
        <v>1685</v>
      </c>
      <c r="D14" s="133" t="s">
        <v>1686</v>
      </c>
      <c r="E14" s="91" t="s">
        <v>23</v>
      </c>
      <c r="F14" s="91" t="s">
        <v>1687</v>
      </c>
      <c r="G14" s="170" t="s">
        <v>15</v>
      </c>
      <c r="H14" s="130" t="s">
        <v>1650</v>
      </c>
      <c r="I14" s="135"/>
      <c r="J14" s="91" t="s">
        <v>16</v>
      </c>
    </row>
    <row r="15" ht="12.75" customHeight="1">
      <c r="A15" s="15">
        <v>14.0</v>
      </c>
      <c r="B15" s="16" t="s">
        <v>1688</v>
      </c>
      <c r="C15" s="51" t="s">
        <v>1689</v>
      </c>
      <c r="D15" s="133" t="s">
        <v>1690</v>
      </c>
      <c r="E15" s="91" t="s">
        <v>23</v>
      </c>
      <c r="F15" s="91" t="s">
        <v>1239</v>
      </c>
      <c r="G15" s="170" t="s">
        <v>15</v>
      </c>
      <c r="H15" s="130" t="s">
        <v>1650</v>
      </c>
      <c r="I15" s="135"/>
      <c r="J15" s="91" t="s">
        <v>16</v>
      </c>
    </row>
    <row r="16" ht="12.75" customHeight="1">
      <c r="A16" s="15">
        <v>15.0</v>
      </c>
      <c r="B16" s="16" t="s">
        <v>1691</v>
      </c>
      <c r="C16" s="128" t="s">
        <v>1237</v>
      </c>
      <c r="D16" s="171" t="s">
        <v>1692</v>
      </c>
      <c r="E16" s="91" t="s">
        <v>23</v>
      </c>
      <c r="F16" s="130" t="s">
        <v>1239</v>
      </c>
      <c r="G16" s="166" t="s">
        <v>1661</v>
      </c>
      <c r="H16" s="130" t="s">
        <v>1650</v>
      </c>
      <c r="I16" s="132"/>
      <c r="J16" s="130" t="s">
        <v>16</v>
      </c>
    </row>
    <row r="17" ht="12.75" customHeight="1">
      <c r="A17" s="15">
        <v>16.0</v>
      </c>
      <c r="B17" s="16" t="s">
        <v>1693</v>
      </c>
      <c r="C17" s="128" t="s">
        <v>1228</v>
      </c>
      <c r="D17" s="132" t="s">
        <v>1694</v>
      </c>
      <c r="E17" s="91" t="s">
        <v>23</v>
      </c>
      <c r="F17" s="130" t="s">
        <v>1224</v>
      </c>
      <c r="G17" s="166" t="s">
        <v>1661</v>
      </c>
      <c r="H17" s="130" t="s">
        <v>1650</v>
      </c>
      <c r="I17" s="132"/>
      <c r="J17" s="130" t="s">
        <v>16</v>
      </c>
    </row>
    <row r="18" ht="12.75" customHeight="1">
      <c r="A18" s="7">
        <v>17.0</v>
      </c>
      <c r="B18" s="8" t="s">
        <v>1695</v>
      </c>
      <c r="C18" s="136" t="s">
        <v>43</v>
      </c>
      <c r="D18" s="124" t="s">
        <v>1696</v>
      </c>
      <c r="E18" s="125" t="s">
        <v>13</v>
      </c>
      <c r="F18" s="126"/>
      <c r="G18" s="166" t="s">
        <v>15</v>
      </c>
      <c r="H18" s="130" t="s">
        <v>1650</v>
      </c>
      <c r="I18" s="124" t="s">
        <v>1697</v>
      </c>
      <c r="J18" s="126" t="s">
        <v>16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1:J1"/>
  </mergeCells>
  <conditionalFormatting sqref="A3:J18">
    <cfRule type="expression" dxfId="0" priority="1">
      <formula>ISEVEN(ROW())</formula>
    </cfRule>
  </conditionalFormatting>
  <dataValidations>
    <dataValidation type="list" allowBlank="1" showDropDown="1" sqref="G3:G18">
      <formula1>"43101.0,1-N,0-1,0-N"</formula1>
    </dataValidation>
    <dataValidation type="list" allowBlank="1" showDropDown="1" sqref="E3:E18">
      <formula1>"E,G,CE,CG,A"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/>
</file>