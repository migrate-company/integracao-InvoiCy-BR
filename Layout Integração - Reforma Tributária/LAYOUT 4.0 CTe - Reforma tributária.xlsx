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-e" sheetId="1" r:id="rId4"/>
    <sheet state="visible" name="Retorno" sheetId="2" r:id="rId5"/>
    <sheet state="hidden" name="Planilha3" sheetId="3" r:id="rId6"/>
  </sheets>
  <definedNames/>
  <calcPr/>
  <extLst>
    <ext uri="GoogleSheetsCustomDataVersion2">
      <go:sheetsCustomData xmlns:go="http://customooxmlschemas.google.com/" r:id="rId7" roundtripDataChecksum="O5uH/Vk8ZXaMXRw5ohbX/C4DD/SG4KgbcP9rg2rrSyc="/>
    </ext>
  </extLst>
</workbook>
</file>

<file path=xl/sharedStrings.xml><?xml version="1.0" encoding="utf-8"?>
<sst xmlns="http://schemas.openxmlformats.org/spreadsheetml/2006/main" count="6663" uniqueCount="1957">
  <si>
    <t>cClassTrib</t>
  </si>
  <si>
    <t>E</t>
  </si>
  <si>
    <t>IBSCBS</t>
  </si>
  <si>
    <t>N</t>
  </si>
  <si>
    <t>1-1</t>
  </si>
  <si>
    <t>Código</t>
  </si>
  <si>
    <t>da</t>
  </si>
  <si>
    <t>Classificação</t>
  </si>
  <si>
    <t>Tributária</t>
  </si>
  <si>
    <t>do</t>
  </si>
  <si>
    <t>IBS/CBS</t>
  </si>
  <si>
    <t>gIBSCBS</t>
  </si>
  <si>
    <t>G</t>
  </si>
  <si>
    <t>-</t>
  </si>
  <si>
    <t>0-1</t>
  </si>
  <si>
    <t>Grupo</t>
  </si>
  <si>
    <t>de</t>
  </si>
  <si>
    <t>informações</t>
  </si>
  <si>
    <t>específicas</t>
  </si>
  <si>
    <t>vBC</t>
  </si>
  <si>
    <t>Valor</t>
  </si>
  <si>
    <t>Base</t>
  </si>
  <si>
    <t>cálculo</t>
  </si>
  <si>
    <t>comum</t>
  </si>
  <si>
    <t>a</t>
  </si>
  <si>
    <t>gIBSUF</t>
  </si>
  <si>
    <t>competência</t>
  </si>
  <si>
    <t>das</t>
  </si>
  <si>
    <t>Unidades</t>
  </si>
  <si>
    <t>Federadas</t>
  </si>
  <si>
    <t>pIBSUF</t>
  </si>
  <si>
    <t>3,2/3,4</t>
  </si>
  <si>
    <t>Aliquota</t>
  </si>
  <si>
    <t>IBS</t>
  </si>
  <si>
    <t>LAYOUT XML - RETORNO</t>
  </si>
  <si>
    <t>Estadual</t>
  </si>
  <si>
    <t>XML</t>
  </si>
  <si>
    <t>vTribOp</t>
  </si>
  <si>
    <t>LAYOUT 4.0</t>
  </si>
  <si>
    <t>Tributo</t>
  </si>
  <si>
    <t>Bruto</t>
  </si>
  <si>
    <t>na</t>
  </si>
  <si>
    <t>operação</t>
  </si>
  <si>
    <t>gDif</t>
  </si>
  <si>
    <t>campos</t>
  </si>
  <si>
    <t>diferimento</t>
  </si>
  <si>
    <t>pDif</t>
  </si>
  <si>
    <t>Percentual</t>
  </si>
  <si>
    <t>vDif</t>
  </si>
  <si>
    <t>gDevTrib</t>
  </si>
  <si>
    <t>devolução</t>
  </si>
  <si>
    <t>tributos</t>
  </si>
  <si>
    <t>vDevTrib</t>
  </si>
  <si>
    <t>Em verde novos campos da reforma tributária</t>
  </si>
  <si>
    <t>tributo</t>
  </si>
  <si>
    <t>devolvido.</t>
  </si>
  <si>
    <t>No</t>
  </si>
  <si>
    <t>fornecimento</t>
  </si>
  <si>
    <t>energia</t>
  </si>
  <si>
    <t>elétrica,</t>
  </si>
  <si>
    <t>Em amarelo campos que tiveram alteração com a NT 2026.002 - RTC</t>
  </si>
  <si>
    <t>água,</t>
  </si>
  <si>
    <t>esgoto</t>
  </si>
  <si>
    <t>e</t>
  </si>
  <si>
    <t>gás</t>
  </si>
  <si>
    <t>natural</t>
  </si>
  <si>
    <t>em</t>
  </si>
  <si>
    <t>outras</t>
  </si>
  <si>
    <t>hipóteses</t>
  </si>
  <si>
    <t>definidas</t>
  </si>
  <si>
    <t>Nº</t>
  </si>
  <si>
    <t>no</t>
  </si>
  <si>
    <t>regulamento</t>
  </si>
  <si>
    <t>ID</t>
  </si>
  <si>
    <t>Campo</t>
  </si>
  <si>
    <t>Descrição</t>
  </si>
  <si>
    <t>Ele</t>
  </si>
  <si>
    <t>gRed</t>
  </si>
  <si>
    <t>Pai</t>
  </si>
  <si>
    <t>Tipo</t>
  </si>
  <si>
    <t>redução</t>
  </si>
  <si>
    <t>Ocorr.</t>
  </si>
  <si>
    <t>aliquota</t>
  </si>
  <si>
    <t>pRedAliq</t>
  </si>
  <si>
    <t>Obrig.</t>
  </si>
  <si>
    <t>Observações</t>
  </si>
  <si>
    <t>Versão</t>
  </si>
  <si>
    <t>pAliqEfet</t>
  </si>
  <si>
    <t>efetiva</t>
  </si>
  <si>
    <t>UF</t>
  </si>
  <si>
    <t>que</t>
  </si>
  <si>
    <t>A - Retorno do Documento Processado</t>
  </si>
  <si>
    <t>será</t>
  </si>
  <si>
    <t>aplicada</t>
  </si>
  <si>
    <t>base</t>
  </si>
  <si>
    <t>gDeson</t>
  </si>
  <si>
    <t>Desoneração.</t>
  </si>
  <si>
    <t>A - Identificação do Conhecimento de Transporte</t>
  </si>
  <si>
    <t>Exemplo</t>
  </si>
  <si>
    <t>A01</t>
  </si>
  <si>
    <t>Art.</t>
  </si>
  <si>
    <t>§4.</t>
  </si>
  <si>
    <t>Operações</t>
  </si>
  <si>
    <t>com</t>
  </si>
  <si>
    <t>ZFM</t>
  </si>
  <si>
    <t>Documento</t>
  </si>
  <si>
    <t>ALC.</t>
  </si>
  <si>
    <t>suspensão</t>
  </si>
  <si>
    <t>tributo.</t>
  </si>
  <si>
    <t>Envio</t>
  </si>
  <si>
    <t>Elemento Superior da Estrutura</t>
  </si>
  <si>
    <t>RAIZ</t>
  </si>
  <si>
    <t>CST</t>
  </si>
  <si>
    <t>S</t>
  </si>
  <si>
    <t>Preenchimento obrigatório</t>
  </si>
  <si>
    <t>Elemento raiz do XML de retorno</t>
  </si>
  <si>
    <t>1.0.0.0</t>
  </si>
  <si>
    <t>Situação</t>
  </si>
  <si>
    <t>caso</t>
  </si>
  <si>
    <t>o</t>
  </si>
  <si>
    <t>item</t>
  </si>
  <si>
    <t>não</t>
  </si>
  <si>
    <t>sofra</t>
  </si>
  <si>
    <t>desoneração</t>
  </si>
  <si>
    <t>A02</t>
  </si>
  <si>
    <t>Aa01</t>
  </si>
  <si>
    <t>ModeloDocumento</t>
  </si>
  <si>
    <t>DocModelo</t>
  </si>
  <si>
    <t>Modelo de documento a ser enviado</t>
  </si>
  <si>
    <t>V (10)</t>
  </si>
  <si>
    <t>Exemplo: Cte</t>
  </si>
  <si>
    <t>Exemplo: NFe, NFCe, CTe, MDFe</t>
  </si>
  <si>
    <t>A03</t>
  </si>
  <si>
    <t>Versão do Layout do documento</t>
  </si>
  <si>
    <t>Aa02</t>
  </si>
  <si>
    <t>N (5.2)</t>
  </si>
  <si>
    <t>DocNumero</t>
  </si>
  <si>
    <t>Número do documento</t>
  </si>
  <si>
    <t>Informar a versão do layout do arquivo XML. Ex: 4.00</t>
  </si>
  <si>
    <t>3.0.0.0</t>
  </si>
  <si>
    <t>N (9)</t>
  </si>
  <si>
    <t>calculo</t>
  </si>
  <si>
    <t>(igual</t>
  </si>
  <si>
    <t>ao</t>
  </si>
  <si>
    <t>elemento</t>
  </si>
  <si>
    <t>anterior)</t>
  </si>
  <si>
    <t>pAliq</t>
  </si>
  <si>
    <t>sem</t>
  </si>
  <si>
    <t>A04</t>
  </si>
  <si>
    <t>ChaveParceiro</t>
  </si>
  <si>
    <t>Aa03</t>
  </si>
  <si>
    <t>Chave de Parceiro</t>
  </si>
  <si>
    <t>DocSerie</t>
  </si>
  <si>
    <t>vDeson</t>
  </si>
  <si>
    <t>Série do documento</t>
  </si>
  <si>
    <t>C (30)</t>
  </si>
  <si>
    <t>desoneraçao.</t>
  </si>
  <si>
    <t>C (3)</t>
  </si>
  <si>
    <t>Não</t>
  </si>
  <si>
    <t>Campo exclusivo para integração através do InvoiCy Conector. Não é necessário o preenchimento na integração via WebServices. A chave de parceiro é fornecida pela Migrate ao parceiro no ato da efetivação do contrato comercial. A chave de parceiro é única para cada parceiro.</t>
  </si>
  <si>
    <t>é</t>
  </si>
  <si>
    <t>descontado</t>
  </si>
  <si>
    <t>valor</t>
  </si>
  <si>
    <t>IBS.</t>
  </si>
  <si>
    <t>vIBSUF</t>
  </si>
  <si>
    <t>A05</t>
  </si>
  <si>
    <t>ChaveAcesso</t>
  </si>
  <si>
    <t>Chave de Acesso</t>
  </si>
  <si>
    <t>C (50)</t>
  </si>
  <si>
    <t>Campo exclusivo para integração através do InvoiCy Conector. Não é necessário o preenchimento na integração via WebServices. A chave de acesso é gerada no cadastro de uma nova empresa no InvoiCy. Ao concluir o cadastro de uma empresa, a chave de acesso será exibida. Esta chave é única para cada empresa cadastrada, e identifica a empresa emissora do documento no InvoiCy.</t>
  </si>
  <si>
    <t>Aa04</t>
  </si>
  <si>
    <t>gIBSMun</t>
  </si>
  <si>
    <t>DocChaAcesso</t>
  </si>
  <si>
    <t>Chave de acesso do documento</t>
  </si>
  <si>
    <t>C (44)</t>
  </si>
  <si>
    <t>Imprimir</t>
  </si>
  <si>
    <t>Efetuar a impressão automática dos documentos efetivados</t>
  </si>
  <si>
    <t>municipio</t>
  </si>
  <si>
    <t>C (1)</t>
  </si>
  <si>
    <t>Aa05</t>
  </si>
  <si>
    <t>DocProtocolo</t>
  </si>
  <si>
    <t>Protocolo de autorização do documento</t>
  </si>
  <si>
    <t>pIBSMun</t>
  </si>
  <si>
    <t>V (20)</t>
  </si>
  <si>
    <t>Municipal</t>
  </si>
  <si>
    <t>Sequência</t>
  </si>
  <si>
    <t>Campo exclusivo para integração através do InvoiCy Conector. Preencher com S - Sim; ou N - Não</t>
  </si>
  <si>
    <t>Aa06</t>
  </si>
  <si>
    <t>ApelidoImpressora</t>
  </si>
  <si>
    <t>DocEvenSeq</t>
  </si>
  <si>
    <t>Apelido da impressora que foi cadastrada no InvoiCy Conector</t>
  </si>
  <si>
    <t>Sequencial do evento do documento</t>
  </si>
  <si>
    <t>C (300)</t>
  </si>
  <si>
    <t>N (2)</t>
  </si>
  <si>
    <t>Campo exclusivo para integração através do InvoiCy Conector. Se não informar essa tag, o documento será enviado para a impressora padrão configurada no InvoiCy Conector.</t>
  </si>
  <si>
    <t>Aa07</t>
  </si>
  <si>
    <t>DocEveTp</t>
  </si>
  <si>
    <t>Tipo de evento do documento</t>
  </si>
  <si>
    <t>N (6)</t>
  </si>
  <si>
    <t>Aa08</t>
  </si>
  <si>
    <t>DocEveId</t>
  </si>
  <si>
    <t>Identificação do evento do documento</t>
  </si>
  <si>
    <t>V (52)</t>
  </si>
  <si>
    <t>Aa – Informações de Identificação do CT-e</t>
  </si>
  <si>
    <t>Aa09</t>
  </si>
  <si>
    <t>DocPDFBase64</t>
  </si>
  <si>
    <t>Arquivo PDF do documento no formato Base64</t>
  </si>
  <si>
    <t>ide</t>
  </si>
  <si>
    <t>LV (2M)</t>
  </si>
  <si>
    <t>TAG de grupo das informações de identificação do CT-e</t>
  </si>
  <si>
    <t>Campo LongVarchar</t>
  </si>
  <si>
    <t>Aa10</t>
  </si>
  <si>
    <t>cCT</t>
  </si>
  <si>
    <t>Código numérico que compõe a Chave de Acesso</t>
  </si>
  <si>
    <t>DocPDFDownload</t>
  </si>
  <si>
    <t>Link para download do PDF do documento</t>
  </si>
  <si>
    <t>Número aleatório gerado pelo emitente para cada CT-e, com o objetivo de evitar acessos indevidos ao documento.</t>
  </si>
  <si>
    <t>V (999)</t>
  </si>
  <si>
    <t>cUF</t>
  </si>
  <si>
    <t>Código da UF do emitente do CT-e.</t>
  </si>
  <si>
    <t>Consulte nosso artigo para mais informações.</t>
  </si>
  <si>
    <t>Aa11</t>
  </si>
  <si>
    <t>DocDhAut</t>
  </si>
  <si>
    <t>Data e Hora de autorização do documento com fuso horário</t>
  </si>
  <si>
    <t>DateTime</t>
  </si>
  <si>
    <t>Formato AAAA-MM-DDThh:mm:ss-03:00</t>
  </si>
  <si>
    <t>Aa12</t>
  </si>
  <si>
    <t>DocDigestValue</t>
  </si>
  <si>
    <t>Digest Value do documento</t>
  </si>
  <si>
    <t>V (60)</t>
  </si>
  <si>
    <t>Uso exclusivo do InvoiCy</t>
  </si>
  <si>
    <t>Aa13</t>
  </si>
  <si>
    <t>DocXMLBase64</t>
  </si>
  <si>
    <t>Arquivo XML do documento no formato Base64</t>
  </si>
  <si>
    <t>natOp</t>
  </si>
  <si>
    <t>Natureza da Operação</t>
  </si>
  <si>
    <t>V (1-60)</t>
  </si>
  <si>
    <t>Aa14</t>
  </si>
  <si>
    <t>DocXMLDownload</t>
  </si>
  <si>
    <t>Link para download do arquivo XML do documento</t>
  </si>
  <si>
    <t>CFOP</t>
  </si>
  <si>
    <t>Código Fiscal de Operações e Prestações.</t>
  </si>
  <si>
    <t>N (4)</t>
  </si>
  <si>
    <t>Aa15</t>
  </si>
  <si>
    <t>DocImpressora</t>
  </si>
  <si>
    <t>Utilizado para impressão automática dos documentos</t>
  </si>
  <si>
    <t>V (200)</t>
  </si>
  <si>
    <t>Utilizado apenas pelas empresas que integram via InvoiCy Conector.</t>
  </si>
  <si>
    <t>mod</t>
  </si>
  <si>
    <t>Modelo do documento fiscal</t>
  </si>
  <si>
    <t>V (2)</t>
  </si>
  <si>
    <t>Utilizar o código 57 para identificação do CT-e, emitido em substituição aos modelos de conhecimentos em papel.</t>
  </si>
  <si>
    <t>Ab01</t>
  </si>
  <si>
    <t>Situacao</t>
  </si>
  <si>
    <t>Grupo de descrição do retorno da SEFAZ</t>
  </si>
  <si>
    <t>serie</t>
  </si>
  <si>
    <t>Série do CT-e</t>
  </si>
  <si>
    <t>V (1-3)</t>
  </si>
  <si>
    <t>Preencher com "0" no caso de série única.</t>
  </si>
  <si>
    <t>Aba01</t>
  </si>
  <si>
    <t>SitCodigo</t>
  </si>
  <si>
    <t>Código da situação do documento na SEFAZ</t>
  </si>
  <si>
    <t>N (8)</t>
  </si>
  <si>
    <t>nCT</t>
  </si>
  <si>
    <t>Número do CT-e</t>
  </si>
  <si>
    <t>N (1-9)</t>
  </si>
  <si>
    <t>Aba02</t>
  </si>
  <si>
    <t>SitDescricao</t>
  </si>
  <si>
    <t>Descrição da situação do documento na SEFAZ</t>
  </si>
  <si>
    <t>dhEmi</t>
  </si>
  <si>
    <t>Data e hora de emissão do CT-e</t>
  </si>
  <si>
    <t>V (1000)</t>
  </si>
  <si>
    <t>D</t>
  </si>
  <si>
    <t>Formato AAAA-MM-DDTHH:MM:DD</t>
  </si>
  <si>
    <t>Ac01</t>
  </si>
  <si>
    <t>fusoHorario</t>
  </si>
  <si>
    <t>Fuso horário da emissão</t>
  </si>
  <si>
    <t xml:space="preserve"> CaminhoArquivos</t>
  </si>
  <si>
    <t>C (6)</t>
  </si>
  <si>
    <t>Grupo de retorno dos caminhos dos arquivos</t>
  </si>
  <si>
    <t xml:space="preserve">Preencher com o fuso horário do estado emissor do evento. UTC – Universal Coordinated Time, onde pode ser -02:00 (Fernando de Noronha), -03:00 (Brasília) ou -04:00 (Manaus). No horário de verão serão -01:00, -02:00 e -03:00 respectivamente. </t>
  </si>
  <si>
    <t>tpImp</t>
  </si>
  <si>
    <t>Formato de impressão do DACTE</t>
  </si>
  <si>
    <t>N (1)</t>
  </si>
  <si>
    <t>Preencher com: 
1 - Retrato;
2 - Paisagem</t>
  </si>
  <si>
    <t>Aca01</t>
  </si>
  <si>
    <t>CaminhoPDF</t>
  </si>
  <si>
    <t>tpEmis</t>
  </si>
  <si>
    <t>Forma de emissão do CT-e</t>
  </si>
  <si>
    <t>Caminho em que o PDF do DACTE foi salvo</t>
  </si>
  <si>
    <t>V (255)</t>
  </si>
  <si>
    <t>Preencher com: 
1 - Normal;
4 - EPEC pela SVC;
5 - Contingência FSDA;
7 - Autorização pela SVC-RS;
8 - Autorização pela SVC-SP</t>
  </si>
  <si>
    <t>Campo exclusivo para integração através do InvoiCy Conector. Caminho em que o PDF do DACTE foi salvo. Se o usuário não desejar salvar arquivos esse campo estará ausente do XML de retorno.</t>
  </si>
  <si>
    <t>tpAmb</t>
  </si>
  <si>
    <t>Tipo do Ambiente</t>
  </si>
  <si>
    <t>Preencher com: 
1 - Produção;
2 - Homologação</t>
  </si>
  <si>
    <t>Aca02</t>
  </si>
  <si>
    <t>CaminhoXML</t>
  </si>
  <si>
    <t>Caminho em que o XML de processamento foi salvo.</t>
  </si>
  <si>
    <t>tpCTe</t>
  </si>
  <si>
    <t>Tipo do CT-e</t>
  </si>
  <si>
    <t>Campo exclusivo para integração através do InvoiCy Conector. Caminho em que o XML de processamento foi salvo. Se o usuário não desejar salvar arquivos esse campo estará ausente do XML de retorno.</t>
  </si>
  <si>
    <t>Preencher com: 
0 - CT-e Normal;
1 - CT-e de Complemento de Valores;
2 - CT-e de Anulação;
3 - CT-e Substituto
5 - CT-e Simplificado
6 - Substituição CT-e Simplificado</t>
  </si>
  <si>
    <t>procEmi</t>
  </si>
  <si>
    <t>Identificador do processo de emissão do CT-e</t>
  </si>
  <si>
    <t>Preencher com: 
0 - Emissão de CT-e com aplicativo do contribuinte;
1 - Emissão de CT-e avulsa pelo Fisco;
2 - Emissão de CT-e avulsa, pelo contribuinte com seu certificado digital, através do site do Fisco;
3 - Emissão CT-e pelo contribuinte com aplicativo fornecido pelo Fisco.</t>
  </si>
  <si>
    <t>Aa16</t>
  </si>
  <si>
    <t>indGlobalizado</t>
  </si>
  <si>
    <t>Indicador de CT-e Globalizado</t>
  </si>
  <si>
    <t>Informar valor 1 quando for globalizado. Não informar a tag nas demais situações.</t>
  </si>
  <si>
    <t>Aa17</t>
  </si>
  <si>
    <t>refCTE</t>
  </si>
  <si>
    <t>Chave de acesso do CT-e referenciado</t>
  </si>
  <si>
    <t>V (44)</t>
  </si>
  <si>
    <t>Aa18</t>
  </si>
  <si>
    <t>cMunEnv</t>
  </si>
  <si>
    <t>Código do Município de Envio do CT-e (de onde o documento foi transmitido)</t>
  </si>
  <si>
    <t>N (7)</t>
  </si>
  <si>
    <t>Informar ‘9999999’ para operações com o exterior. Consulte nosso artigo para mais informações.</t>
  </si>
  <si>
    <t>Aa19</t>
  </si>
  <si>
    <t>xMunEnv</t>
  </si>
  <si>
    <t>Nome do Município de Envio do CT-e (de onde o documento foi transmitido)</t>
  </si>
  <si>
    <t>Informar PAIS/Municipio para as operações com o exterior.</t>
  </si>
  <si>
    <t>Aa20</t>
  </si>
  <si>
    <t>UFEnv</t>
  </si>
  <si>
    <t>Sigla da UF de envio do CT-e (de onde o documento foi transmitido)</t>
  </si>
  <si>
    <t>Informar 'EX' para operações com o exterior.</t>
  </si>
  <si>
    <t>Aa21</t>
  </si>
  <si>
    <t>modal</t>
  </si>
  <si>
    <t>Modal</t>
  </si>
  <si>
    <t>C (2)</t>
  </si>
  <si>
    <t>Preencher com: 
01 - Rodoviário;
02 - Aéreo;
03 - Aquaviário;
04 - Ferroviário;
05 - Dutoviário;
06 - Multimodal</t>
  </si>
  <si>
    <t>Aa22</t>
  </si>
  <si>
    <t>tpServ</t>
  </si>
  <si>
    <t>Tipo do Serviço</t>
  </si>
  <si>
    <t>Preencher com: 
0 - Normal;
1 - Subcontratação;
2 - Redespacho;
3 - Redespacho Intermediário;
4 - Serviço Vinculado a Multimodal</t>
  </si>
  <si>
    <t>Aa23</t>
  </si>
  <si>
    <t>cMunIni</t>
  </si>
  <si>
    <t>Código do Município de início da prestação.</t>
  </si>
  <si>
    <t>Aa24</t>
  </si>
  <si>
    <t>xMunIni</t>
  </si>
  <si>
    <t>Nome do Município do início da prestação.</t>
  </si>
  <si>
    <t>Informar 'EXTERIOR' para operações com o exterior.</t>
  </si>
  <si>
    <t>Aa25</t>
  </si>
  <si>
    <t>UFIni</t>
  </si>
  <si>
    <t>UF do início da prestação.</t>
  </si>
  <si>
    <t>Aa26</t>
  </si>
  <si>
    <t>cMunFim</t>
  </si>
  <si>
    <t>Código do Município de término da prestação</t>
  </si>
  <si>
    <t>Aa27</t>
  </si>
  <si>
    <t>xMunFim</t>
  </si>
  <si>
    <t>Nome do Município do término da prestação</t>
  </si>
  <si>
    <t>Aa28</t>
  </si>
  <si>
    <t>UFFim</t>
  </si>
  <si>
    <t>UF do término da prestação</t>
  </si>
  <si>
    <t>Aa29</t>
  </si>
  <si>
    <t>retira</t>
  </si>
  <si>
    <t>Indicador se o Recebedor retira no Aeroporto, Filial, Porto ou Estação de Destino?</t>
  </si>
  <si>
    <t>Preencher com: 
0 - Sim;
1 - Não</t>
  </si>
  <si>
    <t>Aa30</t>
  </si>
  <si>
    <t>xDetRetira</t>
  </si>
  <si>
    <t>Detalhes do retira</t>
  </si>
  <si>
    <t>V (1-160)</t>
  </si>
  <si>
    <t>Aa31</t>
  </si>
  <si>
    <t>indIEToma</t>
  </si>
  <si>
    <t>Indicador do papel do tomador na prestação do serviço</t>
  </si>
  <si>
    <t>Preencher com:
1 – Contribuinte ICMS;
2 – Contribuinte isento de inscrição;
9 – Não Contribuinte</t>
  </si>
  <si>
    <t>Aa32</t>
  </si>
  <si>
    <t>dhCont</t>
  </si>
  <si>
    <t>Data e Hora da entrada em contingência</t>
  </si>
  <si>
    <t>Informar a data e hora no formato AAAA-MM-DDTHH:MM:SS</t>
  </si>
  <si>
    <t>Aa33</t>
  </si>
  <si>
    <t>xJust</t>
  </si>
  <si>
    <t>Justificativa da entrada em contingência</t>
  </si>
  <si>
    <t>V (15-256)</t>
  </si>
  <si>
    <t>Aa34</t>
  </si>
  <si>
    <t>EmailArquivos</t>
  </si>
  <si>
    <t>Email para qual serão enviadas as informações do CT-e</t>
  </si>
  <si>
    <t>V (1-500)</t>
  </si>
  <si>
    <t>Para enviar mais de um email, os endereços podem ser separados por ";". Caso seja o mesmo e-mail informado na tag "email_dest", o InvoiCy enviará o e-mail duas vezes. Esse campo não se aplica para empresas que utilizam certificado digital A3.</t>
  </si>
  <si>
    <t>Aa35</t>
  </si>
  <si>
    <t>tpPagAnt</t>
  </si>
  <si>
    <t>Tipo de pagamento antecipado</t>
  </si>
  <si>
    <t>Preencher com: 1 - Pagamento Antecipado; 3 - Fornecimento com pagamento realizado anteriormente.</t>
  </si>
  <si>
    <t>4.0.0.0</t>
  </si>
  <si>
    <t>Aa36</t>
  </si>
  <si>
    <t>gPagAntecipado</t>
  </si>
  <si>
    <t>TAG de grupo de informações do pagamento antecipado</t>
  </si>
  <si>
    <t>Informar somente quando tpPagAnt = 3 - Fornecimento com pagamento realizado anteriormente.</t>
  </si>
  <si>
    <t>Aa37</t>
  </si>
  <si>
    <t>gPagAntecipadoItem</t>
  </si>
  <si>
    <t>1-99</t>
  </si>
  <si>
    <t>Não informar este grupo quando a integração for API Rest.</t>
  </si>
  <si>
    <t>Aa38</t>
  </si>
  <si>
    <t>chDFePagAnt</t>
  </si>
  <si>
    <t>Chave de acesso do CT-e de antecipação de pagamento</t>
  </si>
  <si>
    <t>Chave de acesso do CT-e que registrou a antecipação do pagamento (tpPagAnt = 1). Não são aceitas chaves repetidas.</t>
  </si>
  <si>
    <t>Ab – Informações do Tomador</t>
  </si>
  <si>
    <t>tomador</t>
  </si>
  <si>
    <t>TAG de grupo de informações do tomador do CT-e</t>
  </si>
  <si>
    <t>Ab02</t>
  </si>
  <si>
    <t>toma</t>
  </si>
  <si>
    <t>Tomador do Serviço</t>
  </si>
  <si>
    <t>Preencher com: 
0 - Remetente;
1 - Expedidor;
2 - Recebedor;
3 - Destinatário;
4 - Outros</t>
  </si>
  <si>
    <t>Ab03</t>
  </si>
  <si>
    <t>CNPJ_toma</t>
  </si>
  <si>
    <t>Número do CNPJ</t>
  </si>
  <si>
    <t>CE</t>
  </si>
  <si>
    <t>V (14)</t>
  </si>
  <si>
    <t>Em caso de empresa não estabelecida no Brasil, será informado o CNPJ com zeros. Informar os zeros não significativos. Informar apenas quando o tomador do serviço for igual a 4 - Outros</t>
  </si>
  <si>
    <t>Ab04</t>
  </si>
  <si>
    <t>CPF_toma</t>
  </si>
  <si>
    <t>Número do CPF</t>
  </si>
  <si>
    <t>V (11)</t>
  </si>
  <si>
    <t>Informar os zeros não significativos. Informar apenas quando o tomador do serviço for igual a 4 - Outros.</t>
  </si>
  <si>
    <t>Ab05</t>
  </si>
  <si>
    <t>IE_toma</t>
  </si>
  <si>
    <t>Inscrição Estadual</t>
  </si>
  <si>
    <t>V (0-14)</t>
  </si>
  <si>
    <t>Informar a IE do tomador ou ISENTO se tomador é contribuinte do ICMS isento de inscrição no cadastro de contribuintes do ICMS. Caso o tomador não seja contribuinte do ICMS não informar o conteúdo. Informar apenas quando o tomador do serviço for igual a 4 - Outros.</t>
  </si>
  <si>
    <t>Ab06</t>
  </si>
  <si>
    <t>xNome_toma</t>
  </si>
  <si>
    <t>Razão Social ou Nome</t>
  </si>
  <si>
    <t>Informar apenas quando o tomador do serviço for igual a 4 - Outros.</t>
  </si>
  <si>
    <t>Ab07</t>
  </si>
  <si>
    <t>xFant_toma</t>
  </si>
  <si>
    <t>Nome Fantasia</t>
  </si>
  <si>
    <t>Ab08</t>
  </si>
  <si>
    <t>fone_toma</t>
  </si>
  <si>
    <t>Telefone</t>
  </si>
  <si>
    <t>V (6-14)</t>
  </si>
  <si>
    <t>Ab09</t>
  </si>
  <si>
    <t>email_toma</t>
  </si>
  <si>
    <t>Endereço de email</t>
  </si>
  <si>
    <t>Ac – Informações do Endereço do Tomador</t>
  </si>
  <si>
    <t>enderTomador</t>
  </si>
  <si>
    <t>TAG de grupo de informações do endereço do Tomador do CT-e</t>
  </si>
  <si>
    <t>Ac02</t>
  </si>
  <si>
    <t>xLgr_toma</t>
  </si>
  <si>
    <t>Logradouro</t>
  </si>
  <si>
    <t>V (1-255)</t>
  </si>
  <si>
    <t>Ac03</t>
  </si>
  <si>
    <t>nro_toma</t>
  </si>
  <si>
    <t>Número</t>
  </si>
  <si>
    <t>Ac04</t>
  </si>
  <si>
    <t>xCpl_toma</t>
  </si>
  <si>
    <t>Complemento</t>
  </si>
  <si>
    <t>Ac05</t>
  </si>
  <si>
    <t>xBairro_toma</t>
  </si>
  <si>
    <t>Bairro</t>
  </si>
  <si>
    <t>Ac06</t>
  </si>
  <si>
    <t>cMun_toma</t>
  </si>
  <si>
    <t>Código do município (utilizar a tabela do IBGE)</t>
  </si>
  <si>
    <t>Informar 9999999 para operações com o exterior. Informar apenas quando o tomador do serviço for igual a 4 - Outros. Consulte nosso artigo para mais informações.</t>
  </si>
  <si>
    <t>Ac07</t>
  </si>
  <si>
    <t>xMun_toma</t>
  </si>
  <si>
    <t>Nome do município</t>
  </si>
  <si>
    <t>Informar EXTERIOR para operações com o exterior. Informar apenas quando o tomador do serviço for igual a 4 - Outros.</t>
  </si>
  <si>
    <t>Ac08</t>
  </si>
  <si>
    <t>CEP_toma</t>
  </si>
  <si>
    <t>CEP</t>
  </si>
  <si>
    <t>V (8)</t>
  </si>
  <si>
    <t>Ac09</t>
  </si>
  <si>
    <t>UF_toma</t>
  </si>
  <si>
    <t>Sigla da UF</t>
  </si>
  <si>
    <t>Informar EX para operações com o exterior. Informar apenas quando o tomador do serviço for igual a 4 - Outros.</t>
  </si>
  <si>
    <t>Ac10</t>
  </si>
  <si>
    <t>cPais_toma</t>
  </si>
  <si>
    <t>Código do país</t>
  </si>
  <si>
    <t>N (1-4)</t>
  </si>
  <si>
    <t>Utilizar a tabela do BACEN. Informar apenas quando o tomador do serviço for igual a 4 - Outros.</t>
  </si>
  <si>
    <t>Ac11</t>
  </si>
  <si>
    <t>xPais_toma</t>
  </si>
  <si>
    <t>Nome do país</t>
  </si>
  <si>
    <t>Ad – Grupo de compras governamentais</t>
  </si>
  <si>
    <t>Ad01</t>
  </si>
  <si>
    <t>gCompraGov</t>
  </si>
  <si>
    <t>Compras Governamentais</t>
  </si>
  <si>
    <t>Ad02</t>
  </si>
  <si>
    <t>tpEnteGov</t>
  </si>
  <si>
    <t>Tipo de Ente</t>
  </si>
  <si>
    <t>N(1)</t>
  </si>
  <si>
    <t>Para administração pública direta e suas autarquias
e fundações:
1=União
2=Estados
3=Distrito Federal
4=Municípios</t>
  </si>
  <si>
    <t>Ad03</t>
  </si>
  <si>
    <t>pRedutor</t>
  </si>
  <si>
    <t>Percentual de redução de alíquota em compra governamental</t>
  </si>
  <si>
    <t>N(8.4)</t>
  </si>
  <si>
    <t>Conforme LC 214/25: TÍTULO II
DAS COMPRAS GOVERNAMENTAIS, Art. 472</t>
  </si>
  <si>
    <t>B - Dados Complementares do CT-e para fins operacionais ou comerciais</t>
  </si>
  <si>
    <t>B01</t>
  </si>
  <si>
    <t>compl</t>
  </si>
  <si>
    <t>TAG de grupo de informações complementares do CT-e</t>
  </si>
  <si>
    <t>B02</t>
  </si>
  <si>
    <t>xCaracAd</t>
  </si>
  <si>
    <t>Característica adicional do transporte</t>
  </si>
  <si>
    <t>V (1-15)</t>
  </si>
  <si>
    <t>Texto livre: REENTREGA; DEVOLUÇÃO; REFATURAMENTO; etc.</t>
  </si>
  <si>
    <t>B03</t>
  </si>
  <si>
    <t>xCaracSer</t>
  </si>
  <si>
    <t>Característica adicional do serviço</t>
  </si>
  <si>
    <t>V (1-30)</t>
  </si>
  <si>
    <t>Texto livre: ENTREGA EXPRESSA; LOGÍSTICA REVERSA; CONVENCIONAL; EMERGENCIAL, etc.</t>
  </si>
  <si>
    <t>B04</t>
  </si>
  <si>
    <t>xEmi</t>
  </si>
  <si>
    <t>Funcionário emissor do CT-e</t>
  </si>
  <si>
    <t>V (1-20)</t>
  </si>
  <si>
    <t>B05</t>
  </si>
  <si>
    <t>origCalc</t>
  </si>
  <si>
    <t>Município de origem para efeito de cálculo do frete</t>
  </si>
  <si>
    <t>V (1-40)</t>
  </si>
  <si>
    <t>B06</t>
  </si>
  <si>
    <t>destCalc</t>
  </si>
  <si>
    <t>Município de destino para efeito de cálculo do frete</t>
  </si>
  <si>
    <t>B07</t>
  </si>
  <si>
    <t>xObs</t>
  </si>
  <si>
    <t>Observações gerais</t>
  </si>
  <si>
    <t>V (1-2000)</t>
  </si>
  <si>
    <t>Ba - Dados de previsão do fluxo da carga</t>
  </si>
  <si>
    <t>Ba01</t>
  </si>
  <si>
    <t>fluxo</t>
  </si>
  <si>
    <t>TAG de grupo de previsão do fluxo da carga</t>
  </si>
  <si>
    <t>Preenchimento obrigatório para o modal aéreo</t>
  </si>
  <si>
    <t>Ba02</t>
  </si>
  <si>
    <t>xOrig</t>
  </si>
  <si>
    <t>Sigla ou código interno da Filial/Porto/Estação/Aeroporto de Origem</t>
  </si>
  <si>
    <t>Observações para o modal aéreo:
- Preenchimento obrigatório para o modal aéreo.
- O código de três letras IATA do aeroporto de partida deverá ser incluído como primeira anotação. Quando não for possível, utilizar a sigla OACI.</t>
  </si>
  <si>
    <t>Ba03</t>
  </si>
  <si>
    <t>xDest</t>
  </si>
  <si>
    <t>Sigla ou código interno da Filial/Porto/Estação/Aeroporto de Destino</t>
  </si>
  <si>
    <t>Observações para o modal aéreo:
- Preenchimento obrigatório para o modal aéreo.
- Deverá ser incluído o código de três letras IATA do aeroporto de destino. Quando não for possível, utilizar a sigla OACI.</t>
  </si>
  <si>
    <t>Ba04</t>
  </si>
  <si>
    <t>xRota</t>
  </si>
  <si>
    <t>Código da Rota de Entrega</t>
  </si>
  <si>
    <t>V (1-10)</t>
  </si>
  <si>
    <t>Bb - Dados de pontos de passagem</t>
  </si>
  <si>
    <t>Bb01</t>
  </si>
  <si>
    <t>passagem</t>
  </si>
  <si>
    <t>TAG de grupo dos pontos de passagem</t>
  </si>
  <si>
    <t>Bb02</t>
  </si>
  <si>
    <t>passItem</t>
  </si>
  <si>
    <t>1-N</t>
  </si>
  <si>
    <t>Bb03</t>
  </si>
  <si>
    <t>xPass</t>
  </si>
  <si>
    <t>Sigla ou código interno da Filial/Porto/Estação/Aeroporto de Passagem</t>
  </si>
  <si>
    <t>Observação para o modal aéreo:
- O código de três letras IATA, referente ao aeroporto de transferência, deverá ser incluído quando for o caso. Quando não for possível, utilizar a sigla OACI.
Qualquer solicitação de itinerário deverá ser incluída.</t>
  </si>
  <si>
    <t>Bc - Informações referente a previsão de entrega</t>
  </si>
  <si>
    <t>Bc01</t>
  </si>
  <si>
    <t>Entrega</t>
  </si>
  <si>
    <t>TAG de grupo de informações ref. a previsão de entrega</t>
  </si>
  <si>
    <t>Bc02</t>
  </si>
  <si>
    <t>tpPer</t>
  </si>
  <si>
    <t>Tipo de data/período programado para entrega</t>
  </si>
  <si>
    <t>Preencher com:
0 - Sem data definida;
1 - Na data;
2 - Até a data;
3 - A partir da data;
4 - No período</t>
  </si>
  <si>
    <t>Bc03</t>
  </si>
  <si>
    <t>dProg</t>
  </si>
  <si>
    <t>Data programada</t>
  </si>
  <si>
    <t>Formato AAAA-MM-DD</t>
  </si>
  <si>
    <t>Bc04</t>
  </si>
  <si>
    <t>dIni</t>
  </si>
  <si>
    <t>Data inicial</t>
  </si>
  <si>
    <t>Bc05</t>
  </si>
  <si>
    <t>dFim</t>
  </si>
  <si>
    <t>Data final</t>
  </si>
  <si>
    <t>Bc06</t>
  </si>
  <si>
    <t>tpHor</t>
  </si>
  <si>
    <t>Tipo de hora</t>
  </si>
  <si>
    <t>Preencher com:
0 - Sem hora definida;
1 - No horário;
2 - Até o horário;
3 - A partir do horário;
4 - No intervalo de tempo</t>
  </si>
  <si>
    <t>Bc07</t>
  </si>
  <si>
    <t>hProg</t>
  </si>
  <si>
    <t>Hora programada</t>
  </si>
  <si>
    <t>T</t>
  </si>
  <si>
    <t>Formato HH:MM:SS</t>
  </si>
  <si>
    <t>Bc08</t>
  </si>
  <si>
    <t>hIni</t>
  </si>
  <si>
    <t>Hora inicial</t>
  </si>
  <si>
    <t>Bc09</t>
  </si>
  <si>
    <t>hFim</t>
  </si>
  <si>
    <t>Hora final</t>
  </si>
  <si>
    <t>Bd – Grupo do campo de uso livre do contribuinte</t>
  </si>
  <si>
    <t>Bd01</t>
  </si>
  <si>
    <t>ObsCont</t>
  </si>
  <si>
    <t>TAG de grupo do campo de uso livre do contribuinte</t>
  </si>
  <si>
    <t>Informar o nome do campo no atributo xCampo e o conteúdo do campo no xTexto</t>
  </si>
  <si>
    <t>Bd02</t>
  </si>
  <si>
    <t>ObsContItem</t>
  </si>
  <si>
    <t>1-10</t>
  </si>
  <si>
    <t>Bd03</t>
  </si>
  <si>
    <t>xCampo_cont</t>
  </si>
  <si>
    <t>Identificação do campo</t>
  </si>
  <si>
    <t>xTexto_cont</t>
  </si>
  <si>
    <t>Conteúdo do campo</t>
  </si>
  <si>
    <t>Be – Grupo do campo de uso livre do fisco</t>
  </si>
  <si>
    <t>Be01</t>
  </si>
  <si>
    <t>ObsFisco</t>
  </si>
  <si>
    <t>TAG de grupo do campo de uso livre do fisco</t>
  </si>
  <si>
    <t>Be02</t>
  </si>
  <si>
    <t>ObsFiscoItem</t>
  </si>
  <si>
    <t>Be03</t>
  </si>
  <si>
    <t>xCampo_fisco</t>
  </si>
  <si>
    <t>Be04</t>
  </si>
  <si>
    <t>xTexto_fisco</t>
  </si>
  <si>
    <t>C – Identificação do Emitente do CT-e</t>
  </si>
  <si>
    <t>C01</t>
  </si>
  <si>
    <t>emit</t>
  </si>
  <si>
    <t>TAG de grupo de informações do emitente do CT-e</t>
  </si>
  <si>
    <t>C02</t>
  </si>
  <si>
    <t>CNPJ_emit</t>
  </si>
  <si>
    <t>CNPJ do emitente</t>
  </si>
  <si>
    <t>Informar zeros não significativos</t>
  </si>
  <si>
    <t>C03</t>
  </si>
  <si>
    <t>IE</t>
  </si>
  <si>
    <t>Inscrição Estadual do emitente</t>
  </si>
  <si>
    <t>C04</t>
  </si>
  <si>
    <t>IEST</t>
  </si>
  <si>
    <t>Inscrição Estadual do Substituto Tributário</t>
  </si>
  <si>
    <t>C05</t>
  </si>
  <si>
    <t>xNome</t>
  </si>
  <si>
    <t>Razão Social ou Nome do emitente</t>
  </si>
  <si>
    <t>C06</t>
  </si>
  <si>
    <t>xFant</t>
  </si>
  <si>
    <t>Nome fantasia</t>
  </si>
  <si>
    <t>C07</t>
  </si>
  <si>
    <t>CRT</t>
  </si>
  <si>
    <t>Código do Regime Tributário</t>
  </si>
  <si>
    <t xml:space="preserve">Preencher com:
1 - Simples Nacional;
2 - Simples Nacional, excesso sublimite de receita bruta;
3 - Regime Normal. </t>
  </si>
  <si>
    <t>C08</t>
  </si>
  <si>
    <t>ISUFEmit</t>
  </si>
  <si>
    <t>Inscrição SUFRAMA do emitente</t>
  </si>
  <si>
    <t>V (8-9)</t>
  </si>
  <si>
    <t>Obrigatório nas operações beneficiadas com alíquota zero da CBS em ALC/ZFM (grupo gALCZFMCBS informado). Na digitação, o valor é obtido do cadastro da empresa.</t>
  </si>
  <si>
    <t>Ca – Informações do Endereço do Emitente</t>
  </si>
  <si>
    <t>Ca01</t>
  </si>
  <si>
    <t>enderEmit</t>
  </si>
  <si>
    <t>TAG de grupo de informações do endereço do Emitente do CT-e</t>
  </si>
  <si>
    <t>Ca02</t>
  </si>
  <si>
    <t>xLgr</t>
  </si>
  <si>
    <t>Ca03</t>
  </si>
  <si>
    <t>nro</t>
  </si>
  <si>
    <t>Ca04</t>
  </si>
  <si>
    <t>xCpl</t>
  </si>
  <si>
    <t>Ca05</t>
  </si>
  <si>
    <t>xBairro</t>
  </si>
  <si>
    <t>Ca06</t>
  </si>
  <si>
    <t>cMun</t>
  </si>
  <si>
    <t>Ca07</t>
  </si>
  <si>
    <t>xMun</t>
  </si>
  <si>
    <t>Ca08</t>
  </si>
  <si>
    <t>Ca09</t>
  </si>
  <si>
    <t>Ca10</t>
  </si>
  <si>
    <t>fone</t>
  </si>
  <si>
    <t>D - Identificação do Remetente das mercadorias transportadas pelo CT-e</t>
  </si>
  <si>
    <t>D01</t>
  </si>
  <si>
    <t>rem</t>
  </si>
  <si>
    <t>TAG de grupo de informações do Remetente das mercadorias transportadas pelo CT-e</t>
  </si>
  <si>
    <t>Poderá não ser informado para os CT-e de redespacho intermediário. Nos demais casos deverá sempre ser informado.</t>
  </si>
  <si>
    <t>D02</t>
  </si>
  <si>
    <t>CNPJ_rem</t>
  </si>
  <si>
    <t>Em caso de empresa não estabelecida no Brasil, será informado o CNPJ com zeros. Informar os zeros não significativos.</t>
  </si>
  <si>
    <t>D03</t>
  </si>
  <si>
    <t>CPF_rem</t>
  </si>
  <si>
    <t>Informar os zeros não significativos</t>
  </si>
  <si>
    <t>D04</t>
  </si>
  <si>
    <t>IE_rem</t>
  </si>
  <si>
    <t>Informar a IE do remetente ou ISENTO se remetente é contribuinte do ICMS isento de inscrição no cadastro de contribuintes do ICMS. Caso o remetente não seja contribuinte do ICMS não informar o conteúdo.</t>
  </si>
  <si>
    <t>D05</t>
  </si>
  <si>
    <t>xNome_rem</t>
  </si>
  <si>
    <t>Razão Social ou Nome do Remetente</t>
  </si>
  <si>
    <t>D06</t>
  </si>
  <si>
    <t>xFant_rem</t>
  </si>
  <si>
    <t>D07</t>
  </si>
  <si>
    <t>fone_rem</t>
  </si>
  <si>
    <t>D08</t>
  </si>
  <si>
    <t>email_rem</t>
  </si>
  <si>
    <t>Da – Grupo de endereço do Remetente das mercadorias transportadas pelo CT-e</t>
  </si>
  <si>
    <t>Da01</t>
  </si>
  <si>
    <t>enderRem</t>
  </si>
  <si>
    <t>TAG de grupo de endereço do Remetente das mercadorias transportadas pelo CT-e</t>
  </si>
  <si>
    <t>Da02</t>
  </si>
  <si>
    <t>xLgr_rem</t>
  </si>
  <si>
    <t>Da03</t>
  </si>
  <si>
    <t>nro_rem</t>
  </si>
  <si>
    <t>Da04</t>
  </si>
  <si>
    <t>xCpl_rem</t>
  </si>
  <si>
    <t>Da05</t>
  </si>
  <si>
    <t>xBairro_rem</t>
  </si>
  <si>
    <t>Da06</t>
  </si>
  <si>
    <t>cMun_rem</t>
  </si>
  <si>
    <t>Da07</t>
  </si>
  <si>
    <t>xMun_rem</t>
  </si>
  <si>
    <t>Informar ‘EXTERIOR’ para operações com o exterior.</t>
  </si>
  <si>
    <t>Da08</t>
  </si>
  <si>
    <t>CEP_rem</t>
  </si>
  <si>
    <t>Informar os zeros não significativos.</t>
  </si>
  <si>
    <t>Da09</t>
  </si>
  <si>
    <t>UF_rem</t>
  </si>
  <si>
    <t>Informar ‘EX’ para operações com o exterior.</t>
  </si>
  <si>
    <t>Da10</t>
  </si>
  <si>
    <t>cPais_rem</t>
  </si>
  <si>
    <t>Utilizar a Tabela do BACEN</t>
  </si>
  <si>
    <t>Da11</t>
  </si>
  <si>
    <t>xPais_rem</t>
  </si>
  <si>
    <t>E - Informações do Expedidor da Carga</t>
  </si>
  <si>
    <t>E01</t>
  </si>
  <si>
    <t>exped</t>
  </si>
  <si>
    <t>TAG de grupo de informações do Expedidor da Carga</t>
  </si>
  <si>
    <t>E02</t>
  </si>
  <si>
    <t>CNPJ_exp</t>
  </si>
  <si>
    <t>E03</t>
  </si>
  <si>
    <t>CPF_exp</t>
  </si>
  <si>
    <t>E04</t>
  </si>
  <si>
    <t>IE_exp</t>
  </si>
  <si>
    <t>Informar a IE do expedidor ou ISENTO se expedidor é contribuinte do ICMS isento de inscrição no cadastro de contribuintes do ICMS. Caso o expedidor não seja contribuinte do ICMS não informar o conteúdo.</t>
  </si>
  <si>
    <t>E05</t>
  </si>
  <si>
    <t>xNome_exp</t>
  </si>
  <si>
    <t>E06</t>
  </si>
  <si>
    <t>fone_exp</t>
  </si>
  <si>
    <t>E07</t>
  </si>
  <si>
    <t>email_exp</t>
  </si>
  <si>
    <t>Ea - Grupo de endereço do Expedidor da Carga</t>
  </si>
  <si>
    <t>Ea01</t>
  </si>
  <si>
    <t>enderExped</t>
  </si>
  <si>
    <t>TAG de grupo de endereço do Expedidor da Carga</t>
  </si>
  <si>
    <t>Ea02</t>
  </si>
  <si>
    <t>xLgr_exp</t>
  </si>
  <si>
    <t>Ea03</t>
  </si>
  <si>
    <t>nro_exp</t>
  </si>
  <si>
    <t>Ea04</t>
  </si>
  <si>
    <t>xCpl_exp</t>
  </si>
  <si>
    <t>Ea05</t>
  </si>
  <si>
    <t>xBairro_exp</t>
  </si>
  <si>
    <t>Ea06</t>
  </si>
  <si>
    <t>cMun_exp</t>
  </si>
  <si>
    <t>Ea07</t>
  </si>
  <si>
    <t>xMun_exp</t>
  </si>
  <si>
    <t>Informar EXTERIOR para operações com o exterior</t>
  </si>
  <si>
    <t>Ea08</t>
  </si>
  <si>
    <t>CEP_exp</t>
  </si>
  <si>
    <t>Ea09</t>
  </si>
  <si>
    <t>UF_exp</t>
  </si>
  <si>
    <t>Informar EX para operações com o exterior</t>
  </si>
  <si>
    <t>Ea10</t>
  </si>
  <si>
    <t>cPais_exp</t>
  </si>
  <si>
    <t>Ea11</t>
  </si>
  <si>
    <t>xPais_exp</t>
  </si>
  <si>
    <t>F - Informações do Recebedor da Carga</t>
  </si>
  <si>
    <t>F01</t>
  </si>
  <si>
    <t>receb</t>
  </si>
  <si>
    <t>TAG de grupo de informações do Recebedor da Carga</t>
  </si>
  <si>
    <t>F02</t>
  </si>
  <si>
    <t>CNPJ_rec</t>
  </si>
  <si>
    <t>F03</t>
  </si>
  <si>
    <t>CPF_rec</t>
  </si>
  <si>
    <t>F04</t>
  </si>
  <si>
    <t>IE_rec</t>
  </si>
  <si>
    <t>Informar a IE do recebedor ou ISENTO se recebedor é contribuinte do ICMS isento de inscrição no cadastro de contribuintes do ICMS. Caso o recebedor não seja contribuinte do ICMS não informar o conteúdo.</t>
  </si>
  <si>
    <t>F05</t>
  </si>
  <si>
    <t>xNome_rec</t>
  </si>
  <si>
    <t>F06</t>
  </si>
  <si>
    <t>fone_rec</t>
  </si>
  <si>
    <t>F07</t>
  </si>
  <si>
    <t>email_rec</t>
  </si>
  <si>
    <t>Fa – Grupo de endereço do Recebedor da Carga</t>
  </si>
  <si>
    <t>Fa01</t>
  </si>
  <si>
    <t>enderReceb</t>
  </si>
  <si>
    <t>TAG de grupo de endereço do Recebedor da Carga</t>
  </si>
  <si>
    <t>Fa02</t>
  </si>
  <si>
    <t>xLgr_rec</t>
  </si>
  <si>
    <t>Fa03</t>
  </si>
  <si>
    <t>nro_rec</t>
  </si>
  <si>
    <t>Fa04</t>
  </si>
  <si>
    <t>xCpl_rec</t>
  </si>
  <si>
    <t>Fa05</t>
  </si>
  <si>
    <t>xBairro_rec</t>
  </si>
  <si>
    <t>Fa06</t>
  </si>
  <si>
    <t>cMun_rec</t>
  </si>
  <si>
    <t>Fa07</t>
  </si>
  <si>
    <t>xMun_rec</t>
  </si>
  <si>
    <t>Fa08</t>
  </si>
  <si>
    <t>CEP_rec</t>
  </si>
  <si>
    <t>Fa09</t>
  </si>
  <si>
    <t>UF_rec</t>
  </si>
  <si>
    <t>Fa10</t>
  </si>
  <si>
    <t>cPais_rec</t>
  </si>
  <si>
    <t>Fa11</t>
  </si>
  <si>
    <t>xPais_rec</t>
  </si>
  <si>
    <t xml:space="preserve">G – Informações do Destinatário do CT-e </t>
  </si>
  <si>
    <t>G01</t>
  </si>
  <si>
    <t>dest</t>
  </si>
  <si>
    <t>TAG de grupo de informações do Destinatário do CT-e</t>
  </si>
  <si>
    <t>Só pode ser omitido em caso de redespacho intermediário</t>
  </si>
  <si>
    <t>G02</t>
  </si>
  <si>
    <t>CNPJ_dest</t>
  </si>
  <si>
    <t>G03</t>
  </si>
  <si>
    <t>CPF_dest</t>
  </si>
  <si>
    <t>G04</t>
  </si>
  <si>
    <t>IE_dest</t>
  </si>
  <si>
    <t>Informar a IE do destinatário ou ISENTO se destinatário é contribuinte do ICMS isento de inscrição no cadastro de contribuintes do ICMS. Caso o destinatário não seja contribuinte do ICMS não informar o conteúdo.</t>
  </si>
  <si>
    <t>G05</t>
  </si>
  <si>
    <t>xNome_dest</t>
  </si>
  <si>
    <t>Razão Social ou Nome do Destinatário</t>
  </si>
  <si>
    <t>G06</t>
  </si>
  <si>
    <t>fone_dest</t>
  </si>
  <si>
    <t>G07</t>
  </si>
  <si>
    <t>ISUF_dest</t>
  </si>
  <si>
    <t>Inscrição na SUFRAMA</t>
  </si>
  <si>
    <t>Obrigatório nas operações com as áreas com benefícios de incentivos fiscais sob controle da SUFRAMA.</t>
  </si>
  <si>
    <t>G08</t>
  </si>
  <si>
    <t>email_dest</t>
  </si>
  <si>
    <t>E-mail do destinatário para recebimento dos arquivos</t>
  </si>
  <si>
    <t>Informar o e-mail do destinatário, caso seja informado o mesmo endereço de e-mail na tag "EmailArquivos", o InvoiCy enviará o e-mail duas vezes.</t>
  </si>
  <si>
    <t>Ga – Grupo de endereço do Destinatário do CT-e</t>
  </si>
  <si>
    <t>Ga01</t>
  </si>
  <si>
    <t>enderDest</t>
  </si>
  <si>
    <t>TAG de grupo de endereço do Destinatário do CT-e</t>
  </si>
  <si>
    <t>Ga02</t>
  </si>
  <si>
    <t>xLgr_dest</t>
  </si>
  <si>
    <t>Ga03</t>
  </si>
  <si>
    <t>nro_dest</t>
  </si>
  <si>
    <t>Ga04</t>
  </si>
  <si>
    <t>xCpl_dest</t>
  </si>
  <si>
    <t>Ga05</t>
  </si>
  <si>
    <t>xBairro_dest</t>
  </si>
  <si>
    <t>Ga06</t>
  </si>
  <si>
    <t>cMun_dest</t>
  </si>
  <si>
    <t>Ga07</t>
  </si>
  <si>
    <t>xMun_dest</t>
  </si>
  <si>
    <t>Ga08</t>
  </si>
  <si>
    <t>CEP_dest</t>
  </si>
  <si>
    <t>Ga09</t>
  </si>
  <si>
    <t>UF_dest</t>
  </si>
  <si>
    <t>Ga10</t>
  </si>
  <si>
    <t>cPais_dest</t>
  </si>
  <si>
    <t>Ga11</t>
  </si>
  <si>
    <t>xPais_dest</t>
  </si>
  <si>
    <t>H - Valores da Prestação de Serviço</t>
  </si>
  <si>
    <t>H01</t>
  </si>
  <si>
    <t>vPrest</t>
  </si>
  <si>
    <t>TAG de grupo de Valores da Prestação de Serviço</t>
  </si>
  <si>
    <t>H02</t>
  </si>
  <si>
    <t>vTPrest</t>
  </si>
  <si>
    <t>Valor Total da Prestação do Serviço</t>
  </si>
  <si>
    <t>N (16.2)</t>
  </si>
  <si>
    <t>15 posições, sendo 13 inteiras e 2 decimais. Pode conter zeros quando o CT-e for de complemento de ICMS</t>
  </si>
  <si>
    <t>H03</t>
  </si>
  <si>
    <t>vRec</t>
  </si>
  <si>
    <t>Valor a Receber</t>
  </si>
  <si>
    <t>15 posições, sendo 13 inteiras e 2 decimais</t>
  </si>
  <si>
    <t>Ha - Componentes do Valor da Prestação</t>
  </si>
  <si>
    <t>Ha01</t>
  </si>
  <si>
    <t>Comp</t>
  </si>
  <si>
    <t>TAG de grupo de Componentes do Valor da Prestação</t>
  </si>
  <si>
    <t>0-N</t>
  </si>
  <si>
    <t>Ha02</t>
  </si>
  <si>
    <t>compItem</t>
  </si>
  <si>
    <t>Ha03</t>
  </si>
  <si>
    <t>xNome_comp</t>
  </si>
  <si>
    <t>Nome do Componente</t>
  </si>
  <si>
    <t>Exemplos: FRETE PESO, FRETE VALOR, SEC/CAT, ADEME, AGENDAMENTO, etc</t>
  </si>
  <si>
    <t>Ha04</t>
  </si>
  <si>
    <t>vComp</t>
  </si>
  <si>
    <t>Valor do Componente</t>
  </si>
  <si>
    <t>I - Informações relativas aos Impostos</t>
  </si>
  <si>
    <t>I01</t>
  </si>
  <si>
    <t>imp</t>
  </si>
  <si>
    <t>TAG de grupo de informações relativas aos Impostos</t>
  </si>
  <si>
    <t>I02</t>
  </si>
  <si>
    <t>vTotImp</t>
  </si>
  <si>
    <t>Valor total do imposto</t>
  </si>
  <si>
    <t>15 posições, sendo 13 inteiras e 2 decimais. Lei da transparência - Lei nº 12.741/2012</t>
  </si>
  <si>
    <t>I03</t>
  </si>
  <si>
    <t>infAdFisco</t>
  </si>
  <si>
    <t>Informações adicionais de interesse do Fisco</t>
  </si>
  <si>
    <t>Norma referenciada, informações complementares, etc</t>
  </si>
  <si>
    <t>I04</t>
  </si>
  <si>
    <t>vTotDFe</t>
  </si>
  <si>
    <t>Valor total do documento fiscal</t>
  </si>
  <si>
    <t>Valor total do documento fiscal
vTPrest + total do IBS + total da CBS (Exceção: Em 2026 não somar IBS e CBS)</t>
  </si>
  <si>
    <t>Ia - Informações do ICMS de partilha com a UF de término do serviço de transporte na operação interestadual</t>
  </si>
  <si>
    <t>Ia01</t>
  </si>
  <si>
    <t>ICMSUFFim</t>
  </si>
  <si>
    <t>Tag de grupo de informações do ICMS de partilha com a UF de término do serviço de transporte na operação interestadual</t>
  </si>
  <si>
    <t>Grupo a ser informado nas prestações de serviço de transporte interestaduais para consumidor final, não contribuinte do ICMS.</t>
  </si>
  <si>
    <t>Ia02</t>
  </si>
  <si>
    <t>vBCUFFim</t>
  </si>
  <si>
    <t>Valor da Base de Cálculo do ICMS</t>
  </si>
  <si>
    <t>N (16.3)</t>
  </si>
  <si>
    <t>Valor da Base de Cálculo do ICMS na UF de término da prestação do serviço de transporte.</t>
  </si>
  <si>
    <t>Ia03</t>
  </si>
  <si>
    <t>pFCPUFFim</t>
  </si>
  <si>
    <t>Percentual de ICMS correspondente ao Fundo de Combate à pobreza na UF de término da prestação</t>
  </si>
  <si>
    <t>N (6.2)</t>
  </si>
  <si>
    <t>5 posições, sendo 3 inteiras e 2 decimais.</t>
  </si>
  <si>
    <t>Ia04</t>
  </si>
  <si>
    <t>pICMSUFFim</t>
  </si>
  <si>
    <t>Alíquota do ICMS</t>
  </si>
  <si>
    <t>Alíquota interna da UF de término da prestação do serviço de transporte.</t>
  </si>
  <si>
    <t>Ia05</t>
  </si>
  <si>
    <t>pICMSInter</t>
  </si>
  <si>
    <t>Alíquota Interestadual das UF envolvidas</t>
  </si>
  <si>
    <t>Ia06</t>
  </si>
  <si>
    <t>vFCPUFFim</t>
  </si>
  <si>
    <t>Valor de ICMS correspondente ao Fundo de Combate à pobreza na UF de término da prestação</t>
  </si>
  <si>
    <t>15 posições, sendo 13 inteiras e 2 decimais.</t>
  </si>
  <si>
    <t>Ia07</t>
  </si>
  <si>
    <t>vICMSUFFim</t>
  </si>
  <si>
    <t>Valor do ICMS</t>
  </si>
  <si>
    <t>Valor do ICMS de partilha para a UF de término da prestação do serviço de transporte.</t>
  </si>
  <si>
    <t>Ia08</t>
  </si>
  <si>
    <t>vICMSUFIni</t>
  </si>
  <si>
    <t>Valor do ICMS de partilha para a UF de início da prestação do serviço de transporte.</t>
  </si>
  <si>
    <t>Ib – Informações relativas ao ICMS</t>
  </si>
  <si>
    <t>Ib01</t>
  </si>
  <si>
    <t>ICMS</t>
  </si>
  <si>
    <t>TAG de grupo de informações relativas ao ICMS</t>
  </si>
  <si>
    <t>Ib02</t>
  </si>
  <si>
    <t>Classificação Tributária do Serviço</t>
  </si>
  <si>
    <t>Preencher com:
00 - ICMS Normal;
20 - ICMS com redução de BC;
40 - ICMS isenção;
41 - ICMS não tributada;
51 - ICMS diferido;
60 - ICMS cobrado anteriormente por substituição tributária;
90 - ICMS Outras situações (Outra UF, Simples Nacional)</t>
  </si>
  <si>
    <t>Ib03</t>
  </si>
  <si>
    <t>Valor da BC do ICMS</t>
  </si>
  <si>
    <t>15 posições, sendo 13 inteiras e 2 decimais.
Não obrigatório quando for CST = 40, 41, 51, 60</t>
  </si>
  <si>
    <t>Ib04</t>
  </si>
  <si>
    <t>pICMS</t>
  </si>
  <si>
    <t>5 posições, sendo 3 inteiras e 2 decimais.
Não obrigatório quando for CST = 40, 41, 51, 60</t>
  </si>
  <si>
    <t>Ib05</t>
  </si>
  <si>
    <t>vICMS</t>
  </si>
  <si>
    <t>Ib06</t>
  </si>
  <si>
    <t>pRedBC</t>
  </si>
  <si>
    <t>Percentual de redução da BC</t>
  </si>
  <si>
    <t>5 posições, sendo 3 inteiras e 2 decimais.
Não obrigatório quando for CST = 00, 40, 41, 51, 60, 90</t>
  </si>
  <si>
    <t>Ib07</t>
  </si>
  <si>
    <t>vBCSTRet</t>
  </si>
  <si>
    <t>Valor da BC do ICMS ST retido</t>
  </si>
  <si>
    <t>15 posições, sendo 13 inteiras e 2 decimais.
Obrigatório somente para CST = 60</t>
  </si>
  <si>
    <t>Ib08</t>
  </si>
  <si>
    <t>vICMSSTRet</t>
  </si>
  <si>
    <t>Valor do ICMS ST retido</t>
  </si>
  <si>
    <t>Ib09</t>
  </si>
  <si>
    <t>pICMSSTRet</t>
  </si>
  <si>
    <t>Alíquota do ICMS ST retido</t>
  </si>
  <si>
    <t>5 posições, sendo 3 inteiras e 2 decimais.
Obrigatório somente para CST = 60</t>
  </si>
  <si>
    <t>Ib10</t>
  </si>
  <si>
    <t>vCred</t>
  </si>
  <si>
    <t>Valor do Crédito outorgado/Presumido</t>
  </si>
  <si>
    <t>15 posições, sendo 13 inteiras e 2 decimais.
Não obrigatório quando for CST = 00, 20, 40, 41, 51, 90</t>
  </si>
  <si>
    <t>Ib11</t>
  </si>
  <si>
    <t>pRedBCOutraUF</t>
  </si>
  <si>
    <t>5 posições, sendo 3 inteiras e 2 decimais.
Obrigatório somente para CST = 90</t>
  </si>
  <si>
    <t>Ib12</t>
  </si>
  <si>
    <t>vBCOutraUF</t>
  </si>
  <si>
    <t>15 posições, sendo 13 inteiras e 2 decimais.
Obrigatório somente para CST = 90</t>
  </si>
  <si>
    <t>Ib13</t>
  </si>
  <si>
    <t>pICMSOutraUF</t>
  </si>
  <si>
    <t>Ib14</t>
  </si>
  <si>
    <t>vICMSOutraUF</t>
  </si>
  <si>
    <t>Valor do ICMS devido outra UF</t>
  </si>
  <si>
    <t>Ib15</t>
  </si>
  <si>
    <t>indSN</t>
  </si>
  <si>
    <t>Indica se o contribuinte é Simples Nacional 1 = Sim</t>
  </si>
  <si>
    <t>Ib16</t>
  </si>
  <si>
    <t>vICMSDeson</t>
  </si>
  <si>
    <t>Valor de ICMS de Desoneração</t>
  </si>
  <si>
    <t>Deve ser informado quando for CST = 20, 45, 60, 90 ou OutraUF.</t>
  </si>
  <si>
    <t>Ib17</t>
  </si>
  <si>
    <t>cBenef</t>
  </si>
  <si>
    <t>Código do Benefício Fiscal</t>
  </si>
  <si>
    <t>Ic – Grupo de informações da Tributação IBS/CBS</t>
  </si>
  <si>
    <t>Ic01</t>
  </si>
  <si>
    <t>Grupo de informações da Tributação IBS/CBS</t>
  </si>
  <si>
    <t>Ic02</t>
  </si>
  <si>
    <t>Código de Situação Tributária do IBS/CBS</t>
  </si>
  <si>
    <t>N (3)</t>
  </si>
  <si>
    <t>Ic03</t>
  </si>
  <si>
    <t>Código de Classificação Tributária do IBS/CBS</t>
  </si>
  <si>
    <t>V (6)</t>
  </si>
  <si>
    <t>Ic04</t>
  </si>
  <si>
    <t>Grupo de Informações do IBS e CBS</t>
  </si>
  <si>
    <t>Ic05</t>
  </si>
  <si>
    <t>Base de cálculo do IBS e CBS</t>
  </si>
  <si>
    <t>Ic06</t>
  </si>
  <si>
    <t>vIBS</t>
  </si>
  <si>
    <t>Valor do IBS(Soma de vIBSUF e vIBSMUN)</t>
  </si>
  <si>
    <t>Id – Grupo de informações do IBS para a UF</t>
  </si>
  <si>
    <t>Id01</t>
  </si>
  <si>
    <t>Grupo de Informações do IBS para a UF</t>
  </si>
  <si>
    <t>Id02</t>
  </si>
  <si>
    <t>Alíquota do IBS de competência das UF</t>
  </si>
  <si>
    <t>N (8.4)</t>
  </si>
  <si>
    <t>Alíquota vigente do IBS da UF</t>
  </si>
  <si>
    <t>Id03</t>
  </si>
  <si>
    <t>Valor do IBS de competência da UF</t>
  </si>
  <si>
    <t>Id05</t>
  </si>
  <si>
    <t>Grupo de Informações do Diferimento</t>
  </si>
  <si>
    <t>Id06</t>
  </si>
  <si>
    <t>Percentual do diferimento</t>
  </si>
  <si>
    <t>Id07</t>
  </si>
  <si>
    <t>Valor do Diferimento</t>
  </si>
  <si>
    <t>Id08</t>
  </si>
  <si>
    <t>Grupo de Informações da devolução de tributos</t>
  </si>
  <si>
    <t>Id09</t>
  </si>
  <si>
    <t>Valor do tributo devolvido</t>
  </si>
  <si>
    <t>Valor do tributo devolvido. No fornecimento de energia elétrica, água, esgoto e gás natural e em outras hipóteses definidas no regulamento</t>
  </si>
  <si>
    <t>Id10</t>
  </si>
  <si>
    <t>Grupo de informações da redução da alíquota</t>
  </si>
  <si>
    <t>Id11</t>
  </si>
  <si>
    <t>Percentual da redução de alíquota</t>
  </si>
  <si>
    <t>Id12</t>
  </si>
  <si>
    <t>Aliquota Efetiva do IBS de competência das UF que será aplicada a Base de Cálculo</t>
  </si>
  <si>
    <t>Alíquota efetiva, após aplicação da redução de alíquota.</t>
  </si>
  <si>
    <t>Ie – Grupo de informações do IBS para a Municípios</t>
  </si>
  <si>
    <t>Ie01</t>
  </si>
  <si>
    <t>Grupo de Informações do IBS para o município</t>
  </si>
  <si>
    <t>Ie02</t>
  </si>
  <si>
    <t>Alíquota do IBS de competência dos Municípios</t>
  </si>
  <si>
    <t>Ie03</t>
  </si>
  <si>
    <t>vIBSMun</t>
  </si>
  <si>
    <t>Valor do IBS de competência dos Municípios</t>
  </si>
  <si>
    <t>Ie05</t>
  </si>
  <si>
    <t>Ie06</t>
  </si>
  <si>
    <t>Ie07</t>
  </si>
  <si>
    <t>Ie08</t>
  </si>
  <si>
    <t>Ie09</t>
  </si>
  <si>
    <t>Ie10</t>
  </si>
  <si>
    <t>Ie11</t>
  </si>
  <si>
    <t>Ie12</t>
  </si>
  <si>
    <t>Aliquota Efetiva do IBS de competência dos Municípios que será aplicada a Base de Cálculo</t>
  </si>
  <si>
    <t>If – Grupo de informações da CBS</t>
  </si>
  <si>
    <t>If01</t>
  </si>
  <si>
    <t>gCBS</t>
  </si>
  <si>
    <t>Grupo de Informações da CBS</t>
  </si>
  <si>
    <t>If02</t>
  </si>
  <si>
    <t>pCBS</t>
  </si>
  <si>
    <t>Alíquota da CBS</t>
  </si>
  <si>
    <t>If03</t>
  </si>
  <si>
    <t>vCBS</t>
  </si>
  <si>
    <t>Valor da CBS</t>
  </si>
  <si>
    <t>If05</t>
  </si>
  <si>
    <t>If06</t>
  </si>
  <si>
    <t>If07</t>
  </si>
  <si>
    <t>If08</t>
  </si>
  <si>
    <t>If09</t>
  </si>
  <si>
    <t>If10</t>
  </si>
  <si>
    <t>If11</t>
  </si>
  <si>
    <t>If12</t>
  </si>
  <si>
    <t>Alíquota Efetiva da CBS que será aplicada a Base de Cálculo</t>
  </si>
  <si>
    <t>If13</t>
  </si>
  <si>
    <t>gALCZFMCBS</t>
  </si>
  <si>
    <t>Grupo de informações de operações em áreas incentivadas (ALC/ZFM)</t>
  </si>
  <si>
    <t>Informar nas operações beneficiadas com alíquota zero da CBS em Área de Livre Comércio / Zona Franca de Manaus. Exige a Inscrição SUFRAMA do emitente (ISUFEmit).</t>
  </si>
  <si>
    <t>If14</t>
  </si>
  <si>
    <t>pAliqEfetRegCBS</t>
  </si>
  <si>
    <t>Alíquota efetiva da CBS que seria aplicada na tributação regular</t>
  </si>
  <si>
    <t>Alíquota que seria aplicada caso a operação não fosse beneficiada pela alíquota zero em ALC/ZFM.</t>
  </si>
  <si>
    <t>If15</t>
  </si>
  <si>
    <t>vTribRegCBS</t>
  </si>
  <si>
    <t>Valor da CBS que seria devido na tributação regular</t>
  </si>
  <si>
    <t>Calculado como vBC x (pAliqEfetRegCBS / 100).</t>
  </si>
  <si>
    <t>Ig – Grupo de informações da Tributação Regular</t>
  </si>
  <si>
    <t>Ig01</t>
  </si>
  <si>
    <t xml:space="preserve">gTribRegular </t>
  </si>
  <si>
    <t>Grupo de informações da Tributação Regular</t>
  </si>
  <si>
    <t>Grupo de informações da Tributação Regular.
Informar como seria a tributação caso não cumprida
a condição resolutória/suspensiva. Exemplo 1: Art.
442, §4. Operações com ZFM e ALC. Exemplo 2:
Operações com suspensão do tributo..</t>
  </si>
  <si>
    <t>Ig02</t>
  </si>
  <si>
    <t>CSTReg</t>
  </si>
  <si>
    <t xml:space="preserve">Código da Situação Tributária </t>
  </si>
  <si>
    <t>Informado como seria o CST caso não cumprida a
condição resolutória/suspensiva</t>
  </si>
  <si>
    <t>Ig03</t>
  </si>
  <si>
    <t>cClassTribReg</t>
  </si>
  <si>
    <t xml:space="preserve">Código de Classificação Tributária </t>
  </si>
  <si>
    <t>Informado como seria o cClassTrib caso não
cumprida a condição resolutória/suspensiva</t>
  </si>
  <si>
    <t>Ig04</t>
  </si>
  <si>
    <t>pAliqEfetRegIBSUF</t>
  </si>
  <si>
    <t>Aliquota efetiva da UF</t>
  </si>
  <si>
    <t>Aliquota efetiva da UF
Informado a aliquota caso não cumprida a condição
resolutória/suspensiva</t>
  </si>
  <si>
    <t>vTribRegIBSUF</t>
  </si>
  <si>
    <t>Informado como seria o valor do Tributo da UF caso
não cumprida a condição resolutória/suspensiva</t>
  </si>
  <si>
    <t>Ig06</t>
  </si>
  <si>
    <t>pAliqEfetRegIBSMun</t>
  </si>
  <si>
    <t xml:space="preserve">Aliquota efetiva do Município </t>
  </si>
  <si>
    <t>Aliquota efetiva do Município
Informado a aliquota caso não cumprida a condição
resolutória/suspensiva</t>
  </si>
  <si>
    <t>Ig07</t>
  </si>
  <si>
    <t>vTribRegIBSMun</t>
  </si>
  <si>
    <t>Informado como seria o valor do Tributo do
Município caso não cumprida a condição
resolutória/suspensiva</t>
  </si>
  <si>
    <t>Ig08</t>
  </si>
  <si>
    <t>Aliquota efetiva da CBS</t>
  </si>
  <si>
    <t>Aliquota efetiva da CBS
Informado a aliquota caso não cumprida a condição
resolutória/suspensiva</t>
  </si>
  <si>
    <t>Ig09</t>
  </si>
  <si>
    <t>Informado como seria o valor do Tributo CBS caso
não cumprida a condição resolutória/suspensiva</t>
  </si>
  <si>
    <t>Ih– Grupo de tributação das compras governamentais</t>
  </si>
  <si>
    <t>Ih01</t>
  </si>
  <si>
    <t>gTribCompraGov</t>
  </si>
  <si>
    <t xml:space="preserve">Grupo de informações da composição do valor do
IBS e da CBS em compras governamental </t>
  </si>
  <si>
    <t>Ih02</t>
  </si>
  <si>
    <t>pAliqIBSUF</t>
  </si>
  <si>
    <t xml:space="preserve">Alíquota IBS da UF utilizada </t>
  </si>
  <si>
    <t>Ih03</t>
  </si>
  <si>
    <t>vTribIBSUF</t>
  </si>
  <si>
    <t xml:space="preserve">Valor do Tributo do IBS da UF </t>
  </si>
  <si>
    <t xml:space="preserve">Valor do Tributo do IBS da UF
Valor que seria devido a UF, sem aplicação do Art.
473. da LC 214/20025 </t>
  </si>
  <si>
    <t>Ih04</t>
  </si>
  <si>
    <t>pAliqIBSMun</t>
  </si>
  <si>
    <t xml:space="preserve">Alíquota IBS do Município utilizada </t>
  </si>
  <si>
    <t>Ih05</t>
  </si>
  <si>
    <t>vTribIBSMun</t>
  </si>
  <si>
    <t xml:space="preserve">Valor do Tributo do Município da UF </t>
  </si>
  <si>
    <t>Valor do Tributo do Município da UF
Valor que seria devido ao Município, sem aplicação
do Art. 473. da LC 214/20025</t>
  </si>
  <si>
    <t>Ih06</t>
  </si>
  <si>
    <t>pAliqCBS</t>
  </si>
  <si>
    <t xml:space="preserve">Alíquota IBS do CBS utilizada </t>
  </si>
  <si>
    <t>Ih07</t>
  </si>
  <si>
    <t>vTribCBS</t>
  </si>
  <si>
    <t xml:space="preserve">Valor do Tributo da CBS </t>
  </si>
  <si>
    <t xml:space="preserve">Valor do Tributo da CBS
Valor que seria devido a CBS, sem aplicação do Art.
473. da LC 214/20025 </t>
  </si>
  <si>
    <t>Ii– Grupo de informações de estorno de crédito</t>
  </si>
  <si>
    <t>Ii01</t>
  </si>
  <si>
    <t>gEstornoCred</t>
  </si>
  <si>
    <t>Grupo de informações de estorno de crédito</t>
  </si>
  <si>
    <t xml:space="preserve">Grupo de informações de estorno de crédito. Informado conforme indicador no cClassTrib </t>
  </si>
  <si>
    <t>Ii02</t>
  </si>
  <si>
    <t>vIBSEstCred</t>
  </si>
  <si>
    <t xml:space="preserve">Valor do IBS a ser estornado </t>
  </si>
  <si>
    <t>Ii03</t>
  </si>
  <si>
    <t>vCBSEstCred</t>
  </si>
  <si>
    <t xml:space="preserve">Valor do CBS a ser estornado </t>
  </si>
  <si>
    <t>J – Vinculação de pagamento do DF-e</t>
  </si>
  <si>
    <t>J01</t>
  </si>
  <si>
    <t>gPgtoVinc</t>
  </si>
  <si>
    <t>TAG de grupo de Informações do pagamento do DF-e</t>
  </si>
  <si>
    <t>J02</t>
  </si>
  <si>
    <t>pgtoItem</t>
  </si>
  <si>
    <t>N01</t>
  </si>
  <si>
    <t>J03</t>
  </si>
  <si>
    <t>nPag</t>
  </si>
  <si>
    <t>Número do pagamento</t>
  </si>
  <si>
    <t>N(3)</t>
  </si>
  <si>
    <t>Numerador único de cada ocorrência de pagamento.</t>
  </si>
  <si>
    <t>J04</t>
  </si>
  <si>
    <t>idTransacao</t>
  </si>
  <si>
    <t>Identificador da transação financeira</t>
  </si>
  <si>
    <t>C(35)</t>
  </si>
  <si>
    <t xml:space="preserve">Identificador específico da transação financeira, de acordo com a transação de pagamento.
</t>
  </si>
  <si>
    <t>J05</t>
  </si>
  <si>
    <t>tpMeioPgto</t>
  </si>
  <si>
    <t>Código do meio de pagamento utilizado</t>
  </si>
  <si>
    <t>Informar:
15 – Boleto
17 – PIX QRCode Dinâmico
18 – TED
20 – PIX Chave ou QRCode estático
23 – PIX Automático
24 – TEF/booktransfer</t>
  </si>
  <si>
    <t>J06</t>
  </si>
  <si>
    <t>CNPJReceb</t>
  </si>
  <si>
    <t>Identificador do CSRT usado para geração do hash</t>
  </si>
  <si>
    <t>CNPJ completo do recebedor do pagamento (fornecedor, plataforma, ou outra entidade que
receba o pagamento do adquirente). Observação: indicar o CNPJ responsável por receber dinheiro do adquirente na transação de pagamento. É possível que o CNPJ do recebedor
seja diferente do CNPJ do fornecedor constante no documento fiscal.</t>
  </si>
  <si>
    <t>J07</t>
  </si>
  <si>
    <t>CNPJBasePSP</t>
  </si>
  <si>
    <t>Hash do token do código de segurança do responsável técnico</t>
  </si>
  <si>
    <t xml:space="preserve">CNPJ base da instituição financeira ou de pagamento utilizada pelo recebedor do pagamento
(fornecedor, plataforma, ou outra entidade que receba o pagamento do adquirente).
</t>
  </si>
  <si>
    <t>L - Informações do CT-e Normal e Substituto</t>
  </si>
  <si>
    <t>L01</t>
  </si>
  <si>
    <t>infCTeNorm</t>
  </si>
  <si>
    <t>TAG de grupo de informações do CT-e Normal e Substituto</t>
  </si>
  <si>
    <t>CG</t>
  </si>
  <si>
    <t>L02</t>
  </si>
  <si>
    <t>infCarga</t>
  </si>
  <si>
    <t>Informações da Carga do CT-e</t>
  </si>
  <si>
    <t>L03</t>
  </si>
  <si>
    <t>vMerc</t>
  </si>
  <si>
    <t>Valor total da Mercadoria</t>
  </si>
  <si>
    <t>15 posições, sendo 13 inteiras e 2 decimais.
Deve ser informado para todos os modais, com exceção para o Dutoviário.</t>
  </si>
  <si>
    <t>L04</t>
  </si>
  <si>
    <t>proPred</t>
  </si>
  <si>
    <t>Produto predominante</t>
  </si>
  <si>
    <t>Informar a descrição do produto predominante</t>
  </si>
  <si>
    <t>L05</t>
  </si>
  <si>
    <t>xOutCat</t>
  </si>
  <si>
    <t>Outras características da carga</t>
  </si>
  <si>
    <t>"FRIA", "GRANEL", "REFRIGERADA", "Medidas: 12X12X12"</t>
  </si>
  <si>
    <t>L06</t>
  </si>
  <si>
    <t>vCargaAverb</t>
  </si>
  <si>
    <t>Valor da Carga para efeito de averbação</t>
  </si>
  <si>
    <t>15 posições, sendo 13 inteiras e 2 decimais. Normalmente igual ao valor declarado da mercadoria, diferente por exemplo, quando a mercadoria transportada é isenta de tributos nacionais para exportação, onde é preciso averbar um valor maior, pois no caso de indenização o valor a ser pago será maior.</t>
  </si>
  <si>
    <t>La - Informações de quantidades da Carga do CT-e</t>
  </si>
  <si>
    <t>La01</t>
  </si>
  <si>
    <t>infQ</t>
  </si>
  <si>
    <t>TAG de grupo de informações de quantidades da Carga do CT-e</t>
  </si>
  <si>
    <t>Para o Aéreo é obrigatório o preenchimento desse campo da seguinte forma.
1 - Peso Bruto, sempre em quilogramas (obrigatório);
2 - Peso Cubado; sempre em quilogramas;
3 - Quantidade de volumes, sempre em unidades (obrigatório);
4 - Cubagem, sempre em metros cúbicos (obrigatório apenas quando for impossível preencher as dimensões da(s) embalagem(ens) na xDime do leiaute do Aéreo).</t>
  </si>
  <si>
    <t>La02</t>
  </si>
  <si>
    <t>infQItem</t>
  </si>
  <si>
    <t>La03</t>
  </si>
  <si>
    <t>cUnid</t>
  </si>
  <si>
    <t>Código da Unidade de Medida</t>
  </si>
  <si>
    <t>Preencher com:
00 - M3;
01 - KG;
02 - TON;
03 - UNIDADE;
04 - LITROS;
05 - MMBTU</t>
  </si>
  <si>
    <t>La04</t>
  </si>
  <si>
    <t>tpMed</t>
  </si>
  <si>
    <t>Tipo da Medida</t>
  </si>
  <si>
    <t>Exemplos:
PESO BRUTO, PESO DECLARADO, PESO CUBADO, PESO AFORADO, PESO AFERIDO, PESO BASE DE CÁLCULO, LITRAGEM, CAIXAS, etc</t>
  </si>
  <si>
    <t>La05</t>
  </si>
  <si>
    <t>qCarga</t>
  </si>
  <si>
    <t>Quantidade</t>
  </si>
  <si>
    <t>N (16.4)</t>
  </si>
  <si>
    <t>15 posições, sendo 11 inteiras e 4 decimais</t>
  </si>
  <si>
    <t>LB – Informações dos documentos transportados pelo CT-e</t>
  </si>
  <si>
    <t>LB01</t>
  </si>
  <si>
    <t>infDoc</t>
  </si>
  <si>
    <t>TAG de grupo de informações dos documentos transportados pelo CT-e</t>
  </si>
  <si>
    <t>LB02</t>
  </si>
  <si>
    <t>infDocItem</t>
  </si>
  <si>
    <t>LB03</t>
  </si>
  <si>
    <t>tipoDocumento</t>
  </si>
  <si>
    <t>Tipo do Documento Transportado</t>
  </si>
  <si>
    <t>Preencher com:
1 - NF;
2 - NF-e;
3 - Outros</t>
  </si>
  <si>
    <t>LB04</t>
  </si>
  <si>
    <t>nRoma_nf</t>
  </si>
  <si>
    <t>Número do Romaneio da NF</t>
  </si>
  <si>
    <t>LB05</t>
  </si>
  <si>
    <t>nPed_nf</t>
  </si>
  <si>
    <t>Número do Pedido da NF</t>
  </si>
  <si>
    <t>LB06</t>
  </si>
  <si>
    <t>mod_nf</t>
  </si>
  <si>
    <t>Modelo da Nota Fiscal</t>
  </si>
  <si>
    <t>Preencher com:
01 - NF Modelo 01/1A e Avulsa;
04 - NF de Produtor</t>
  </si>
  <si>
    <t>LB07</t>
  </si>
  <si>
    <t>serie_nf</t>
  </si>
  <si>
    <t>Série</t>
  </si>
  <si>
    <t>LB08</t>
  </si>
  <si>
    <t>nDoc_nf</t>
  </si>
  <si>
    <t>LB09</t>
  </si>
  <si>
    <t>dEmi_nf</t>
  </si>
  <si>
    <t>Data de Emissão</t>
  </si>
  <si>
    <t>LB10</t>
  </si>
  <si>
    <t>vBC_nf</t>
  </si>
  <si>
    <t>LB11</t>
  </si>
  <si>
    <t>vICMS_nf</t>
  </si>
  <si>
    <t>Valor Total do ICMS</t>
  </si>
  <si>
    <t>LB12</t>
  </si>
  <si>
    <t>vBCST_nf</t>
  </si>
  <si>
    <t>Valor da Base de Cálculo do ICMS ST</t>
  </si>
  <si>
    <t>LB13</t>
  </si>
  <si>
    <t>vST_nf</t>
  </si>
  <si>
    <t>Valor Total do ICMS ST</t>
  </si>
  <si>
    <t>LB14</t>
  </si>
  <si>
    <t>vProd_nf</t>
  </si>
  <si>
    <t>Valor Total dos Produtos</t>
  </si>
  <si>
    <t>LB15</t>
  </si>
  <si>
    <t>vNF_nf</t>
  </si>
  <si>
    <t>Valor Total da NF</t>
  </si>
  <si>
    <t>LB16</t>
  </si>
  <si>
    <t>CFOP_nf</t>
  </si>
  <si>
    <t>CFOP Predominante</t>
  </si>
  <si>
    <t>CFOP da NF ou, na existência de mais de um, predominância pelo critério de valor econômico</t>
  </si>
  <si>
    <t>LB17</t>
  </si>
  <si>
    <t>peso_nf</t>
  </si>
  <si>
    <t>Peso total em Kg</t>
  </si>
  <si>
    <t>LB18</t>
  </si>
  <si>
    <t>PINSuframa_nf</t>
  </si>
  <si>
    <t>PIN SUFRAMA</t>
  </si>
  <si>
    <t>V (2-9)</t>
  </si>
  <si>
    <t>PIN atribuído pela SUFRAMA para a operação</t>
  </si>
  <si>
    <t>LB19</t>
  </si>
  <si>
    <t>dPrev_nf</t>
  </si>
  <si>
    <t>Data prevista de entrega</t>
  </si>
  <si>
    <t>LB20</t>
  </si>
  <si>
    <t>chave_nfe</t>
  </si>
  <si>
    <t>Chave de acesso da NF-e</t>
  </si>
  <si>
    <t>LB21</t>
  </si>
  <si>
    <t>PINSuframa_nfe</t>
  </si>
  <si>
    <t>LB22</t>
  </si>
  <si>
    <t>dPrev_nfe</t>
  </si>
  <si>
    <t>LB23</t>
  </si>
  <si>
    <t>tpDoc_outros</t>
  </si>
  <si>
    <t>Tipo de documento originário</t>
  </si>
  <si>
    <t>Preencher com:
00 - Declaração;
10 - Dutoviário;
99 - Outros</t>
  </si>
  <si>
    <t>LB24</t>
  </si>
  <si>
    <t>desc_outros</t>
  </si>
  <si>
    <t>Descrição quando se tratar de 99-Outros</t>
  </si>
  <si>
    <t>V (1-100)</t>
  </si>
  <si>
    <t>LB25</t>
  </si>
  <si>
    <t>nDoc_outros</t>
  </si>
  <si>
    <t>LB26</t>
  </si>
  <si>
    <t>dEmi_outros</t>
  </si>
  <si>
    <t>LB27</t>
  </si>
  <si>
    <t>vDocFisc_outros</t>
  </si>
  <si>
    <t>Valor do documento</t>
  </si>
  <si>
    <t>LB28</t>
  </si>
  <si>
    <t>dPrev_outros</t>
  </si>
  <si>
    <t>Lba - Informações das Unidades de Transporte</t>
  </si>
  <si>
    <t>LBa01</t>
  </si>
  <si>
    <t>UnidadesTransp</t>
  </si>
  <si>
    <t>TAG de grupo de informações das Unidades de Transporte (Carreta/Reboque/Vagão)</t>
  </si>
  <si>
    <t>Deve ser preenchido com as informações das unidades de transporte utilizadas</t>
  </si>
  <si>
    <t>LBa02</t>
  </si>
  <si>
    <t>UnidadesTranspItem</t>
  </si>
  <si>
    <t>N (15.2)</t>
  </si>
  <si>
    <t>LBa03</t>
  </si>
  <si>
    <t>tipoUnidTransporte</t>
  </si>
  <si>
    <t>Tipo da Unidade de Transporte</t>
  </si>
  <si>
    <t>Preencher com:
1 - Rodoviário Tração;
2 - Rodoviário Reboque;
3 - Navio;
4 - Balsa;
5 - Aeronave;
6 - Vagão;
7 - Outros</t>
  </si>
  <si>
    <t>LBa04</t>
  </si>
  <si>
    <t>idUnidTransporte</t>
  </si>
  <si>
    <t>Identificação da Unidade de Transporte</t>
  </si>
  <si>
    <t>Informar a identificação conforme o tipo de unidade de transporte. Por exemplo: para rodoviário tração ou reboque deverá preencher com a placa do veículo</t>
  </si>
  <si>
    <t>LBa05</t>
  </si>
  <si>
    <t>qtdRateada</t>
  </si>
  <si>
    <t>Quantidade rateada (Peso, Volume)</t>
  </si>
  <si>
    <t>N (3.2)</t>
  </si>
  <si>
    <t>Lbb - Lacres das Unidades de Transporte</t>
  </si>
  <si>
    <t>LBb01</t>
  </si>
  <si>
    <t>LacresUnidTransp</t>
  </si>
  <si>
    <t>TAG de grupo de Lacres das Unidades de Transporte</t>
  </si>
  <si>
    <t>LBb02</t>
  </si>
  <si>
    <t>LacresUnidTranspItem</t>
  </si>
  <si>
    <t>LBb03</t>
  </si>
  <si>
    <t>nLacreUnidTransp</t>
  </si>
  <si>
    <t>Número do lacre</t>
  </si>
  <si>
    <t xml:space="preserve">Lbc – Unidades de Carga de Transporte </t>
  </si>
  <si>
    <t>LBc01</t>
  </si>
  <si>
    <t>UnidadesCargaTran</t>
  </si>
  <si>
    <t>TAG de grupo de informações das Unidades de Carga de Transporte (Containeres/ULD/Outros)</t>
  </si>
  <si>
    <t>Dispositivo de carga utilizada (Unit Load Device - ULD) significa todo tipo contêiner de carga, vagão, contêiner de avião, palete de aeronave com rede ou palete de aeronave com rede sobre um iglu</t>
  </si>
  <si>
    <t>LBc02</t>
  </si>
  <si>
    <t>UnidadesCargaTranItem</t>
  </si>
  <si>
    <t>LBc03</t>
  </si>
  <si>
    <t>tipoUnidCargaTran</t>
  </si>
  <si>
    <t>Tipo da Unidade de Carga de Transporte</t>
  </si>
  <si>
    <t>Preencher com:
1 - Container
2 - ULD
3 - Pallet
4 - Outros</t>
  </si>
  <si>
    <t>LBc04</t>
  </si>
  <si>
    <t>idUnidCargaTran</t>
  </si>
  <si>
    <t>Identificação da Unidade de Carga de Transporte</t>
  </si>
  <si>
    <t>Informar a identificação da unidade de carga de transporte, por exemplo: número do container</t>
  </si>
  <si>
    <t>LBc05</t>
  </si>
  <si>
    <t>qtdRateadaCargaTran</t>
  </si>
  <si>
    <t>Lbd – Lacres das Unidades de Carga de Transporte</t>
  </si>
  <si>
    <t>LBd01</t>
  </si>
  <si>
    <t>LacresUnidCargaTran</t>
  </si>
  <si>
    <t>TAG de grupo de Lacres das Unidades de Carga de Transporte</t>
  </si>
  <si>
    <t>LBd02</t>
  </si>
  <si>
    <t>LacresUnidCargaTranItem</t>
  </si>
  <si>
    <t>LBd03</t>
  </si>
  <si>
    <t>nLacreUnidCargaTran</t>
  </si>
  <si>
    <t>Lbe – COFINSST</t>
  </si>
  <si>
    <t>LBe01</t>
  </si>
  <si>
    <t>UnidadesCarga</t>
  </si>
  <si>
    <t>TAG de grupo de informações das Unidades de Carga (Containeres/ULD/Outros)</t>
  </si>
  <si>
    <t>LBe02</t>
  </si>
  <si>
    <t>UnidadesCargaItem</t>
  </si>
  <si>
    <t>LBe03</t>
  </si>
  <si>
    <t>tipoUnidCarga</t>
  </si>
  <si>
    <t>Tipo da Unidade de Carga</t>
  </si>
  <si>
    <t>LBe04</t>
  </si>
  <si>
    <t>idUnidCarga</t>
  </si>
  <si>
    <t>Identificação da Unidade de Carga</t>
  </si>
  <si>
    <t>Informar a identificação da unidade de carga, por exemplo: número do container</t>
  </si>
  <si>
    <t>LBe05</t>
  </si>
  <si>
    <t>qtdRateadaCarga</t>
  </si>
  <si>
    <t>Lbf – Lacres das Unidades de Carga</t>
  </si>
  <si>
    <t>LBf01</t>
  </si>
  <si>
    <t>LacresUnidCarga</t>
  </si>
  <si>
    <t>TAG de grupo das informações de Lacres das Unidades de Carga</t>
  </si>
  <si>
    <t>LBf02</t>
  </si>
  <si>
    <t>LacresUnidCargaItem</t>
  </si>
  <si>
    <t>LBf03</t>
  </si>
  <si>
    <t>nLacreUnidCarga</t>
  </si>
  <si>
    <t>LC – Documentos de Transporte Anterior</t>
  </si>
  <si>
    <t>LC01</t>
  </si>
  <si>
    <t>docAnt</t>
  </si>
  <si>
    <t>TAG de grupo de informações dos Documentos de Transporte Anterior</t>
  </si>
  <si>
    <t>LC02</t>
  </si>
  <si>
    <t>docAntItem</t>
  </si>
  <si>
    <t>LC03</t>
  </si>
  <si>
    <t>xNome_docAnt</t>
  </si>
  <si>
    <t>Razão Social ou Nome do expedidor</t>
  </si>
  <si>
    <t>JC04</t>
  </si>
  <si>
    <t>UF_docAnt</t>
  </si>
  <si>
    <t>LC05</t>
  </si>
  <si>
    <t>IE_docAnt</t>
  </si>
  <si>
    <t>V (2-14)</t>
  </si>
  <si>
    <t>LC06</t>
  </si>
  <si>
    <t>CPF_docAnt</t>
  </si>
  <si>
    <t>LC07</t>
  </si>
  <si>
    <t>CNPJ_docAnt</t>
  </si>
  <si>
    <t>Em caso de empresa não estabelecida no Brasil, será informado o CNPJ com zeros. Informar os zeros não significativos</t>
  </si>
  <si>
    <t>Lca - Informações de identificação dos documentos de Transporte Anterior</t>
  </si>
  <si>
    <t>LCa01</t>
  </si>
  <si>
    <t>idDocAnt</t>
  </si>
  <si>
    <t>TAG de grupo de identificação dos documentos de Transporte Anterior</t>
  </si>
  <si>
    <t>1-2</t>
  </si>
  <si>
    <t>LCa02</t>
  </si>
  <si>
    <t>idDocAntItem</t>
  </si>
  <si>
    <t>LCa03</t>
  </si>
  <si>
    <t>idDocAntPap</t>
  </si>
  <si>
    <t>TAG de grupo de Documentos de Transporte Anterior em papel</t>
  </si>
  <si>
    <t>LCa04</t>
  </si>
  <si>
    <t>papItem</t>
  </si>
  <si>
    <t>LCa05</t>
  </si>
  <si>
    <t>tpDoc_docAnt</t>
  </si>
  <si>
    <t>Tipo do Documento de Transporte Anterior</t>
  </si>
  <si>
    <t>Preencher com:
07 - ATRE;
08 - DTA (Despacho de Trânsito Aduaneiro);
09 - Conhecimento Aéreo Internacional;
10 - Conhecimento - Carta de Porte Internacional;
11 - Conhecimento Avulso;
12 - TIF - (Transporte Internacional Ferroviário);
13 - BL - (Bill of Lading).</t>
  </si>
  <si>
    <t>LCa06</t>
  </si>
  <si>
    <t>serie_docAnt</t>
  </si>
  <si>
    <t>Série do Documento Fiscal</t>
  </si>
  <si>
    <t>LCa07</t>
  </si>
  <si>
    <t>subser_docAnt</t>
  </si>
  <si>
    <t>V (1-2)</t>
  </si>
  <si>
    <t>LCa08</t>
  </si>
  <si>
    <t>nDoc_docAnt</t>
  </si>
  <si>
    <t>Número do Documento Fiscal</t>
  </si>
  <si>
    <t>LCa09</t>
  </si>
  <si>
    <t>dEmi_docAnt</t>
  </si>
  <si>
    <t>Data de emissão</t>
  </si>
  <si>
    <t>Lcb – Documentos de Transporte Anterior Eletrônicos</t>
  </si>
  <si>
    <t>LCb01</t>
  </si>
  <si>
    <t>idDocAntEle</t>
  </si>
  <si>
    <t>TAG de grupo de Documentos de Transporte Anterior Eletrônicos</t>
  </si>
  <si>
    <t>LCb02</t>
  </si>
  <si>
    <t>eleItem</t>
  </si>
  <si>
    <t>LCb03</t>
  </si>
  <si>
    <t>chave_docAnt</t>
  </si>
  <si>
    <t>Chave de Acesso do CT-e</t>
  </si>
  <si>
    <t>LD – Informações do Seguro da Carga</t>
  </si>
  <si>
    <t>LD01</t>
  </si>
  <si>
    <t>seg</t>
  </si>
  <si>
    <t>TAG de grupo de informações do Seguro da Carga</t>
  </si>
  <si>
    <t>LD02</t>
  </si>
  <si>
    <t>segItem</t>
  </si>
  <si>
    <t>LD03</t>
  </si>
  <si>
    <t>respSeg</t>
  </si>
  <si>
    <t>Responsável pelo seguro</t>
  </si>
  <si>
    <t>Prencher com:
0 - Remetente
1 – Expedidor
2 - Recebedor
3 - Destinatário
4 - Emitente do CT-e
5 - Tomador do Serviço
6 - Outros</t>
  </si>
  <si>
    <t>LD04</t>
  </si>
  <si>
    <t>xSeg</t>
  </si>
  <si>
    <t>Nome da Seguradora</t>
  </si>
  <si>
    <t>V (1-50)</t>
  </si>
  <si>
    <t>LD05</t>
  </si>
  <si>
    <t>nApol</t>
  </si>
  <si>
    <t>Número da Apólice</t>
  </si>
  <si>
    <t>C (1-20)</t>
  </si>
  <si>
    <t>LD06</t>
  </si>
  <si>
    <t>nAver</t>
  </si>
  <si>
    <t>Número da Averbação</t>
  </si>
  <si>
    <t>LD07</t>
  </si>
  <si>
    <t>vCarga_seg</t>
  </si>
  <si>
    <t>Valor da Carga Segurada</t>
  </si>
  <si>
    <t>Deve ser idêntico ao valor da carga/mercadoria informado
em outros pontos do CTe, evitando divergências.</t>
  </si>
  <si>
    <t>LE – Informações do Modal</t>
  </si>
  <si>
    <t>LE01</t>
  </si>
  <si>
    <t>infModal</t>
  </si>
  <si>
    <t>TAG de grupo de informações do Modal</t>
  </si>
  <si>
    <t>LE02</t>
  </si>
  <si>
    <t>versaoModal</t>
  </si>
  <si>
    <t>Versão do leiaute específico para o Modal</t>
  </si>
  <si>
    <t>A</t>
  </si>
  <si>
    <t>JE01</t>
  </si>
  <si>
    <t>Informar 4.0</t>
  </si>
  <si>
    <t>LF – Informações do modal Rodoviário</t>
  </si>
  <si>
    <t>rodo</t>
  </si>
  <si>
    <t>TAG de grupo de informações do modal Rodoviário</t>
  </si>
  <si>
    <t>LF02</t>
  </si>
  <si>
    <t>RNTRC</t>
  </si>
  <si>
    <t>Registro Nacional de Transportadores Rodoviários de Carga</t>
  </si>
  <si>
    <t>LF01</t>
  </si>
  <si>
    <t>Registro obrigatório do emitente do CT-e junto à ANTT para exercer a atividade de transportador rodoviário de cargas por conta de terceiros e mediante remuneração</t>
  </si>
  <si>
    <t>Lfa – Dados das Ordens de Coleta Associados</t>
  </si>
  <si>
    <t>occ</t>
  </si>
  <si>
    <t>TAG de grupo de Ordens de Coleta Associados</t>
  </si>
  <si>
    <t>LFa02</t>
  </si>
  <si>
    <t>occItem</t>
  </si>
  <si>
    <t>LFa01</t>
  </si>
  <si>
    <t>LFa03</t>
  </si>
  <si>
    <t>serie_occ</t>
  </si>
  <si>
    <t>Série da OCC</t>
  </si>
  <si>
    <t>LFa04</t>
  </si>
  <si>
    <t>nOcc</t>
  </si>
  <si>
    <t>Número da Ordem de coleta</t>
  </si>
  <si>
    <t>V (1-6)</t>
  </si>
  <si>
    <t>LFa05</t>
  </si>
  <si>
    <t>dEmi_occ</t>
  </si>
  <si>
    <t>Data de emissão da ordem de coleta</t>
  </si>
  <si>
    <t>Lfb – Dados do Emitente das Ordens de Coleta Associados</t>
  </si>
  <si>
    <t>LFb01</t>
  </si>
  <si>
    <t>emiOcc</t>
  </si>
  <si>
    <t>Dados do Emitente da OCC</t>
  </si>
  <si>
    <t>3.11.0.0</t>
  </si>
  <si>
    <t>LFb02</t>
  </si>
  <si>
    <t>CNPJ_occ</t>
  </si>
  <si>
    <t>LFb03</t>
  </si>
  <si>
    <t>cInt_occ</t>
  </si>
  <si>
    <t>Código interno de uso da transportadora</t>
  </si>
  <si>
    <t>Uso interno das transportadoras</t>
  </si>
  <si>
    <t>LFb04</t>
  </si>
  <si>
    <t>IE_occ</t>
  </si>
  <si>
    <t>LFb05</t>
  </si>
  <si>
    <t>UF_occ</t>
  </si>
  <si>
    <t>LFb06</t>
  </si>
  <si>
    <t>fone_occ</t>
  </si>
  <si>
    <t>LG – Informações do modal Aéreo</t>
  </si>
  <si>
    <t>LG01</t>
  </si>
  <si>
    <t>aereo</t>
  </si>
  <si>
    <t>TAG de grupo de informações do modal Aéreo</t>
  </si>
  <si>
    <t>LG02</t>
  </si>
  <si>
    <t>nMinu</t>
  </si>
  <si>
    <t>Número da Minuta</t>
  </si>
  <si>
    <t>Documento que precede o CT-e, assinado pelo expedidor, espécie de pedido de serviço</t>
  </si>
  <si>
    <t>LG03</t>
  </si>
  <si>
    <t>nOCA</t>
  </si>
  <si>
    <t>Número Operacional do Conhecimento Aéreo</t>
  </si>
  <si>
    <t>N (11)</t>
  </si>
  <si>
    <t>Os três primeiros dígitos representam um código que os operadores de transporte aéreo associados à IATA possuem. Em seguida um número de série de sete dígitos determinados pelo operador de transporte aéreo. Para finalizar, um dígito verificador</t>
  </si>
  <si>
    <t>LG04</t>
  </si>
  <si>
    <t>dPrev_aer</t>
  </si>
  <si>
    <t>Data prevista da entrega</t>
  </si>
  <si>
    <t>Lga – Informações de Tarifa</t>
  </si>
  <si>
    <t>LGa01</t>
  </si>
  <si>
    <t>tarifa</t>
  </si>
  <si>
    <t>TAG de grupo de informações de Tarifa</t>
  </si>
  <si>
    <t>LGa02</t>
  </si>
  <si>
    <t>CL</t>
  </si>
  <si>
    <t>Classe</t>
  </si>
  <si>
    <t>Preencher com:
M - Tarifa Mínima;
G - Tarifa Geral;
E - Tarifa Específica</t>
  </si>
  <si>
    <t>LGa03</t>
  </si>
  <si>
    <t>cTar</t>
  </si>
  <si>
    <t>Código da Tarifa</t>
  </si>
  <si>
    <t>V (1-4)</t>
  </si>
  <si>
    <t>Deverão ser incluídos os códigos de três digítos, correspondentes à tarifa</t>
  </si>
  <si>
    <t>LGa04</t>
  </si>
  <si>
    <t>vTar</t>
  </si>
  <si>
    <t>Valor da Tarifa</t>
  </si>
  <si>
    <t>Valor da tarifa por kg quando for o caso</t>
  </si>
  <si>
    <t>Lgb – Informações de Natureza da Carga</t>
  </si>
  <si>
    <t>LGb01</t>
  </si>
  <si>
    <t>NatCarga</t>
  </si>
  <si>
    <t>TAG de grupo de informações de Natureza da Carga</t>
  </si>
  <si>
    <t>JGb02</t>
  </si>
  <si>
    <t>xDime</t>
  </si>
  <si>
    <t>Dimensão</t>
  </si>
  <si>
    <t>V (5-14)</t>
  </si>
  <si>
    <t>Formato: 1234X1234X1234 (cm)
Esse campo deve sempre que possível ser preenchido. Entretanto, quando for impossível o preenchimento das dimensões, fica obrigatório o preenchimento da cubagem em metro cúbico do laiaute do CT-e da estrutura genérica (infQ)</t>
  </si>
  <si>
    <t>Lgc – Informações de Manuseio</t>
  </si>
  <si>
    <t>LGc01</t>
  </si>
  <si>
    <t>InfManu</t>
  </si>
  <si>
    <t>TAG de grupo de informações de Manuseio</t>
  </si>
  <si>
    <t>LGc02</t>
  </si>
  <si>
    <t>InfManuItem</t>
  </si>
  <si>
    <t>LGc03</t>
  </si>
  <si>
    <t>cinfManu</t>
  </si>
  <si>
    <t>Informações de Manuseio</t>
  </si>
  <si>
    <t>Preencher com:
01 - certificado do expedidor para embarque de animal vivo;
02 - artigo perigoso conforme Declaração do Expedidor anexa;
03 - somente em aeronave cargueira;
04 - artigo perigoso - declaração do expedidor não requerida;
05 - artigo perigoso em quantidade isenta;
06 - gelo seco para refrigeração (especificar no campo observações a quantidade);
07 - não restrito (especificar a Disposição Especial no campo observações);
08 - artigo perigoso em carga consolidada (especificar a quantidade no campo observações);
09 - autorização da autoridade governamental anexa (especificar no campo observações);
99 - outro (especificar no campo observações)</t>
  </si>
  <si>
    <t>Lgd – Informações de Transporte de produtos perigosos</t>
  </si>
  <si>
    <t>LGd01</t>
  </si>
  <si>
    <t>periAereo</t>
  </si>
  <si>
    <t>Preenchido quando for transporte de produtos classificados pela ONU como perigosos.</t>
  </si>
  <si>
    <t>O preenchimento desses campos não desobriga a empresa aérea de emitir os demais documentos que constam na legislação vigente.</t>
  </si>
  <si>
    <t>LGd02</t>
  </si>
  <si>
    <t>periAereoItem</t>
  </si>
  <si>
    <t>LGd03</t>
  </si>
  <si>
    <t>nONUAereo</t>
  </si>
  <si>
    <t>Número ONU/UM</t>
  </si>
  <si>
    <t>V (4)</t>
  </si>
  <si>
    <t>Ver a legislação de transporte de produtos perigosos aplicadas ao modal</t>
  </si>
  <si>
    <t>LGd04</t>
  </si>
  <si>
    <t>qTotEmbAereo</t>
  </si>
  <si>
    <t>Quantidade total de volumes contendo artigos perigosos</t>
  </si>
  <si>
    <t>Preencher com o número de volumes (unidades) de artigos perigosos, ou seja, cada embalagem devidamente marcada e etiquetada (por ex.: número de caixas, de tambores, de bombonas, dentre outros). Não deve ser preenchido com o número de ULD, pallets ou containers.</t>
  </si>
  <si>
    <t>Lge – Informações das quantidades totais de artigos perigosos</t>
  </si>
  <si>
    <t>LGe01</t>
  </si>
  <si>
    <t>infTotAP</t>
  </si>
  <si>
    <t>Grupo de informações das quantidades totais de artigos perigosos</t>
  </si>
  <si>
    <t>Preencher conforme a legislação de transporte de produtos perigosos aplicada ao modal</t>
  </si>
  <si>
    <t>LGe02</t>
  </si>
  <si>
    <t>qTotProdAereo</t>
  </si>
  <si>
    <t>Quantidade total de artigos perigosos</t>
  </si>
  <si>
    <t>15 posições, sendo 11 inteiras e 4 decimais. Deve indicar a quantidade total do artigo perigoso, tendo como base a unidade referenciada na Tabela 3-1 do Doc 9284, por exemplo: litros; quilogramas; quilograma bruto etc. O preenchimento não deve, entretanto, incluir a unidade de medida. No caso de transporte de material radioativo, deve-se indicar o somatório dos Índices de Transporte (TI). Não indicar a quantidade do artigo perigoso por embalagem.</t>
  </si>
  <si>
    <t>LGe03</t>
  </si>
  <si>
    <t>uniAPAereo</t>
  </si>
  <si>
    <t>Unidade de medida</t>
  </si>
  <si>
    <t>1 – KG;
2 – KG G (quilograma bruto);
3 – LITROS;
4 – TI (índice de transporte para radioativos);
5- Unidades (apenas para artigos perigosos medidos em unidades que não se enquadram nos itens acima. Exemplo: baterias, celulares, equipamentos, veículos, dentre outros)</t>
  </si>
  <si>
    <t>LH - Informações do modal Aquaviário</t>
  </si>
  <si>
    <t>LH01</t>
  </si>
  <si>
    <t>aquav</t>
  </si>
  <si>
    <t>TAG de grupo de informações do modal Aquaviário</t>
  </si>
  <si>
    <t>LH02</t>
  </si>
  <si>
    <t>vPrestAFRMM</t>
  </si>
  <si>
    <t>Valor da Prestação Base de Cálculo do AFRMM</t>
  </si>
  <si>
    <t>LH03</t>
  </si>
  <si>
    <t>vAFRMM</t>
  </si>
  <si>
    <t>AFRMM (Adicional de Frete para Renovação da Marinha Mercante)</t>
  </si>
  <si>
    <t>LH04</t>
  </si>
  <si>
    <t>xNavio</t>
  </si>
  <si>
    <t>Identificação do Navio</t>
  </si>
  <si>
    <t>LH05</t>
  </si>
  <si>
    <t>nViag</t>
  </si>
  <si>
    <t>Número da Viagem</t>
  </si>
  <si>
    <t>LH06</t>
  </si>
  <si>
    <t>direc</t>
  </si>
  <si>
    <t>Direção</t>
  </si>
  <si>
    <t>Preencher com: N-Norte, L-Leste, S-Sul, O-Oeste</t>
  </si>
  <si>
    <t>LH07</t>
  </si>
  <si>
    <t>irin</t>
  </si>
  <si>
    <t>Irin do navio sempre deverá ser informado</t>
  </si>
  <si>
    <t>JHa – Informações de Detalhamento dos Conteineres</t>
  </si>
  <si>
    <t>JHa01</t>
  </si>
  <si>
    <t>detCont</t>
  </si>
  <si>
    <t>TAG de grupo de informações de Detalhamento dos Conteineres</t>
  </si>
  <si>
    <t>JH01</t>
  </si>
  <si>
    <t>Somente para redespacho intermediário</t>
  </si>
  <si>
    <t>JHa02</t>
  </si>
  <si>
    <t>detContItem</t>
  </si>
  <si>
    <t>JHa03</t>
  </si>
  <si>
    <t>nCont</t>
  </si>
  <si>
    <t>Identificação do conteiner</t>
  </si>
  <si>
    <t>Lhb – Informações dos Lacres dos Conteineres da carga</t>
  </si>
  <si>
    <t>LHb01</t>
  </si>
  <si>
    <t>Lacre</t>
  </si>
  <si>
    <t>TAG de grupo de informações dos Lacres dos Conteineres da carga</t>
  </si>
  <si>
    <t>LHa02</t>
  </si>
  <si>
    <t>LHb02</t>
  </si>
  <si>
    <t>LacreItem</t>
  </si>
  <si>
    <t>1-3</t>
  </si>
  <si>
    <t>LHb03</t>
  </si>
  <si>
    <t>nLacre</t>
  </si>
  <si>
    <t>Lhc – Informações dos documentos dos containers</t>
  </si>
  <si>
    <t>LHc01</t>
  </si>
  <si>
    <t>infDocAquav</t>
  </si>
  <si>
    <t>TAG de grupo de informações dos documentos dos containers</t>
  </si>
  <si>
    <t>LHc02</t>
  </si>
  <si>
    <t>infNF</t>
  </si>
  <si>
    <t>TAG de grupo de Informações das NF</t>
  </si>
  <si>
    <t>LHc03</t>
  </si>
  <si>
    <t>infNFItem</t>
  </si>
  <si>
    <t>LHc04</t>
  </si>
  <si>
    <t>serie_nfItem</t>
  </si>
  <si>
    <t>C (1-3)</t>
  </si>
  <si>
    <t>LHc05</t>
  </si>
  <si>
    <t>nDoc</t>
  </si>
  <si>
    <t>LHc06</t>
  </si>
  <si>
    <t>unidRat_nfItem</t>
  </si>
  <si>
    <t>Unidade de medida rateada (Peso, Volume)</t>
  </si>
  <si>
    <t>Lhd – Grupo de informações das NF-e</t>
  </si>
  <si>
    <t>LHd01</t>
  </si>
  <si>
    <t>infNFe</t>
  </si>
  <si>
    <t>TAG de grupo de Informações das NF-e</t>
  </si>
  <si>
    <t>LHd02</t>
  </si>
  <si>
    <t>infNFeItem</t>
  </si>
  <si>
    <t>LHd03</t>
  </si>
  <si>
    <t>chave</t>
  </si>
  <si>
    <t>LHd04</t>
  </si>
  <si>
    <t>unidRat_nfeItem</t>
  </si>
  <si>
    <t>Lhe - Grupo de informações das Balsas</t>
  </si>
  <si>
    <t>LHe01</t>
  </si>
  <si>
    <t>balsa</t>
  </si>
  <si>
    <t>TAG de grupo de Informações das Balsas</t>
  </si>
  <si>
    <t>0-3</t>
  </si>
  <si>
    <t>LHe02</t>
  </si>
  <si>
    <t>balsaItem</t>
  </si>
  <si>
    <t>LHe03</t>
  </si>
  <si>
    <t>xBalsa</t>
  </si>
  <si>
    <t>Identificador da Balsa</t>
  </si>
  <si>
    <t>LI -  Informações do modal Ferroviário</t>
  </si>
  <si>
    <t>LI01</t>
  </si>
  <si>
    <t>ferrov</t>
  </si>
  <si>
    <t>TAG de grupo de informações do modal Ferroviário</t>
  </si>
  <si>
    <t>LI02</t>
  </si>
  <si>
    <t>tpTraf</t>
  </si>
  <si>
    <t>Tipo de Tráfego</t>
  </si>
  <si>
    <t>Preencher com:
0 - Próprio;
1 - Mútuo;
2 - Rodoferroviário;
3 - Rodoviário</t>
  </si>
  <si>
    <t>LI03</t>
  </si>
  <si>
    <t>fluxo_fer</t>
  </si>
  <si>
    <t>Fluxo Ferroviário</t>
  </si>
  <si>
    <t>Trata-se de um número identificador do contrato firmado com o cliente</t>
  </si>
  <si>
    <t>Lia -  Detalhamento de Informações para o tráfego mútuo</t>
  </si>
  <si>
    <t>LIa01</t>
  </si>
  <si>
    <t>trafMut</t>
  </si>
  <si>
    <t>TAG de grupo de Detalhamento de Informações para o tráfego mútuo</t>
  </si>
  <si>
    <t>LIa02</t>
  </si>
  <si>
    <t>respFat_fer</t>
  </si>
  <si>
    <t>Responsável pelo Faturamento</t>
  </si>
  <si>
    <t>Preencher com:
1 - Ferrovia de origem;
2 - Ferrovia de destino</t>
  </si>
  <si>
    <t>LIa03</t>
  </si>
  <si>
    <t>ferrEmi_fer</t>
  </si>
  <si>
    <t>Ferrovia Emitente do CT-e</t>
  </si>
  <si>
    <t>LIa04</t>
  </si>
  <si>
    <t>vFrete_fer</t>
  </si>
  <si>
    <t>Valor do Frete do Tráfego Mútuo</t>
  </si>
  <si>
    <t>LIa05</t>
  </si>
  <si>
    <t>chCTeFerroOrigem</t>
  </si>
  <si>
    <t>Chave de acesso do CT-e emitido pela ferrovia de origem</t>
  </si>
  <si>
    <t>Lib – Informações das Ferrovias Envolvidas</t>
  </si>
  <si>
    <t>LIb01</t>
  </si>
  <si>
    <t>FerroEnv</t>
  </si>
  <si>
    <t>TAG de grupo de Informações das Ferrovias Envolvidas</t>
  </si>
  <si>
    <t>LIb02</t>
  </si>
  <si>
    <t>FerroEnvItem</t>
  </si>
  <si>
    <t>LIb03</t>
  </si>
  <si>
    <t>CNPJ_fer</t>
  </si>
  <si>
    <t>Informar o CNPJ da Ferrovia Envolvida. Caso a Ferrovia Envolvida não seja inscrita no CNPJ o campo deverá ser preenchido com zeros. Informar os zeros não significativos</t>
  </si>
  <si>
    <t>LIb04</t>
  </si>
  <si>
    <t>cInt_fer</t>
  </si>
  <si>
    <t>Código interno da Ferrovia Envolvida</t>
  </si>
  <si>
    <t>Uso da transportadora</t>
  </si>
  <si>
    <t>LIb05</t>
  </si>
  <si>
    <t>IE_fer</t>
  </si>
  <si>
    <t>LIb06</t>
  </si>
  <si>
    <t>xNome_fer</t>
  </si>
  <si>
    <t>LIb07</t>
  </si>
  <si>
    <t>xLgr_fer</t>
  </si>
  <si>
    <t>V (2-60)</t>
  </si>
  <si>
    <t>LIb08</t>
  </si>
  <si>
    <t>nro_fer</t>
  </si>
  <si>
    <t>LIb09</t>
  </si>
  <si>
    <t>xCpl_fer</t>
  </si>
  <si>
    <t>LIb10</t>
  </si>
  <si>
    <t>xBairro_fer</t>
  </si>
  <si>
    <t>LIb11</t>
  </si>
  <si>
    <t>cMun_fer</t>
  </si>
  <si>
    <t>Código do município</t>
  </si>
  <si>
    <t>LIb12</t>
  </si>
  <si>
    <t>xMun_fer</t>
  </si>
  <si>
    <t>LIb13</t>
  </si>
  <si>
    <t>CEP_fer</t>
  </si>
  <si>
    <t>LIb14</t>
  </si>
  <si>
    <t>UF_fer</t>
  </si>
  <si>
    <t>LJ -  Informações do modal Dutoviário</t>
  </si>
  <si>
    <t>LJ01</t>
  </si>
  <si>
    <t>duto</t>
  </si>
  <si>
    <t>TAG de grupo de informações do modal Dutoviário</t>
  </si>
  <si>
    <t>LJ02</t>
  </si>
  <si>
    <t>vTar_duto</t>
  </si>
  <si>
    <t>Valor da tarifa</t>
  </si>
  <si>
    <t>JJ01</t>
  </si>
  <si>
    <t>N (16.6)</t>
  </si>
  <si>
    <t>LJ03</t>
  </si>
  <si>
    <t>dIni_duto</t>
  </si>
  <si>
    <t>Data de Início da prestação do serviço</t>
  </si>
  <si>
    <t>LJ04</t>
  </si>
  <si>
    <t>dFim_duto</t>
  </si>
  <si>
    <t>Data de Fim da prestação do serviço</t>
  </si>
  <si>
    <t>LJ05</t>
  </si>
  <si>
    <t>classDuto</t>
  </si>
  <si>
    <t xml:space="preserve">Classificação Dutoviário </t>
  </si>
  <si>
    <t>Informar: 1 – Gasoduto; 2 – Mineroduto ou 3 - Oleoduto</t>
  </si>
  <si>
    <t>LJ06</t>
  </si>
  <si>
    <t>tpContratacao</t>
  </si>
  <si>
    <t xml:space="preserve">Tipo de contratação do serviço de
transporte (apenas para gasoduto) </t>
  </si>
  <si>
    <t>Informar: 0 – Ponto a ponto 1 – Capacidade de Entrada ou 2 – Capacidade de Saída</t>
  </si>
  <si>
    <t>LJ07</t>
  </si>
  <si>
    <t>codPontoEntrada</t>
  </si>
  <si>
    <t>Código do Ponto de Entrada</t>
  </si>
  <si>
    <t>C(20)</t>
  </si>
  <si>
    <t>LJ08</t>
  </si>
  <si>
    <t>codPontoSaida</t>
  </si>
  <si>
    <t>Código do Ponto de Saída</t>
  </si>
  <si>
    <t>LJ09</t>
  </si>
  <si>
    <t>nContrato</t>
  </si>
  <si>
    <t>Número do Contrato de Capacidade</t>
  </si>
  <si>
    <t>LK -  Informações do Multimodal</t>
  </si>
  <si>
    <t>LK01</t>
  </si>
  <si>
    <t>multimodal</t>
  </si>
  <si>
    <t>TAG de grupo de informações do Multimodal</t>
  </si>
  <si>
    <t>LK02</t>
  </si>
  <si>
    <t>COTM</t>
  </si>
  <si>
    <t>Número do Certificado do Operador de Transporte Multimodal</t>
  </si>
  <si>
    <t>JK01</t>
  </si>
  <si>
    <t>LK03</t>
  </si>
  <si>
    <t>indNegociavel</t>
  </si>
  <si>
    <t>Indicador negociável</t>
  </si>
  <si>
    <t>Preencher com:
0 - Não Negociável;
1 - Negociável</t>
  </si>
  <si>
    <t>Lka -  Informações de Seguro do Multimodal</t>
  </si>
  <si>
    <t>LKa01</t>
  </si>
  <si>
    <t>segMulti</t>
  </si>
  <si>
    <t>TAG de grupo de informações de Seguro do Multimodal</t>
  </si>
  <si>
    <t>LKa02</t>
  </si>
  <si>
    <t>xSegMulti</t>
  </si>
  <si>
    <t>JKa01</t>
  </si>
  <si>
    <t>V (30)</t>
  </si>
  <si>
    <t>LKa03</t>
  </si>
  <si>
    <t>CNPJSegMulti</t>
  </si>
  <si>
    <t>Número do CNPJ da seguradora</t>
  </si>
  <si>
    <t>LKa04</t>
  </si>
  <si>
    <t>nApolSegMulti</t>
  </si>
  <si>
    <t>LKa05</t>
  </si>
  <si>
    <t>nAverSegMulti</t>
  </si>
  <si>
    <t>LL -  Informações dos Veículos Transportados</t>
  </si>
  <si>
    <t>LL01</t>
  </si>
  <si>
    <t>veicNovos</t>
  </si>
  <si>
    <t>TAG de grupo de Informações dos Veículos Transportados</t>
  </si>
  <si>
    <t>LL02</t>
  </si>
  <si>
    <t>veicNovosItem</t>
  </si>
  <si>
    <t>LL03</t>
  </si>
  <si>
    <t>chassi</t>
  </si>
  <si>
    <t>Chassi do veículo</t>
  </si>
  <si>
    <t>V (17)</t>
  </si>
  <si>
    <t>LL04</t>
  </si>
  <si>
    <t>cCor</t>
  </si>
  <si>
    <t>Cor do veículo</t>
  </si>
  <si>
    <t>Código de cada montadora</t>
  </si>
  <si>
    <t>LL05</t>
  </si>
  <si>
    <t>xCor</t>
  </si>
  <si>
    <t>Descrição da cor</t>
  </si>
  <si>
    <t>LL06</t>
  </si>
  <si>
    <t>cMod</t>
  </si>
  <si>
    <t>Código Marca Modelo</t>
  </si>
  <si>
    <t>Utilizar tabela RENAVAM</t>
  </si>
  <si>
    <t>LL07</t>
  </si>
  <si>
    <t>vUnit</t>
  </si>
  <si>
    <t>Valor Unitário do Veículo</t>
  </si>
  <si>
    <t>LL08</t>
  </si>
  <si>
    <t>vFrete_vNov</t>
  </si>
  <si>
    <t>Frete Unitário</t>
  </si>
  <si>
    <t>LM -  Dados da cobrança do CT-e</t>
  </si>
  <si>
    <t>LM01</t>
  </si>
  <si>
    <t>cobr</t>
  </si>
  <si>
    <t>TAG de grupo dos Dados da cobrança do CT-e</t>
  </si>
  <si>
    <t>LM02</t>
  </si>
  <si>
    <t>fat</t>
  </si>
  <si>
    <t>Dados da Fatura</t>
  </si>
  <si>
    <t>LM03</t>
  </si>
  <si>
    <t>nFat</t>
  </si>
  <si>
    <t>Número da fatura</t>
  </si>
  <si>
    <t>LM04</t>
  </si>
  <si>
    <t>vOrig</t>
  </si>
  <si>
    <t>Valor original da fatura</t>
  </si>
  <si>
    <t>LM05</t>
  </si>
  <si>
    <t>vDesc</t>
  </si>
  <si>
    <t>Valor do desconto da fatura</t>
  </si>
  <si>
    <t>LM06</t>
  </si>
  <si>
    <t>vLiq</t>
  </si>
  <si>
    <t>Valor líquido da fatura</t>
  </si>
  <si>
    <t>LN -  Dados das Duplicatas</t>
  </si>
  <si>
    <t>LN01</t>
  </si>
  <si>
    <t>dup</t>
  </si>
  <si>
    <t>TAG de grupo de Informações das Duplicatas</t>
  </si>
  <si>
    <t>LN02</t>
  </si>
  <si>
    <t>dupItem</t>
  </si>
  <si>
    <t>LN03</t>
  </si>
  <si>
    <t>nDup</t>
  </si>
  <si>
    <t>Número da duplicata</t>
  </si>
  <si>
    <t>LN04</t>
  </si>
  <si>
    <t>dVenc</t>
  </si>
  <si>
    <t>Data de vencimento da duplicata</t>
  </si>
  <si>
    <t>LN05</t>
  </si>
  <si>
    <t>vDup</t>
  </si>
  <si>
    <t>Valor da duplicata</t>
  </si>
  <si>
    <t>LO -  Informações do CT-e de Substituição</t>
  </si>
  <si>
    <t>LO01</t>
  </si>
  <si>
    <t>infCteSub</t>
  </si>
  <si>
    <t>TAG de grupo de Informações do CT-e de Substituição</t>
  </si>
  <si>
    <t>LO02</t>
  </si>
  <si>
    <t>chCTe_sub</t>
  </si>
  <si>
    <t>Chave de acesso do CT-e a ser substituído (original)</t>
  </si>
  <si>
    <t>LO03</t>
  </si>
  <si>
    <t>refCteAnu</t>
  </si>
  <si>
    <t>Chave de acesso do CT-e de Anulação</t>
  </si>
  <si>
    <t>LO04</t>
  </si>
  <si>
    <t>indAlteraToma</t>
  </si>
  <si>
    <t>Indicador de CT-e Alteração de Tomador</t>
  </si>
  <si>
    <t>Tag com efeito e utilização aguardando legislação, não utilizar antes de NT específica tratar desse procedimento.</t>
  </si>
  <si>
    <t>Loa -  Informações do CT-e de Substituição</t>
  </si>
  <si>
    <t>LOa01</t>
  </si>
  <si>
    <t>tomaICMS</t>
  </si>
  <si>
    <t>Tomador é contribuinte do ICMS</t>
  </si>
  <si>
    <t>LOa02</t>
  </si>
  <si>
    <t>refNFe_sub</t>
  </si>
  <si>
    <t>Chave de acesso da NF-e emitida pelo Tomador</t>
  </si>
  <si>
    <t>LOa03</t>
  </si>
  <si>
    <t>refCte_sub</t>
  </si>
  <si>
    <t>Chave de acesso do CT-e emitido pelo Tomador</t>
  </si>
  <si>
    <t>Lob -  Informação da NF ou CT emitido pelo Tomador</t>
  </si>
  <si>
    <t>LOb01</t>
  </si>
  <si>
    <t>refNF_CT</t>
  </si>
  <si>
    <t>Informação da NF ou CT emitido pelo Tomador</t>
  </si>
  <si>
    <t>LOb02</t>
  </si>
  <si>
    <t>CNPJ_sub</t>
  </si>
  <si>
    <t>CNPJ do Emitente</t>
  </si>
  <si>
    <t>Informar o CNPJ do Emitente do Documento Fiscal</t>
  </si>
  <si>
    <t>LOb03</t>
  </si>
  <si>
    <t>CPF_sub</t>
  </si>
  <si>
    <t>Informar o CPF do Emitente do Documento Fiscal</t>
  </si>
  <si>
    <t>LOb04</t>
  </si>
  <si>
    <t>mod_sub</t>
  </si>
  <si>
    <t>Modelo do Documento Fiscal</t>
  </si>
  <si>
    <t>LOb05</t>
  </si>
  <si>
    <t>serie_sub</t>
  </si>
  <si>
    <t>LOb06</t>
  </si>
  <si>
    <t>subserie_sub</t>
  </si>
  <si>
    <t>Subsérie do Documento Fiscal</t>
  </si>
  <si>
    <t>LOb07</t>
  </si>
  <si>
    <t>nro_sub</t>
  </si>
  <si>
    <t>LOb08</t>
  </si>
  <si>
    <t>valor_sub</t>
  </si>
  <si>
    <t>Valor do Documento Fiscal</t>
  </si>
  <si>
    <t>LOb09</t>
  </si>
  <si>
    <t>dEmi_sub</t>
  </si>
  <si>
    <t>Data de emissão do Documento Fiscal</t>
  </si>
  <si>
    <t>LP -  Informações do CT-e Globalizado</t>
  </si>
  <si>
    <t>LP01</t>
  </si>
  <si>
    <t>infGlobalizado</t>
  </si>
  <si>
    <t>TAG de grupo de informações do CT-e Globalizado</t>
  </si>
  <si>
    <t>LP02</t>
  </si>
  <si>
    <t>xObsGlob</t>
  </si>
  <si>
    <t>Preencher com informações adicionais, legislação do regime especial, etc.</t>
  </si>
  <si>
    <t>V (256)</t>
  </si>
  <si>
    <t>LQ -  Informações do Serviço Vinculado a Multimodal</t>
  </si>
  <si>
    <t>LQ01</t>
  </si>
  <si>
    <t>infServVinc</t>
  </si>
  <si>
    <t>TAG de grupo de informações do Serviço Vinculado a Multimodal</t>
  </si>
  <si>
    <t>LQ02</t>
  </si>
  <si>
    <t>infServVincItem</t>
  </si>
  <si>
    <t>LQ03</t>
  </si>
  <si>
    <t>chCTeMultimodal</t>
  </si>
  <si>
    <t>Chave de acesso do CT-e Multimodal</t>
  </si>
  <si>
    <t>M - Detalhamento do CT-e Complementado</t>
  </si>
  <si>
    <t>M01</t>
  </si>
  <si>
    <t>infCteComp</t>
  </si>
  <si>
    <t>TAG de grupo de informações do CT-e Complementado</t>
  </si>
  <si>
    <t>M02</t>
  </si>
  <si>
    <t>chave_comp</t>
  </si>
  <si>
    <t>Chave do CT-e Complementado</t>
  </si>
  <si>
    <t>N - Detalhamento do CT-e do tipo Anulação</t>
  </si>
  <si>
    <t>infCteAnu</t>
  </si>
  <si>
    <t>TAG de grupo de informações do CT-e do tipo Anulação</t>
  </si>
  <si>
    <t>N02</t>
  </si>
  <si>
    <t>chCte_anu</t>
  </si>
  <si>
    <t>Chave de acesso do CT-e original a ser anulado e substituído</t>
  </si>
  <si>
    <t>N03</t>
  </si>
  <si>
    <t>dEmi_anu</t>
  </si>
  <si>
    <t>Data de emissão da declaração do tomador não contribuinte do ICMS</t>
  </si>
  <si>
    <t>O - Autorizados para download do XML do DF-e</t>
  </si>
  <si>
    <t>O01</t>
  </si>
  <si>
    <t>AutXml</t>
  </si>
  <si>
    <t>TAG de grupo de Autorizados para download do XML do DF-e</t>
  </si>
  <si>
    <t>Informar CNPJ ou CPF. Preencher os zeros não significativos</t>
  </si>
  <si>
    <t>O02</t>
  </si>
  <si>
    <t>AutXmlItem</t>
  </si>
  <si>
    <t>0-10</t>
  </si>
  <si>
    <t>O03</t>
  </si>
  <si>
    <t>CNPJ_Aut</t>
  </si>
  <si>
    <t>CNPJ do autorizado</t>
  </si>
  <si>
    <t>O04</t>
  </si>
  <si>
    <t>CPF_Aut</t>
  </si>
  <si>
    <t>CPF do autorizado</t>
  </si>
  <si>
    <t>P - Informações do Responsável Técnico pela emissão do DF-e</t>
  </si>
  <si>
    <t>P01</t>
  </si>
  <si>
    <t>infRespTec</t>
  </si>
  <si>
    <t>TAG de grupo de Informações do Responsável Técnico pela emissão do DF-e</t>
  </si>
  <si>
    <t>P02</t>
  </si>
  <si>
    <t>CNPJ_respTec</t>
  </si>
  <si>
    <t>CNPJ da empresa responsável pelo sistema emissor</t>
  </si>
  <si>
    <t>P03</t>
  </si>
  <si>
    <t>xContato</t>
  </si>
  <si>
    <t>Nome da pessoa responsável sobre o software emissor</t>
  </si>
  <si>
    <t>P04</t>
  </si>
  <si>
    <t>email_respTec</t>
  </si>
  <si>
    <t>E-mail do responsável</t>
  </si>
  <si>
    <t>P05</t>
  </si>
  <si>
    <t>fone_respTec</t>
  </si>
  <si>
    <t>Fone do responsável</t>
  </si>
  <si>
    <t>N (12)</t>
  </si>
  <si>
    <t>P06</t>
  </si>
  <si>
    <t>idCSRT</t>
  </si>
  <si>
    <t>P07</t>
  </si>
  <si>
    <t>hashCSRT</t>
  </si>
  <si>
    <t>V (40)</t>
  </si>
  <si>
    <t>O hashCSRT é o resultado das funções SHA-1 e base64 do token CSRT fornecido pelo fisco + chave de acesso do DF-e. (Implementação em futura 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</si>
</sst>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"/>
  </numFmts>
  <fonts count="12">
    <font>
      <sz val="11.0"/>
      <color rgb="FF000000"/>
      <name val="Calibri"/>
      <scheme val="minor"/>
    </font>
    <font>
      <sz val="11.0"/>
      <color rgb="FF000000"/>
      <name val="Calibri"/>
    </font>
    <font>
      <sz val="10.0"/>
      <color rgb="FF000000"/>
      <name val="Tahoma"/>
    </font>
    <font/>
    <font>
      <b/>
      <sz val="10.0"/>
      <color rgb="FF000000"/>
      <name val="Tahoma"/>
    </font>
    <font>
      <b/>
      <sz val="24.0"/>
      <color rgb="FF000000"/>
      <name val="Tahoma"/>
    </font>
    <font>
      <sz val="10.0"/>
      <color rgb="FF0070C0"/>
      <name val="Tahoma"/>
    </font>
    <font>
      <u/>
      <sz val="10.0"/>
      <color rgb="FF0000FF"/>
      <name val="Tahoma"/>
    </font>
    <font>
      <u/>
      <sz val="11.0"/>
      <color rgb="FF0000FF"/>
      <name val="Calibri"/>
    </font>
    <font>
      <sz val="10.0"/>
      <color rgb="FFFF0000"/>
      <name val="Tahoma"/>
    </font>
    <font>
      <strike/>
      <sz val="10.0"/>
      <color rgb="FF000000"/>
      <name val="Tahoma"/>
    </font>
    <font>
      <strike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D5B5"/>
        <bgColor rgb="FFFCD5B5"/>
      </patternFill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3">
    <border/>
    <border>
      <left/>
      <top/>
    </border>
    <border>
      <top/>
    </border>
    <border>
      <right/>
      <top/>
    </border>
    <border>
      <right style="thin">
        <color rgb="FF000000"/>
      </right>
      <top/>
    </border>
    <border>
      <left/>
      <bottom/>
    </border>
    <border>
      <bottom/>
    </border>
    <border>
      <right/>
      <bottom/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center"/>
    </xf>
    <xf borderId="0" fillId="0" fontId="2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5" numFmtId="0" xfId="0" applyAlignment="1" applyBorder="1" applyFill="1" applyFont="1">
      <alignment horizontal="center" shrinkToFit="0" wrapText="1"/>
    </xf>
    <xf borderId="12" fillId="0" fontId="3" numFmtId="0" xfId="0" applyBorder="1" applyFont="1"/>
    <xf borderId="13" fillId="0" fontId="3" numFmtId="0" xfId="0" applyBorder="1" applyFont="1"/>
    <xf borderId="14" fillId="2" fontId="2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4" fillId="2" fontId="2" numFmtId="0" xfId="0" applyAlignment="1" applyBorder="1" applyFont="1">
      <alignment horizontal="center" shrinkToFit="0" wrapText="1"/>
    </xf>
    <xf borderId="11" fillId="4" fontId="4" numFmtId="0" xfId="0" applyAlignment="1" applyBorder="1" applyFill="1" applyFont="1">
      <alignment horizontal="center" vertical="center"/>
    </xf>
    <xf borderId="11" fillId="5" fontId="4" numFmtId="0" xfId="0" applyAlignment="1" applyBorder="1" applyFill="1" applyFont="1">
      <alignment horizontal="center" readingOrder="0" vertical="center"/>
    </xf>
    <xf borderId="17" fillId="6" fontId="4" numFmtId="0" xfId="0" applyAlignment="1" applyBorder="1" applyFill="1" applyFont="1">
      <alignment horizontal="center"/>
    </xf>
    <xf borderId="17" fillId="6" fontId="4" numFmtId="0" xfId="0" applyAlignment="1" applyBorder="1" applyFont="1">
      <alignment horizontal="center" shrinkToFit="0" wrapText="1"/>
    </xf>
    <xf borderId="17" fillId="6" fontId="4" numFmtId="49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8" fillId="0" fontId="4" numFmtId="0" xfId="0" applyAlignment="1" applyBorder="1" applyFont="1">
      <alignment horizontal="center"/>
    </xf>
    <xf borderId="19" fillId="0" fontId="3" numFmtId="0" xfId="0" applyBorder="1" applyFont="1"/>
    <xf borderId="11" fillId="0" fontId="4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7" fillId="0" fontId="2" numFmtId="0" xfId="0" applyBorder="1" applyFont="1"/>
    <xf borderId="17" fillId="0" fontId="2" numFmtId="0" xfId="0" applyAlignment="1" applyBorder="1" applyFont="1">
      <alignment horizontal="left" shrinkToFit="0" wrapText="1"/>
    </xf>
    <xf borderId="17" fillId="0" fontId="2" numFmtId="0" xfId="0" applyAlignment="1" applyBorder="1" applyFont="1">
      <alignment shrinkToFit="0" wrapText="1"/>
    </xf>
    <xf borderId="17" fillId="0" fontId="2" numFmtId="49" xfId="0" applyAlignment="1" applyBorder="1" applyFont="1" applyNumberFormat="1">
      <alignment horizontal="center"/>
    </xf>
    <xf borderId="0" fillId="0" fontId="6" numFmtId="0" xfId="0" applyFont="1"/>
    <xf borderId="17" fillId="2" fontId="2" numFmtId="0" xfId="0" applyAlignment="1" applyBorder="1" applyFont="1">
      <alignment horizontal="center"/>
    </xf>
    <xf borderId="17" fillId="2" fontId="2" numFmtId="0" xfId="0" applyBorder="1" applyFont="1"/>
    <xf borderId="17" fillId="2" fontId="2" numFmtId="0" xfId="0" applyAlignment="1" applyBorder="1" applyFont="1">
      <alignment shrinkToFit="0" wrapText="1"/>
    </xf>
    <xf borderId="17" fillId="2" fontId="2" numFmtId="0" xfId="0" applyAlignment="1" applyBorder="1" applyFont="1">
      <alignment horizontal="left" shrinkToFit="0" wrapText="1"/>
    </xf>
    <xf borderId="17" fillId="2" fontId="2" numFmtId="49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7" fillId="6" fontId="2" numFmtId="0" xfId="0" applyAlignment="1" applyBorder="1" applyFont="1">
      <alignment horizontal="center"/>
    </xf>
    <xf borderId="17" fillId="6" fontId="2" numFmtId="0" xfId="0" applyBorder="1" applyFont="1"/>
    <xf borderId="17" fillId="6" fontId="2" numFmtId="0" xfId="0" applyAlignment="1" applyBorder="1" applyFont="1">
      <alignment shrinkToFit="0" wrapText="1"/>
    </xf>
    <xf borderId="17" fillId="0" fontId="1" numFmtId="0" xfId="0" applyAlignment="1" applyBorder="1" applyFont="1">
      <alignment horizontal="left"/>
    </xf>
    <xf borderId="17" fillId="0" fontId="1" numFmtId="0" xfId="0" applyAlignment="1" applyBorder="1" applyFont="1">
      <alignment shrinkToFit="0" wrapText="1"/>
    </xf>
    <xf borderId="17" fillId="6" fontId="2" numFmtId="49" xfId="0" applyAlignment="1" applyBorder="1" applyFont="1" applyNumberFormat="1">
      <alignment horizontal="center"/>
    </xf>
    <xf borderId="17" fillId="0" fontId="1" numFmtId="0" xfId="0" applyAlignment="1" applyBorder="1" applyFont="1">
      <alignment horizontal="center"/>
    </xf>
    <xf borderId="17" fillId="6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horizontal="center"/>
    </xf>
    <xf borderId="17" fillId="6" fontId="4" numFmtId="0" xfId="0" applyBorder="1" applyFont="1"/>
    <xf borderId="17" fillId="6" fontId="4" numFmtId="0" xfId="0" applyAlignment="1" applyBorder="1" applyFont="1">
      <alignment shrinkToFit="0" wrapText="1"/>
    </xf>
    <xf borderId="0" fillId="0" fontId="4" numFmtId="0" xfId="0" applyFont="1"/>
    <xf borderId="11" fillId="0" fontId="4" numFmtId="164" xfId="0" applyAlignment="1" applyBorder="1" applyFont="1" applyNumberFormat="1">
      <alignment horizontal="center"/>
    </xf>
    <xf borderId="17" fillId="0" fontId="7" numFmtId="0" xfId="0" applyAlignment="1" applyBorder="1" applyFont="1">
      <alignment shrinkToFit="0" wrapText="1"/>
    </xf>
    <xf borderId="17" fillId="0" fontId="1" numFmtId="0" xfId="0" applyBorder="1" applyFont="1"/>
    <xf borderId="17" fillId="6" fontId="1" numFmtId="0" xfId="0" applyBorder="1" applyFont="1"/>
    <xf borderId="17" fillId="6" fontId="1" numFmtId="0" xfId="0" applyAlignment="1" applyBorder="1" applyFont="1">
      <alignment horizontal="left"/>
    </xf>
    <xf borderId="17" fillId="6" fontId="1" numFmtId="0" xfId="0" applyAlignment="1" applyBorder="1" applyFont="1">
      <alignment shrinkToFit="0" wrapText="1"/>
    </xf>
    <xf borderId="17" fillId="6" fontId="1" numFmtId="0" xfId="0" applyAlignment="1" applyBorder="1" applyFont="1">
      <alignment horizontal="center"/>
    </xf>
    <xf borderId="17" fillId="0" fontId="2" numFmtId="0" xfId="0" applyAlignment="1" applyBorder="1" applyFont="1">
      <alignment readingOrder="0" shrinkToFit="0" wrapText="1"/>
    </xf>
    <xf borderId="17" fillId="5" fontId="2" numFmtId="0" xfId="0" applyAlignment="1" applyBorder="1" applyFont="1">
      <alignment horizontal="center"/>
    </xf>
    <xf borderId="17" fillId="5" fontId="2" numFmtId="0" xfId="0" applyAlignment="1" applyBorder="1" applyFont="1">
      <alignment shrinkToFit="0" wrapText="1"/>
    </xf>
    <xf borderId="17" fillId="5" fontId="2" numFmtId="0" xfId="0" applyAlignment="1" applyBorder="1" applyFont="1">
      <alignment horizontal="center" shrinkToFit="0" wrapText="1"/>
    </xf>
    <xf borderId="17" fillId="5" fontId="2" numFmtId="0" xfId="0" applyBorder="1" applyFont="1"/>
    <xf borderId="17" fillId="5" fontId="1" numFmtId="0" xfId="0" applyAlignment="1" applyBorder="1" applyFont="1">
      <alignment horizontal="center" shrinkToFit="0" wrapText="1"/>
    </xf>
    <xf borderId="17" fillId="0" fontId="8" numFmtId="0" xfId="0" applyAlignment="1" applyBorder="1" applyFont="1">
      <alignment shrinkToFit="0" wrapText="1"/>
    </xf>
    <xf borderId="17" fillId="4" fontId="4" numFmtId="0" xfId="0" applyAlignment="1" applyBorder="1" applyFont="1">
      <alignment horizontal="center"/>
    </xf>
    <xf borderId="17" fillId="4" fontId="4" numFmtId="0" xfId="0" applyBorder="1" applyFont="1"/>
    <xf borderId="17" fillId="4" fontId="4" numFmtId="0" xfId="0" applyAlignment="1" applyBorder="1" applyFont="1">
      <alignment shrinkToFit="0" wrapText="1"/>
    </xf>
    <xf borderId="17" fillId="4" fontId="4" numFmtId="49" xfId="0" applyAlignment="1" applyBorder="1" applyFont="1" applyNumberFormat="1">
      <alignment horizontal="center"/>
    </xf>
    <xf borderId="11" fillId="4" fontId="4" numFmtId="0" xfId="0" applyAlignment="1" applyBorder="1" applyFont="1">
      <alignment horizontal="center"/>
    </xf>
    <xf borderId="17" fillId="4" fontId="2" numFmtId="0" xfId="0" applyAlignment="1" applyBorder="1" applyFont="1">
      <alignment horizontal="center"/>
    </xf>
    <xf borderId="17" fillId="4" fontId="2" numFmtId="0" xfId="0" applyBorder="1" applyFont="1"/>
    <xf borderId="17" fillId="4" fontId="2" numFmtId="0" xfId="0" applyAlignment="1" applyBorder="1" applyFont="1">
      <alignment shrinkToFit="0" wrapText="1"/>
    </xf>
    <xf borderId="17" fillId="4" fontId="2" numFmtId="49" xfId="0" applyAlignment="1" applyBorder="1" applyFont="1" applyNumberFormat="1">
      <alignment horizontal="center"/>
    </xf>
    <xf borderId="17" fillId="4" fontId="1" numFmtId="0" xfId="0" applyBorder="1" applyFont="1"/>
    <xf borderId="17" fillId="6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7" fillId="0" fontId="2" numFmtId="49" xfId="0" applyAlignment="1" applyBorder="1" applyFont="1" applyNumberFormat="1">
      <alignment horizontal="center" shrinkToFit="0" vertical="center" wrapText="1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left" shrinkToFit="0" vertical="center" wrapText="1"/>
    </xf>
    <xf borderId="17" fillId="0" fontId="4" numFmtId="0" xfId="0" applyBorder="1" applyFont="1"/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9" numFmtId="49" xfId="0" applyAlignment="1" applyFont="1" applyNumberFormat="1">
      <alignment horizontal="center"/>
    </xf>
    <xf borderId="21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horizontal="center"/>
    </xf>
    <xf borderId="12" fillId="0" fontId="2" numFmtId="0" xfId="0" applyBorder="1" applyFont="1"/>
    <xf borderId="12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horizontal="center"/>
    </xf>
    <xf borderId="12" fillId="0" fontId="2" numFmtId="49" xfId="0" applyAlignment="1" applyBorder="1" applyFont="1" applyNumberFormat="1">
      <alignment horizontal="center"/>
    </xf>
    <xf borderId="17" fillId="4" fontId="2" numFmtId="0" xfId="0" applyAlignment="1" applyBorder="1" applyFont="1">
      <alignment horizontal="center" shrinkToFit="0" wrapText="1"/>
    </xf>
    <xf borderId="22" fillId="4" fontId="2" numFmtId="0" xfId="0" applyAlignment="1" applyBorder="1" applyFont="1">
      <alignment shrinkToFit="0" wrapText="1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4" fontId="1" numFmtId="0" xfId="0" applyAlignment="1" applyBorder="1" applyFont="1">
      <alignment horizontal="center" shrinkToFit="0" wrapText="1"/>
    </xf>
    <xf borderId="17" fillId="5" fontId="10" numFmtId="0" xfId="0" applyAlignment="1" applyBorder="1" applyFont="1">
      <alignment horizontal="center"/>
    </xf>
    <xf borderId="17" fillId="5" fontId="10" numFmtId="0" xfId="0" applyAlignment="1" applyBorder="1" applyFont="1">
      <alignment shrinkToFit="0" wrapText="1"/>
    </xf>
    <xf borderId="17" fillId="5" fontId="10" numFmtId="0" xfId="0" applyAlignment="1" applyBorder="1" applyFont="1">
      <alignment horizontal="center" shrinkToFit="0" wrapText="1"/>
    </xf>
    <xf borderId="17" fillId="5" fontId="10" numFmtId="0" xfId="0" applyBorder="1" applyFont="1"/>
    <xf borderId="17" fillId="5" fontId="11" numFmtId="0" xfId="0" applyAlignment="1" applyBorder="1" applyFont="1">
      <alignment horizontal="center" shrinkToFit="0" wrapText="1"/>
    </xf>
    <xf borderId="17" fillId="5" fontId="2" numFmtId="49" xfId="0" applyAlignment="1" applyBorder="1" applyFont="1" applyNumberFormat="1">
      <alignment horizontal="center" shrinkToFit="0" wrapText="1"/>
    </xf>
    <xf borderId="22" fillId="4" fontId="2" numFmtId="0" xfId="0" applyBorder="1" applyFont="1"/>
    <xf borderId="17" fillId="0" fontId="4" numFmtId="0" xfId="0" applyAlignment="1" applyBorder="1" applyFont="1">
      <alignment shrinkToFit="0" wrapText="1"/>
    </xf>
    <xf borderId="21" fillId="0" fontId="2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17" fillId="0" fontId="2" numFmtId="0" xfId="0" applyAlignment="1" applyBorder="1" applyFont="1">
      <alignment readingOrder="0"/>
    </xf>
    <xf borderId="22" fillId="2" fontId="2" numFmtId="0" xfId="0" applyAlignment="1" applyBorder="1" applyFont="1">
      <alignment horizontal="center"/>
    </xf>
    <xf borderId="22" fillId="2" fontId="2" numFmtId="0" xfId="0" applyBorder="1" applyFont="1"/>
    <xf borderId="22" fillId="2" fontId="2" numFmtId="0" xfId="0" applyAlignment="1" applyBorder="1" applyFont="1">
      <alignment shrinkToFit="0" wrapText="1"/>
    </xf>
    <xf borderId="22" fillId="2" fontId="2" numFmtId="49" xfId="0" applyAlignment="1" applyBorder="1" applyFont="1" applyNumberFormat="1">
      <alignment horizontal="center"/>
    </xf>
    <xf borderId="22" fillId="4" fontId="2" numFmtId="0" xfId="0" applyAlignment="1" applyBorder="1" applyFont="1">
      <alignment horizontal="center"/>
    </xf>
    <xf borderId="22" fillId="4" fontId="1" numFmtId="0" xfId="0" applyBorder="1" applyFont="1"/>
    <xf borderId="11" fillId="2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com.br/2019/05/10/tabela-de-codigos-ibge-de-uf-e-municipio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hyperlink" Target="https://desenvolvedores.migrate.com.br/2019/05/10/tabela-de-codigos-ibge-de-uf-e-municipios/" TargetMode="External"/><Relationship Id="rId10" Type="http://schemas.openxmlformats.org/officeDocument/2006/relationships/hyperlink" Target="https://desenvolvedores.migrate.com.br/2019/05/10/tabela-de-codigos-ibge-de-uf-e-municipios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desenvolvedores.migrate.com.br/2019/05/10/tabela-de-codigos-ibge-de-uf-e-municipios/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6.14"/>
    <col customWidth="1" min="3" max="3" width="22.43"/>
    <col customWidth="1" min="4" max="4" width="36.86"/>
    <col customWidth="1" min="5" max="5" width="3.43"/>
    <col customWidth="1" min="6" max="6" width="6.14"/>
    <col customWidth="1" min="7" max="7" width="15.14"/>
    <col customWidth="1" min="8" max="8" width="6.71"/>
    <col customWidth="1" min="9" max="9" width="6.43"/>
    <col customWidth="1" min="10" max="10" width="74.43"/>
    <col customWidth="1" min="11" max="11" width="9.43"/>
    <col customWidth="1" min="12" max="31" width="9.14"/>
  </cols>
  <sheetData>
    <row r="1" ht="13.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5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3.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3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30.0" customHeight="1">
      <c r="A3" s="14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3.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6.5" customHeight="1">
      <c r="A5" s="21" t="s">
        <v>53</v>
      </c>
      <c r="B5" s="15"/>
      <c r="C5" s="15"/>
      <c r="D5" s="15"/>
      <c r="E5" s="15"/>
      <c r="F5" s="15"/>
      <c r="G5" s="15"/>
      <c r="H5" s="15"/>
      <c r="I5" s="15"/>
      <c r="J5" s="15"/>
      <c r="K5" s="16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6.5" customHeight="1">
      <c r="A6" s="22" t="s">
        <v>60</v>
      </c>
      <c r="B6" s="15"/>
      <c r="C6" s="15"/>
      <c r="D6" s="15"/>
      <c r="E6" s="15"/>
      <c r="F6" s="15"/>
      <c r="G6" s="15"/>
      <c r="H6" s="15"/>
      <c r="I6" s="15"/>
      <c r="J6" s="15"/>
      <c r="K6" s="16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3.5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9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3.5" customHeight="1">
      <c r="A8" s="23" t="s">
        <v>70</v>
      </c>
      <c r="B8" s="23" t="s">
        <v>73</v>
      </c>
      <c r="C8" s="24" t="s">
        <v>74</v>
      </c>
      <c r="D8" s="23" t="s">
        <v>75</v>
      </c>
      <c r="E8" s="23" t="s">
        <v>76</v>
      </c>
      <c r="F8" s="23" t="s">
        <v>78</v>
      </c>
      <c r="G8" s="23" t="s">
        <v>79</v>
      </c>
      <c r="H8" s="25" t="s">
        <v>81</v>
      </c>
      <c r="I8" s="23" t="s">
        <v>84</v>
      </c>
      <c r="J8" s="23" t="s">
        <v>85</v>
      </c>
      <c r="K8" s="23" t="s">
        <v>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ht="13.5" customHeight="1">
      <c r="A9" s="29" t="s">
        <v>97</v>
      </c>
      <c r="B9" s="15"/>
      <c r="C9" s="15"/>
      <c r="D9" s="15"/>
      <c r="E9" s="15"/>
      <c r="F9" s="15"/>
      <c r="G9" s="15"/>
      <c r="H9" s="15"/>
      <c r="I9" s="15"/>
      <c r="J9" s="15"/>
      <c r="K9" s="1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3.5" customHeight="1">
      <c r="A10" s="30">
        <v>1.0</v>
      </c>
      <c r="B10" s="31" t="s">
        <v>99</v>
      </c>
      <c r="C10" s="33" t="s">
        <v>109</v>
      </c>
      <c r="D10" s="33" t="s">
        <v>110</v>
      </c>
      <c r="E10" s="30" t="s">
        <v>12</v>
      </c>
      <c r="F10" s="30" t="s">
        <v>111</v>
      </c>
      <c r="G10" s="30" t="s">
        <v>13</v>
      </c>
      <c r="H10" s="34" t="s">
        <v>13</v>
      </c>
      <c r="I10" s="30" t="s">
        <v>113</v>
      </c>
      <c r="J10" s="33" t="s">
        <v>114</v>
      </c>
      <c r="K10" s="31" t="s">
        <v>116</v>
      </c>
      <c r="L10" s="35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30.75" customHeight="1">
      <c r="A11" s="36">
        <f t="shared" ref="A11:A16" si="1">A10+1</f>
        <v>2</v>
      </c>
      <c r="B11" s="37" t="s">
        <v>124</v>
      </c>
      <c r="C11" s="38" t="s">
        <v>126</v>
      </c>
      <c r="D11" s="38" t="s">
        <v>128</v>
      </c>
      <c r="E11" s="36" t="s">
        <v>1</v>
      </c>
      <c r="F11" s="36" t="s">
        <v>99</v>
      </c>
      <c r="G11" s="36" t="s">
        <v>129</v>
      </c>
      <c r="H11" s="40" t="s">
        <v>4</v>
      </c>
      <c r="I11" s="36" t="s">
        <v>113</v>
      </c>
      <c r="J11" s="38" t="s">
        <v>130</v>
      </c>
      <c r="K11" s="37" t="s">
        <v>116</v>
      </c>
      <c r="L11" s="3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4.25" customHeight="1">
      <c r="A12" s="30">
        <f t="shared" si="1"/>
        <v>3</v>
      </c>
      <c r="B12" s="31" t="s">
        <v>132</v>
      </c>
      <c r="C12" s="33" t="s">
        <v>86</v>
      </c>
      <c r="D12" s="33" t="s">
        <v>133</v>
      </c>
      <c r="E12" s="30" t="s">
        <v>1</v>
      </c>
      <c r="F12" s="30" t="s">
        <v>99</v>
      </c>
      <c r="G12" s="30" t="s">
        <v>135</v>
      </c>
      <c r="H12" s="34" t="s">
        <v>4</v>
      </c>
      <c r="I12" s="30" t="s">
        <v>113</v>
      </c>
      <c r="J12" s="33" t="s">
        <v>138</v>
      </c>
      <c r="K12" s="31" t="s">
        <v>139</v>
      </c>
      <c r="L12" s="4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63.75" customHeight="1">
      <c r="A13" s="42">
        <f t="shared" si="1"/>
        <v>4</v>
      </c>
      <c r="B13" s="43" t="s">
        <v>148</v>
      </c>
      <c r="C13" s="44" t="s">
        <v>149</v>
      </c>
      <c r="D13" s="44" t="s">
        <v>151</v>
      </c>
      <c r="E13" s="42" t="s">
        <v>1</v>
      </c>
      <c r="F13" s="42" t="s">
        <v>99</v>
      </c>
      <c r="G13" s="42" t="s">
        <v>155</v>
      </c>
      <c r="H13" s="47" t="s">
        <v>14</v>
      </c>
      <c r="I13" s="42" t="s">
        <v>3</v>
      </c>
      <c r="J13" s="49" t="s">
        <v>159</v>
      </c>
      <c r="K13" s="43" t="s">
        <v>116</v>
      </c>
      <c r="L13" s="4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76.5" customHeight="1">
      <c r="A14" s="42">
        <f t="shared" si="1"/>
        <v>5</v>
      </c>
      <c r="B14" s="43" t="s">
        <v>165</v>
      </c>
      <c r="C14" s="44" t="s">
        <v>166</v>
      </c>
      <c r="D14" s="44" t="s">
        <v>167</v>
      </c>
      <c r="E14" s="42" t="s">
        <v>1</v>
      </c>
      <c r="F14" s="42" t="s">
        <v>99</v>
      </c>
      <c r="G14" s="42" t="s">
        <v>168</v>
      </c>
      <c r="H14" s="47" t="s">
        <v>14</v>
      </c>
      <c r="I14" s="42" t="s">
        <v>3</v>
      </c>
      <c r="J14" s="44" t="s">
        <v>169</v>
      </c>
      <c r="K14" s="43" t="s">
        <v>116</v>
      </c>
      <c r="L14" s="4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72.0" customHeight="1">
      <c r="A15" s="42">
        <f t="shared" si="1"/>
        <v>6</v>
      </c>
      <c r="B15" s="43" t="str">
        <f t="shared" ref="B15:B16" si="2">CONCATENATE("A",IF(A15&lt;=9,0,),A15)</f>
        <v>A06</v>
      </c>
      <c r="C15" s="44" t="s">
        <v>175</v>
      </c>
      <c r="D15" s="44" t="s">
        <v>176</v>
      </c>
      <c r="E15" s="42" t="s">
        <v>1</v>
      </c>
      <c r="F15" s="42" t="s">
        <v>99</v>
      </c>
      <c r="G15" s="42" t="s">
        <v>178</v>
      </c>
      <c r="H15" s="47" t="s">
        <v>14</v>
      </c>
      <c r="I15" s="42" t="s">
        <v>3</v>
      </c>
      <c r="J15" s="44" t="s">
        <v>186</v>
      </c>
      <c r="K15" s="43" t="s">
        <v>116</v>
      </c>
      <c r="L15" s="4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50.25" customHeight="1">
      <c r="A16" s="42">
        <f t="shared" si="1"/>
        <v>7</v>
      </c>
      <c r="B16" s="43" t="str">
        <f t="shared" si="2"/>
        <v>A07</v>
      </c>
      <c r="C16" s="44" t="s">
        <v>188</v>
      </c>
      <c r="D16" s="44" t="s">
        <v>190</v>
      </c>
      <c r="E16" s="42" t="s">
        <v>1</v>
      </c>
      <c r="F16" s="42" t="s">
        <v>99</v>
      </c>
      <c r="G16" s="42" t="s">
        <v>192</v>
      </c>
      <c r="H16" s="47" t="s">
        <v>14</v>
      </c>
      <c r="I16" s="42" t="s">
        <v>3</v>
      </c>
      <c r="J16" s="44" t="s">
        <v>194</v>
      </c>
      <c r="K16" s="43" t="s">
        <v>116</v>
      </c>
      <c r="L16" s="4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3.5" customHeight="1">
      <c r="A17" s="50"/>
      <c r="B17" s="7"/>
      <c r="C17" s="51"/>
      <c r="D17" s="51"/>
      <c r="E17" s="50"/>
      <c r="F17" s="50"/>
      <c r="G17" s="50"/>
      <c r="H17" s="52"/>
      <c r="I17" s="5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3.5" customHeight="1">
      <c r="A18" s="23" t="s">
        <v>70</v>
      </c>
      <c r="B18" s="53" t="s">
        <v>73</v>
      </c>
      <c r="C18" s="54" t="s">
        <v>74</v>
      </c>
      <c r="D18" s="54" t="s">
        <v>75</v>
      </c>
      <c r="E18" s="23" t="s">
        <v>76</v>
      </c>
      <c r="F18" s="23" t="s">
        <v>78</v>
      </c>
      <c r="G18" s="23" t="s">
        <v>79</v>
      </c>
      <c r="H18" s="25" t="s">
        <v>81</v>
      </c>
      <c r="I18" s="23" t="s">
        <v>84</v>
      </c>
      <c r="J18" s="53" t="s">
        <v>85</v>
      </c>
      <c r="K18" s="53" t="s">
        <v>86</v>
      </c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</row>
    <row r="19" ht="13.5" customHeight="1">
      <c r="A19" s="56" t="s">
        <v>203</v>
      </c>
      <c r="B19" s="15"/>
      <c r="C19" s="15"/>
      <c r="D19" s="15"/>
      <c r="E19" s="15"/>
      <c r="F19" s="15"/>
      <c r="G19" s="15"/>
      <c r="H19" s="15"/>
      <c r="I19" s="15"/>
      <c r="J19" s="15"/>
      <c r="K19" s="16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</row>
    <row r="20" ht="13.5" customHeight="1">
      <c r="A20" s="30">
        <f>A16+1</f>
        <v>8</v>
      </c>
      <c r="B20" s="31" t="s">
        <v>125</v>
      </c>
      <c r="C20" s="33" t="s">
        <v>207</v>
      </c>
      <c r="D20" s="33" t="s">
        <v>209</v>
      </c>
      <c r="E20" s="30" t="s">
        <v>12</v>
      </c>
      <c r="F20" s="30" t="s">
        <v>99</v>
      </c>
      <c r="G20" s="30" t="s">
        <v>13</v>
      </c>
      <c r="H20" s="34" t="s">
        <v>4</v>
      </c>
      <c r="I20" s="30" t="s">
        <v>113</v>
      </c>
      <c r="J20" s="31"/>
      <c r="K20" s="31" t="s">
        <v>116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51.75" customHeight="1">
      <c r="A21" s="30">
        <f t="shared" ref="A21:A57" si="3">A20+1</f>
        <v>9</v>
      </c>
      <c r="B21" s="31" t="s">
        <v>134</v>
      </c>
      <c r="C21" s="33" t="s">
        <v>212</v>
      </c>
      <c r="D21" s="33" t="s">
        <v>213</v>
      </c>
      <c r="E21" s="30" t="s">
        <v>1</v>
      </c>
      <c r="F21" s="30" t="s">
        <v>125</v>
      </c>
      <c r="G21" s="30" t="s">
        <v>140</v>
      </c>
      <c r="H21" s="34" t="s">
        <v>4</v>
      </c>
      <c r="I21" s="30" t="s">
        <v>113</v>
      </c>
      <c r="J21" s="33" t="s">
        <v>216</v>
      </c>
      <c r="K21" s="31" t="s">
        <v>116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30">
        <f t="shared" si="3"/>
        <v>10</v>
      </c>
      <c r="B22" s="31" t="s">
        <v>150</v>
      </c>
      <c r="C22" s="33" t="s">
        <v>218</v>
      </c>
      <c r="D22" s="33" t="s">
        <v>219</v>
      </c>
      <c r="E22" s="30" t="s">
        <v>1</v>
      </c>
      <c r="F22" s="30" t="s">
        <v>125</v>
      </c>
      <c r="G22" s="30" t="s">
        <v>193</v>
      </c>
      <c r="H22" s="34" t="s">
        <v>4</v>
      </c>
      <c r="I22" s="30" t="s">
        <v>113</v>
      </c>
      <c r="J22" s="57" t="s">
        <v>220</v>
      </c>
      <c r="K22" s="31" t="s">
        <v>116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30">
        <f t="shared" si="3"/>
        <v>11</v>
      </c>
      <c r="B23" s="31" t="s">
        <v>170</v>
      </c>
      <c r="C23" s="33" t="s">
        <v>234</v>
      </c>
      <c r="D23" s="33" t="s">
        <v>235</v>
      </c>
      <c r="E23" s="30" t="s">
        <v>1</v>
      </c>
      <c r="F23" s="30" t="s">
        <v>125</v>
      </c>
      <c r="G23" s="30" t="s">
        <v>236</v>
      </c>
      <c r="H23" s="34" t="s">
        <v>4</v>
      </c>
      <c r="I23" s="30" t="s">
        <v>113</v>
      </c>
      <c r="J23" s="33"/>
      <c r="K23" s="31" t="s">
        <v>116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30">
        <f t="shared" si="3"/>
        <v>12</v>
      </c>
      <c r="B24" s="31" t="s">
        <v>179</v>
      </c>
      <c r="C24" s="33" t="s">
        <v>240</v>
      </c>
      <c r="D24" s="33" t="s">
        <v>241</v>
      </c>
      <c r="E24" s="30" t="s">
        <v>1</v>
      </c>
      <c r="F24" s="30" t="s">
        <v>125</v>
      </c>
      <c r="G24" s="30" t="s">
        <v>242</v>
      </c>
      <c r="H24" s="34" t="s">
        <v>4</v>
      </c>
      <c r="I24" s="30" t="s">
        <v>113</v>
      </c>
      <c r="J24" s="33"/>
      <c r="K24" s="31" t="s">
        <v>116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68.25" customHeight="1">
      <c r="A25" s="30">
        <f t="shared" si="3"/>
        <v>13</v>
      </c>
      <c r="B25" s="31" t="s">
        <v>187</v>
      </c>
      <c r="C25" s="33" t="s">
        <v>248</v>
      </c>
      <c r="D25" s="33" t="s">
        <v>249</v>
      </c>
      <c r="E25" s="30" t="s">
        <v>1</v>
      </c>
      <c r="F25" s="30" t="s">
        <v>125</v>
      </c>
      <c r="G25" s="30" t="s">
        <v>250</v>
      </c>
      <c r="H25" s="34" t="s">
        <v>4</v>
      </c>
      <c r="I25" s="30" t="s">
        <v>113</v>
      </c>
      <c r="J25" s="33" t="s">
        <v>251</v>
      </c>
      <c r="K25" s="31" t="s">
        <v>116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5.75" customHeight="1">
      <c r="A26" s="30">
        <f t="shared" si="3"/>
        <v>14</v>
      </c>
      <c r="B26" s="31" t="s">
        <v>195</v>
      </c>
      <c r="C26" s="33" t="s">
        <v>255</v>
      </c>
      <c r="D26" s="33" t="s">
        <v>256</v>
      </c>
      <c r="E26" s="30" t="s">
        <v>1</v>
      </c>
      <c r="F26" s="30" t="s">
        <v>125</v>
      </c>
      <c r="G26" s="30" t="s">
        <v>257</v>
      </c>
      <c r="H26" s="34" t="s">
        <v>4</v>
      </c>
      <c r="I26" s="30" t="s">
        <v>113</v>
      </c>
      <c r="J26" s="31" t="s">
        <v>258</v>
      </c>
      <c r="K26" s="31" t="s">
        <v>116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5.75" customHeight="1">
      <c r="A27" s="30">
        <f t="shared" si="3"/>
        <v>15</v>
      </c>
      <c r="B27" s="31" t="s">
        <v>199</v>
      </c>
      <c r="C27" s="33" t="s">
        <v>263</v>
      </c>
      <c r="D27" s="33" t="s">
        <v>264</v>
      </c>
      <c r="E27" s="30" t="s">
        <v>1</v>
      </c>
      <c r="F27" s="30" t="s">
        <v>125</v>
      </c>
      <c r="G27" s="30" t="s">
        <v>265</v>
      </c>
      <c r="H27" s="34" t="s">
        <v>4</v>
      </c>
      <c r="I27" s="30" t="s">
        <v>113</v>
      </c>
      <c r="J27" s="31"/>
      <c r="K27" s="31" t="s">
        <v>116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30">
        <f t="shared" si="3"/>
        <v>16</v>
      </c>
      <c r="B28" s="31" t="s">
        <v>204</v>
      </c>
      <c r="C28" s="33" t="s">
        <v>269</v>
      </c>
      <c r="D28" s="33" t="s">
        <v>270</v>
      </c>
      <c r="E28" s="30" t="s">
        <v>1</v>
      </c>
      <c r="F28" s="30" t="s">
        <v>125</v>
      </c>
      <c r="G28" s="30" t="s">
        <v>272</v>
      </c>
      <c r="H28" s="34" t="s">
        <v>4</v>
      </c>
      <c r="I28" s="30" t="s">
        <v>113</v>
      </c>
      <c r="J28" s="31" t="s">
        <v>273</v>
      </c>
      <c r="K28" s="31" t="s">
        <v>116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57.75" customHeight="1">
      <c r="A29" s="30">
        <f t="shared" si="3"/>
        <v>17</v>
      </c>
      <c r="B29" s="31" t="s">
        <v>211</v>
      </c>
      <c r="C29" s="33" t="s">
        <v>275</v>
      </c>
      <c r="D29" s="33" t="s">
        <v>276</v>
      </c>
      <c r="E29" s="30" t="s">
        <v>1</v>
      </c>
      <c r="F29" s="30" t="s">
        <v>125</v>
      </c>
      <c r="G29" s="30" t="s">
        <v>278</v>
      </c>
      <c r="H29" s="34" t="s">
        <v>4</v>
      </c>
      <c r="I29" s="30" t="s">
        <v>113</v>
      </c>
      <c r="J29" s="33" t="s">
        <v>280</v>
      </c>
      <c r="K29" s="31" t="s">
        <v>139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51.75" customHeight="1">
      <c r="A30" s="30">
        <f t="shared" si="3"/>
        <v>18</v>
      </c>
      <c r="B30" s="31" t="s">
        <v>221</v>
      </c>
      <c r="C30" s="33" t="s">
        <v>281</v>
      </c>
      <c r="D30" s="33" t="s">
        <v>282</v>
      </c>
      <c r="E30" s="30" t="s">
        <v>1</v>
      </c>
      <c r="F30" s="30" t="s">
        <v>125</v>
      </c>
      <c r="G30" s="30" t="s">
        <v>283</v>
      </c>
      <c r="H30" s="34" t="s">
        <v>4</v>
      </c>
      <c r="I30" s="30" t="s">
        <v>113</v>
      </c>
      <c r="J30" s="33" t="s">
        <v>284</v>
      </c>
      <c r="K30" s="31" t="s">
        <v>116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85.5" customHeight="1">
      <c r="A31" s="30">
        <f t="shared" si="3"/>
        <v>19</v>
      </c>
      <c r="B31" s="31" t="s">
        <v>226</v>
      </c>
      <c r="C31" s="33" t="s">
        <v>287</v>
      </c>
      <c r="D31" s="33" t="s">
        <v>288</v>
      </c>
      <c r="E31" s="30" t="s">
        <v>1</v>
      </c>
      <c r="F31" s="30" t="s">
        <v>125</v>
      </c>
      <c r="G31" s="30" t="s">
        <v>283</v>
      </c>
      <c r="H31" s="34" t="s">
        <v>4</v>
      </c>
      <c r="I31" s="30" t="s">
        <v>113</v>
      </c>
      <c r="J31" s="33" t="s">
        <v>291</v>
      </c>
      <c r="K31" s="31" t="s">
        <v>116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30">
        <f t="shared" si="3"/>
        <v>20</v>
      </c>
      <c r="B32" s="31" t="s">
        <v>231</v>
      </c>
      <c r="C32" s="33" t="s">
        <v>293</v>
      </c>
      <c r="D32" s="33" t="s">
        <v>294</v>
      </c>
      <c r="E32" s="30" t="s">
        <v>1</v>
      </c>
      <c r="F32" s="30" t="s">
        <v>125</v>
      </c>
      <c r="G32" s="30" t="s">
        <v>283</v>
      </c>
      <c r="H32" s="34" t="s">
        <v>4</v>
      </c>
      <c r="I32" s="30" t="s">
        <v>113</v>
      </c>
      <c r="J32" s="33" t="s">
        <v>295</v>
      </c>
      <c r="K32" s="31" t="s">
        <v>116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86.25" customHeight="1">
      <c r="A33" s="30">
        <f t="shared" si="3"/>
        <v>21</v>
      </c>
      <c r="B33" s="31" t="s">
        <v>237</v>
      </c>
      <c r="C33" s="33" t="s">
        <v>299</v>
      </c>
      <c r="D33" s="33" t="s">
        <v>300</v>
      </c>
      <c r="E33" s="30" t="s">
        <v>1</v>
      </c>
      <c r="F33" s="30" t="s">
        <v>125</v>
      </c>
      <c r="G33" s="30" t="s">
        <v>283</v>
      </c>
      <c r="H33" s="34" t="s">
        <v>4</v>
      </c>
      <c r="I33" s="30" t="s">
        <v>113</v>
      </c>
      <c r="J33" s="63" t="s">
        <v>302</v>
      </c>
      <c r="K33" s="31" t="s">
        <v>116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3.5" customHeight="1">
      <c r="A34" s="30">
        <f t="shared" si="3"/>
        <v>22</v>
      </c>
      <c r="B34" s="31" t="s">
        <v>243</v>
      </c>
      <c r="C34" s="33" t="s">
        <v>303</v>
      </c>
      <c r="D34" s="33" t="s">
        <v>304</v>
      </c>
      <c r="E34" s="30" t="s">
        <v>1</v>
      </c>
      <c r="F34" s="30" t="s">
        <v>125</v>
      </c>
      <c r="G34" s="30" t="s">
        <v>283</v>
      </c>
      <c r="H34" s="34" t="s">
        <v>4</v>
      </c>
      <c r="I34" s="30" t="s">
        <v>113</v>
      </c>
      <c r="J34" s="33" t="s">
        <v>305</v>
      </c>
      <c r="K34" s="31" t="s">
        <v>116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30">
        <f t="shared" si="3"/>
        <v>23</v>
      </c>
      <c r="B35" s="31" t="s">
        <v>306</v>
      </c>
      <c r="C35" s="33" t="s">
        <v>307</v>
      </c>
      <c r="D35" s="33" t="s">
        <v>308</v>
      </c>
      <c r="E35" s="30" t="s">
        <v>1</v>
      </c>
      <c r="F35" s="30" t="s">
        <v>125</v>
      </c>
      <c r="G35" s="30" t="s">
        <v>283</v>
      </c>
      <c r="H35" s="34" t="s">
        <v>14</v>
      </c>
      <c r="I35" s="30" t="s">
        <v>3</v>
      </c>
      <c r="J35" s="33" t="s">
        <v>309</v>
      </c>
      <c r="K35" s="31" t="s">
        <v>139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30">
        <f t="shared" si="3"/>
        <v>24</v>
      </c>
      <c r="B36" s="31" t="s">
        <v>310</v>
      </c>
      <c r="C36" s="33" t="s">
        <v>311</v>
      </c>
      <c r="D36" s="33" t="s">
        <v>312</v>
      </c>
      <c r="E36" s="30" t="s">
        <v>1</v>
      </c>
      <c r="F36" s="30" t="s">
        <v>125</v>
      </c>
      <c r="G36" s="30" t="s">
        <v>313</v>
      </c>
      <c r="H36" s="34" t="s">
        <v>14</v>
      </c>
      <c r="I36" s="30" t="s">
        <v>3</v>
      </c>
      <c r="J36" s="31"/>
      <c r="K36" s="31" t="s">
        <v>116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30">
        <f t="shared" si="3"/>
        <v>25</v>
      </c>
      <c r="B37" s="31" t="s">
        <v>314</v>
      </c>
      <c r="C37" s="33" t="s">
        <v>315</v>
      </c>
      <c r="D37" s="33" t="s">
        <v>316</v>
      </c>
      <c r="E37" s="30" t="s">
        <v>1</v>
      </c>
      <c r="F37" s="30" t="s">
        <v>125</v>
      </c>
      <c r="G37" s="30" t="s">
        <v>317</v>
      </c>
      <c r="H37" s="34" t="s">
        <v>4</v>
      </c>
      <c r="I37" s="30" t="s">
        <v>113</v>
      </c>
      <c r="J37" s="57" t="s">
        <v>318</v>
      </c>
      <c r="K37" s="31" t="s">
        <v>116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30">
        <f t="shared" si="3"/>
        <v>26</v>
      </c>
      <c r="B38" s="31" t="s">
        <v>319</v>
      </c>
      <c r="C38" s="33" t="s">
        <v>320</v>
      </c>
      <c r="D38" s="33" t="s">
        <v>321</v>
      </c>
      <c r="E38" s="30" t="s">
        <v>1</v>
      </c>
      <c r="F38" s="30" t="s">
        <v>125</v>
      </c>
      <c r="G38" s="30" t="s">
        <v>236</v>
      </c>
      <c r="H38" s="34" t="s">
        <v>4</v>
      </c>
      <c r="I38" s="30" t="s">
        <v>113</v>
      </c>
      <c r="J38" s="31" t="s">
        <v>322</v>
      </c>
      <c r="K38" s="31" t="s">
        <v>116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30">
        <f t="shared" si="3"/>
        <v>27</v>
      </c>
      <c r="B39" s="31" t="s">
        <v>323</v>
      </c>
      <c r="C39" s="33" t="s">
        <v>324</v>
      </c>
      <c r="D39" s="33" t="s">
        <v>325</v>
      </c>
      <c r="E39" s="30" t="s">
        <v>1</v>
      </c>
      <c r="F39" s="30" t="s">
        <v>125</v>
      </c>
      <c r="G39" s="30" t="s">
        <v>250</v>
      </c>
      <c r="H39" s="34" t="s">
        <v>4</v>
      </c>
      <c r="I39" s="30" t="s">
        <v>113</v>
      </c>
      <c r="J39" s="31" t="s">
        <v>326</v>
      </c>
      <c r="K39" s="31" t="s">
        <v>116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96.75" customHeight="1">
      <c r="A40" s="30">
        <f t="shared" si="3"/>
        <v>28</v>
      </c>
      <c r="B40" s="31" t="s">
        <v>327</v>
      </c>
      <c r="C40" s="33" t="s">
        <v>328</v>
      </c>
      <c r="D40" s="33" t="s">
        <v>329</v>
      </c>
      <c r="E40" s="30" t="s">
        <v>1</v>
      </c>
      <c r="F40" s="30" t="s">
        <v>125</v>
      </c>
      <c r="G40" s="30" t="s">
        <v>330</v>
      </c>
      <c r="H40" s="34" t="s">
        <v>4</v>
      </c>
      <c r="I40" s="30" t="s">
        <v>113</v>
      </c>
      <c r="J40" s="33" t="s">
        <v>331</v>
      </c>
      <c r="K40" s="31" t="s">
        <v>116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96.75" customHeight="1">
      <c r="A41" s="30">
        <f t="shared" si="3"/>
        <v>29</v>
      </c>
      <c r="B41" s="31" t="s">
        <v>332</v>
      </c>
      <c r="C41" s="33" t="s">
        <v>333</v>
      </c>
      <c r="D41" s="33" t="s">
        <v>334</v>
      </c>
      <c r="E41" s="30" t="s">
        <v>1</v>
      </c>
      <c r="F41" s="30" t="s">
        <v>125</v>
      </c>
      <c r="G41" s="30" t="s">
        <v>283</v>
      </c>
      <c r="H41" s="34" t="s">
        <v>4</v>
      </c>
      <c r="I41" s="30" t="s">
        <v>113</v>
      </c>
      <c r="J41" s="33" t="s">
        <v>335</v>
      </c>
      <c r="K41" s="31" t="s">
        <v>116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30">
        <f t="shared" si="3"/>
        <v>30</v>
      </c>
      <c r="B42" s="31" t="s">
        <v>336</v>
      </c>
      <c r="C42" s="33" t="s">
        <v>337</v>
      </c>
      <c r="D42" s="33" t="s">
        <v>338</v>
      </c>
      <c r="E42" s="30" t="s">
        <v>1</v>
      </c>
      <c r="F42" s="30" t="s">
        <v>125</v>
      </c>
      <c r="G42" s="30" t="s">
        <v>317</v>
      </c>
      <c r="H42" s="34" t="s">
        <v>4</v>
      </c>
      <c r="I42" s="30" t="s">
        <v>113</v>
      </c>
      <c r="J42" s="57" t="s">
        <v>318</v>
      </c>
      <c r="K42" s="31" t="s">
        <v>116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30">
        <f t="shared" si="3"/>
        <v>31</v>
      </c>
      <c r="B43" s="31" t="s">
        <v>339</v>
      </c>
      <c r="C43" s="33" t="s">
        <v>340</v>
      </c>
      <c r="D43" s="33" t="s">
        <v>341</v>
      </c>
      <c r="E43" s="30" t="s">
        <v>1</v>
      </c>
      <c r="F43" s="30" t="s">
        <v>125</v>
      </c>
      <c r="G43" s="30" t="s">
        <v>236</v>
      </c>
      <c r="H43" s="34" t="s">
        <v>4</v>
      </c>
      <c r="I43" s="30" t="s">
        <v>113</v>
      </c>
      <c r="J43" s="33" t="s">
        <v>342</v>
      </c>
      <c r="K43" s="31" t="s">
        <v>116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30">
        <f t="shared" si="3"/>
        <v>32</v>
      </c>
      <c r="B44" s="31" t="s">
        <v>343</v>
      </c>
      <c r="C44" s="33" t="s">
        <v>344</v>
      </c>
      <c r="D44" s="33" t="s">
        <v>345</v>
      </c>
      <c r="E44" s="30" t="s">
        <v>1</v>
      </c>
      <c r="F44" s="30" t="s">
        <v>125</v>
      </c>
      <c r="G44" s="30" t="s">
        <v>330</v>
      </c>
      <c r="H44" s="34" t="s">
        <v>4</v>
      </c>
      <c r="I44" s="30" t="s">
        <v>113</v>
      </c>
      <c r="J44" s="33" t="s">
        <v>326</v>
      </c>
      <c r="K44" s="31" t="s">
        <v>116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30">
        <f t="shared" si="3"/>
        <v>33</v>
      </c>
      <c r="B45" s="31" t="s">
        <v>346</v>
      </c>
      <c r="C45" s="33" t="s">
        <v>347</v>
      </c>
      <c r="D45" s="33" t="s">
        <v>348</v>
      </c>
      <c r="E45" s="30" t="s">
        <v>1</v>
      </c>
      <c r="F45" s="30" t="s">
        <v>125</v>
      </c>
      <c r="G45" s="30" t="s">
        <v>317</v>
      </c>
      <c r="H45" s="34" t="s">
        <v>4</v>
      </c>
      <c r="I45" s="30" t="s">
        <v>113</v>
      </c>
      <c r="J45" s="57" t="s">
        <v>318</v>
      </c>
      <c r="K45" s="31" t="s">
        <v>116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30">
        <f t="shared" si="3"/>
        <v>34</v>
      </c>
      <c r="B46" s="31" t="s">
        <v>349</v>
      </c>
      <c r="C46" s="33" t="s">
        <v>350</v>
      </c>
      <c r="D46" s="33" t="s">
        <v>351</v>
      </c>
      <c r="E46" s="30" t="s">
        <v>1</v>
      </c>
      <c r="F46" s="30" t="s">
        <v>125</v>
      </c>
      <c r="G46" s="30" t="s">
        <v>236</v>
      </c>
      <c r="H46" s="34" t="s">
        <v>4</v>
      </c>
      <c r="I46" s="30" t="s">
        <v>113</v>
      </c>
      <c r="J46" s="33" t="s">
        <v>342</v>
      </c>
      <c r="K46" s="31" t="s">
        <v>116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3.5" customHeight="1">
      <c r="A47" s="30">
        <f t="shared" si="3"/>
        <v>35</v>
      </c>
      <c r="B47" s="31" t="s">
        <v>352</v>
      </c>
      <c r="C47" s="33" t="s">
        <v>353</v>
      </c>
      <c r="D47" s="33" t="s">
        <v>354</v>
      </c>
      <c r="E47" s="30" t="s">
        <v>1</v>
      </c>
      <c r="F47" s="30" t="s">
        <v>125</v>
      </c>
      <c r="G47" s="30" t="s">
        <v>250</v>
      </c>
      <c r="H47" s="34" t="s">
        <v>4</v>
      </c>
      <c r="I47" s="30" t="s">
        <v>113</v>
      </c>
      <c r="J47" s="33" t="s">
        <v>326</v>
      </c>
      <c r="K47" s="31" t="s">
        <v>116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3.5" customHeight="1">
      <c r="A48" s="30">
        <f t="shared" si="3"/>
        <v>36</v>
      </c>
      <c r="B48" s="31" t="s">
        <v>355</v>
      </c>
      <c r="C48" s="33" t="s">
        <v>356</v>
      </c>
      <c r="D48" s="33" t="s">
        <v>357</v>
      </c>
      <c r="E48" s="30" t="s">
        <v>1</v>
      </c>
      <c r="F48" s="30" t="s">
        <v>125</v>
      </c>
      <c r="G48" s="30" t="s">
        <v>283</v>
      </c>
      <c r="H48" s="34" t="s">
        <v>4</v>
      </c>
      <c r="I48" s="30" t="s">
        <v>113</v>
      </c>
      <c r="J48" s="33" t="s">
        <v>358</v>
      </c>
      <c r="K48" s="31" t="s">
        <v>116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30">
        <f t="shared" si="3"/>
        <v>37</v>
      </c>
      <c r="B49" s="31" t="s">
        <v>359</v>
      </c>
      <c r="C49" s="33" t="s">
        <v>360</v>
      </c>
      <c r="D49" s="33" t="s">
        <v>361</v>
      </c>
      <c r="E49" s="30" t="s">
        <v>1</v>
      </c>
      <c r="F49" s="30" t="s">
        <v>125</v>
      </c>
      <c r="G49" s="30" t="s">
        <v>362</v>
      </c>
      <c r="H49" s="34" t="s">
        <v>14</v>
      </c>
      <c r="I49" s="30" t="s">
        <v>3</v>
      </c>
      <c r="J49" s="33"/>
      <c r="K49" s="31" t="s">
        <v>116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3.5" customHeight="1">
      <c r="A50" s="30">
        <f t="shared" si="3"/>
        <v>38</v>
      </c>
      <c r="B50" s="31" t="s">
        <v>363</v>
      </c>
      <c r="C50" s="33" t="s">
        <v>364</v>
      </c>
      <c r="D50" s="33" t="s">
        <v>365</v>
      </c>
      <c r="E50" s="30" t="s">
        <v>1</v>
      </c>
      <c r="F50" s="30" t="s">
        <v>125</v>
      </c>
      <c r="G50" s="30" t="s">
        <v>283</v>
      </c>
      <c r="H50" s="34" t="s">
        <v>4</v>
      </c>
      <c r="I50" s="30" t="s">
        <v>113</v>
      </c>
      <c r="J50" s="33" t="s">
        <v>366</v>
      </c>
      <c r="K50" s="31" t="s">
        <v>139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30">
        <f t="shared" si="3"/>
        <v>39</v>
      </c>
      <c r="B51" s="31" t="s">
        <v>367</v>
      </c>
      <c r="C51" s="33" t="s">
        <v>368</v>
      </c>
      <c r="D51" s="33" t="s">
        <v>369</v>
      </c>
      <c r="E51" s="30" t="s">
        <v>1</v>
      </c>
      <c r="F51" s="30" t="s">
        <v>125</v>
      </c>
      <c r="G51" s="30" t="s">
        <v>272</v>
      </c>
      <c r="H51" s="34" t="s">
        <v>4</v>
      </c>
      <c r="I51" s="30" t="s">
        <v>113</v>
      </c>
      <c r="J51" s="31" t="s">
        <v>370</v>
      </c>
      <c r="K51" s="31" t="s">
        <v>116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30">
        <f t="shared" si="3"/>
        <v>40</v>
      </c>
      <c r="B52" s="31" t="s">
        <v>371</v>
      </c>
      <c r="C52" s="33" t="s">
        <v>372</v>
      </c>
      <c r="D52" s="33" t="s">
        <v>373</v>
      </c>
      <c r="E52" s="30" t="s">
        <v>1</v>
      </c>
      <c r="F52" s="30" t="s">
        <v>125</v>
      </c>
      <c r="G52" s="30" t="s">
        <v>374</v>
      </c>
      <c r="H52" s="34" t="s">
        <v>4</v>
      </c>
      <c r="I52" s="30" t="s">
        <v>113</v>
      </c>
      <c r="J52" s="31"/>
      <c r="K52" s="31" t="s">
        <v>116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45.75" customHeight="1">
      <c r="A53" s="30">
        <f t="shared" si="3"/>
        <v>41</v>
      </c>
      <c r="B53" s="31" t="s">
        <v>375</v>
      </c>
      <c r="C53" s="33" t="s">
        <v>376</v>
      </c>
      <c r="D53" s="33" t="s">
        <v>377</v>
      </c>
      <c r="E53" s="30" t="s">
        <v>1</v>
      </c>
      <c r="F53" s="30" t="s">
        <v>125</v>
      </c>
      <c r="G53" s="30" t="s">
        <v>378</v>
      </c>
      <c r="H53" s="34" t="s">
        <v>14</v>
      </c>
      <c r="I53" s="30" t="s">
        <v>3</v>
      </c>
      <c r="J53" s="33" t="s">
        <v>379</v>
      </c>
      <c r="K53" s="31" t="s">
        <v>116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45.75" customHeight="1">
      <c r="A54" s="64">
        <f t="shared" si="3"/>
        <v>42</v>
      </c>
      <c r="B54" s="65" t="s">
        <v>380</v>
      </c>
      <c r="C54" s="65" t="s">
        <v>381</v>
      </c>
      <c r="D54" s="65" t="s">
        <v>382</v>
      </c>
      <c r="E54" s="66" t="s">
        <v>1</v>
      </c>
      <c r="F54" s="66" t="s">
        <v>125</v>
      </c>
      <c r="G54" s="64" t="s">
        <v>283</v>
      </c>
      <c r="H54" s="66" t="s">
        <v>14</v>
      </c>
      <c r="I54" s="64" t="s">
        <v>3</v>
      </c>
      <c r="J54" s="65" t="s">
        <v>383</v>
      </c>
      <c r="K54" s="67" t="s">
        <v>384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45.75" customHeight="1">
      <c r="A55" s="64">
        <f t="shared" si="3"/>
        <v>43</v>
      </c>
      <c r="B55" s="65" t="s">
        <v>385</v>
      </c>
      <c r="C55" s="65" t="s">
        <v>386</v>
      </c>
      <c r="D55" s="65" t="s">
        <v>387</v>
      </c>
      <c r="E55" s="66" t="s">
        <v>12</v>
      </c>
      <c r="F55" s="66" t="s">
        <v>125</v>
      </c>
      <c r="G55" s="64" t="s">
        <v>13</v>
      </c>
      <c r="H55" s="66" t="s">
        <v>14</v>
      </c>
      <c r="I55" s="64" t="s">
        <v>3</v>
      </c>
      <c r="J55" s="67" t="s">
        <v>388</v>
      </c>
      <c r="K55" s="67" t="s">
        <v>384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45.75" customHeight="1">
      <c r="A56" s="64">
        <f t="shared" si="3"/>
        <v>44</v>
      </c>
      <c r="B56" s="65" t="s">
        <v>389</v>
      </c>
      <c r="C56" s="65" t="s">
        <v>390</v>
      </c>
      <c r="D56" s="65"/>
      <c r="E56" s="66" t="s">
        <v>12</v>
      </c>
      <c r="F56" s="66" t="s">
        <v>385</v>
      </c>
      <c r="G56" s="64" t="s">
        <v>13</v>
      </c>
      <c r="H56" s="66" t="s">
        <v>391</v>
      </c>
      <c r="I56" s="64" t="s">
        <v>113</v>
      </c>
      <c r="J56" s="67" t="s">
        <v>392</v>
      </c>
      <c r="K56" s="67" t="s">
        <v>384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45.75" customHeight="1">
      <c r="A57" s="64">
        <f t="shared" si="3"/>
        <v>45</v>
      </c>
      <c r="B57" s="65" t="s">
        <v>393</v>
      </c>
      <c r="C57" s="65" t="s">
        <v>394</v>
      </c>
      <c r="D57" s="65" t="s">
        <v>395</v>
      </c>
      <c r="E57" s="66" t="s">
        <v>1</v>
      </c>
      <c r="F57" s="66" t="s">
        <v>389</v>
      </c>
      <c r="G57" s="68" t="s">
        <v>313</v>
      </c>
      <c r="H57" s="66" t="s">
        <v>4</v>
      </c>
      <c r="I57" s="66" t="s">
        <v>113</v>
      </c>
      <c r="J57" s="67" t="s">
        <v>396</v>
      </c>
      <c r="K57" s="67" t="s">
        <v>384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50"/>
      <c r="B58" s="7"/>
      <c r="C58" s="51"/>
      <c r="D58" s="51"/>
      <c r="E58" s="50"/>
      <c r="F58" s="50"/>
      <c r="G58" s="50"/>
      <c r="H58" s="52"/>
      <c r="I58" s="50"/>
      <c r="J58" s="51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23" t="s">
        <v>70</v>
      </c>
      <c r="B59" s="53" t="s">
        <v>73</v>
      </c>
      <c r="C59" s="54" t="s">
        <v>74</v>
      </c>
      <c r="D59" s="54" t="s">
        <v>75</v>
      </c>
      <c r="E59" s="23" t="s">
        <v>76</v>
      </c>
      <c r="F59" s="23" t="s">
        <v>78</v>
      </c>
      <c r="G59" s="23" t="s">
        <v>79</v>
      </c>
      <c r="H59" s="25" t="s">
        <v>81</v>
      </c>
      <c r="I59" s="23" t="s">
        <v>84</v>
      </c>
      <c r="J59" s="53" t="s">
        <v>85</v>
      </c>
      <c r="K59" s="53" t="s">
        <v>86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29" t="s">
        <v>397</v>
      </c>
      <c r="B60" s="15"/>
      <c r="C60" s="15"/>
      <c r="D60" s="15"/>
      <c r="E60" s="15"/>
      <c r="F60" s="15"/>
      <c r="G60" s="15"/>
      <c r="H60" s="15"/>
      <c r="I60" s="15"/>
      <c r="J60" s="15"/>
      <c r="K60" s="1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30">
        <f>A57+1</f>
        <v>46</v>
      </c>
      <c r="B61" s="31" t="s">
        <v>252</v>
      </c>
      <c r="C61" s="33" t="s">
        <v>398</v>
      </c>
      <c r="D61" s="33" t="s">
        <v>399</v>
      </c>
      <c r="E61" s="30" t="s">
        <v>12</v>
      </c>
      <c r="F61" s="30" t="s">
        <v>125</v>
      </c>
      <c r="G61" s="30" t="s">
        <v>13</v>
      </c>
      <c r="H61" s="34" t="s">
        <v>4</v>
      </c>
      <c r="I61" s="30" t="s">
        <v>113</v>
      </c>
      <c r="J61" s="33"/>
      <c r="K61" s="31" t="s">
        <v>116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30">
        <f t="shared" ref="A62:A69" si="4">A61+1</f>
        <v>47</v>
      </c>
      <c r="B62" s="31" t="s">
        <v>400</v>
      </c>
      <c r="C62" s="33" t="s">
        <v>401</v>
      </c>
      <c r="D62" s="33" t="s">
        <v>402</v>
      </c>
      <c r="E62" s="30" t="s">
        <v>1</v>
      </c>
      <c r="F62" s="30" t="s">
        <v>252</v>
      </c>
      <c r="G62" s="30" t="s">
        <v>178</v>
      </c>
      <c r="H62" s="34" t="s">
        <v>4</v>
      </c>
      <c r="I62" s="30" t="s">
        <v>113</v>
      </c>
      <c r="J62" s="33" t="s">
        <v>403</v>
      </c>
      <c r="K62" s="31" t="s">
        <v>116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3.5" customHeight="1">
      <c r="A63" s="30">
        <f t="shared" si="4"/>
        <v>48</v>
      </c>
      <c r="B63" s="31" t="s">
        <v>404</v>
      </c>
      <c r="C63" s="33" t="s">
        <v>405</v>
      </c>
      <c r="D63" s="33" t="s">
        <v>406</v>
      </c>
      <c r="E63" s="30" t="s">
        <v>407</v>
      </c>
      <c r="F63" s="30" t="s">
        <v>252</v>
      </c>
      <c r="G63" s="30" t="s">
        <v>408</v>
      </c>
      <c r="H63" s="34" t="s">
        <v>4</v>
      </c>
      <c r="I63" s="30" t="s">
        <v>113</v>
      </c>
      <c r="J63" s="33" t="s">
        <v>409</v>
      </c>
      <c r="K63" s="31" t="s">
        <v>116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3.5" customHeight="1">
      <c r="A64" s="30">
        <f t="shared" si="4"/>
        <v>49</v>
      </c>
      <c r="B64" s="31" t="s">
        <v>410</v>
      </c>
      <c r="C64" s="33" t="s">
        <v>411</v>
      </c>
      <c r="D64" s="33" t="s">
        <v>412</v>
      </c>
      <c r="E64" s="30" t="s">
        <v>407</v>
      </c>
      <c r="F64" s="30" t="s">
        <v>252</v>
      </c>
      <c r="G64" s="30" t="s">
        <v>413</v>
      </c>
      <c r="H64" s="34" t="s">
        <v>4</v>
      </c>
      <c r="I64" s="30" t="s">
        <v>113</v>
      </c>
      <c r="J64" s="33" t="s">
        <v>414</v>
      </c>
      <c r="K64" s="31" t="s">
        <v>116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3.5" customHeight="1">
      <c r="A65" s="30">
        <f t="shared" si="4"/>
        <v>50</v>
      </c>
      <c r="B65" s="31" t="s">
        <v>415</v>
      </c>
      <c r="C65" s="33" t="s">
        <v>416</v>
      </c>
      <c r="D65" s="33" t="s">
        <v>417</v>
      </c>
      <c r="E65" s="30" t="s">
        <v>1</v>
      </c>
      <c r="F65" s="30" t="s">
        <v>252</v>
      </c>
      <c r="G65" s="30" t="s">
        <v>418</v>
      </c>
      <c r="H65" s="34" t="s">
        <v>14</v>
      </c>
      <c r="I65" s="30" t="s">
        <v>3</v>
      </c>
      <c r="J65" s="33" t="s">
        <v>419</v>
      </c>
      <c r="K65" s="31" t="s">
        <v>116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30">
        <f t="shared" si="4"/>
        <v>51</v>
      </c>
      <c r="B66" s="31" t="s">
        <v>420</v>
      </c>
      <c r="C66" s="33" t="s">
        <v>421</v>
      </c>
      <c r="D66" s="33" t="s">
        <v>422</v>
      </c>
      <c r="E66" s="30" t="s">
        <v>1</v>
      </c>
      <c r="F66" s="30" t="s">
        <v>252</v>
      </c>
      <c r="G66" s="30" t="s">
        <v>236</v>
      </c>
      <c r="H66" s="34" t="s">
        <v>4</v>
      </c>
      <c r="I66" s="30" t="s">
        <v>113</v>
      </c>
      <c r="J66" s="33" t="s">
        <v>423</v>
      </c>
      <c r="K66" s="31" t="s">
        <v>116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30">
        <f t="shared" si="4"/>
        <v>52</v>
      </c>
      <c r="B67" s="31" t="s">
        <v>424</v>
      </c>
      <c r="C67" s="33" t="s">
        <v>425</v>
      </c>
      <c r="D67" s="33" t="s">
        <v>426</v>
      </c>
      <c r="E67" s="30" t="s">
        <v>1</v>
      </c>
      <c r="F67" s="30" t="s">
        <v>252</v>
      </c>
      <c r="G67" s="30" t="s">
        <v>236</v>
      </c>
      <c r="H67" s="34" t="s">
        <v>14</v>
      </c>
      <c r="I67" s="30" t="s">
        <v>3</v>
      </c>
      <c r="J67" s="33" t="s">
        <v>423</v>
      </c>
      <c r="K67" s="31" t="s">
        <v>116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30">
        <f t="shared" si="4"/>
        <v>53</v>
      </c>
      <c r="B68" s="31" t="s">
        <v>427</v>
      </c>
      <c r="C68" s="33" t="s">
        <v>428</v>
      </c>
      <c r="D68" s="33" t="s">
        <v>429</v>
      </c>
      <c r="E68" s="30" t="s">
        <v>1</v>
      </c>
      <c r="F68" s="30" t="s">
        <v>252</v>
      </c>
      <c r="G68" s="30" t="s">
        <v>430</v>
      </c>
      <c r="H68" s="34" t="s">
        <v>14</v>
      </c>
      <c r="I68" s="30" t="s">
        <v>3</v>
      </c>
      <c r="J68" s="33" t="s">
        <v>423</v>
      </c>
      <c r="K68" s="31" t="s">
        <v>116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30">
        <f t="shared" si="4"/>
        <v>54</v>
      </c>
      <c r="B69" s="31" t="s">
        <v>431</v>
      </c>
      <c r="C69" s="33" t="s">
        <v>432</v>
      </c>
      <c r="D69" s="33" t="s">
        <v>433</v>
      </c>
      <c r="E69" s="30" t="s">
        <v>1</v>
      </c>
      <c r="F69" s="30" t="s">
        <v>252</v>
      </c>
      <c r="G69" s="30" t="s">
        <v>236</v>
      </c>
      <c r="H69" s="34" t="s">
        <v>14</v>
      </c>
      <c r="I69" s="30" t="s">
        <v>3</v>
      </c>
      <c r="J69" s="33" t="s">
        <v>423</v>
      </c>
      <c r="K69" s="31" t="s">
        <v>116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50"/>
      <c r="B70" s="7"/>
      <c r="C70" s="51"/>
      <c r="D70" s="51"/>
      <c r="E70" s="50"/>
      <c r="F70" s="50"/>
      <c r="G70" s="50"/>
      <c r="H70" s="52"/>
      <c r="I70" s="50"/>
      <c r="J70" s="51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23" t="s">
        <v>70</v>
      </c>
      <c r="B71" s="53" t="s">
        <v>73</v>
      </c>
      <c r="C71" s="54" t="s">
        <v>74</v>
      </c>
      <c r="D71" s="54" t="s">
        <v>75</v>
      </c>
      <c r="E71" s="23" t="s">
        <v>76</v>
      </c>
      <c r="F71" s="23" t="s">
        <v>78</v>
      </c>
      <c r="G71" s="23" t="s">
        <v>79</v>
      </c>
      <c r="H71" s="25" t="s">
        <v>81</v>
      </c>
      <c r="I71" s="23" t="s">
        <v>84</v>
      </c>
      <c r="J71" s="53" t="s">
        <v>85</v>
      </c>
      <c r="K71" s="53" t="s">
        <v>86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29" t="s">
        <v>434</v>
      </c>
      <c r="B72" s="15"/>
      <c r="C72" s="15"/>
      <c r="D72" s="15"/>
      <c r="E72" s="15"/>
      <c r="F72" s="15"/>
      <c r="G72" s="15"/>
      <c r="H72" s="15"/>
      <c r="I72" s="15"/>
      <c r="J72" s="15"/>
      <c r="K72" s="1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30">
        <f>A69+1</f>
        <v>55</v>
      </c>
      <c r="B73" s="31" t="s">
        <v>274</v>
      </c>
      <c r="C73" s="33" t="s">
        <v>435</v>
      </c>
      <c r="D73" s="33" t="s">
        <v>436</v>
      </c>
      <c r="E73" s="30" t="s">
        <v>12</v>
      </c>
      <c r="F73" s="30" t="s">
        <v>252</v>
      </c>
      <c r="G73" s="30" t="s">
        <v>13</v>
      </c>
      <c r="H73" s="34" t="s">
        <v>4</v>
      </c>
      <c r="I73" s="30" t="s">
        <v>113</v>
      </c>
      <c r="J73" s="33" t="s">
        <v>423</v>
      </c>
      <c r="K73" s="31" t="s">
        <v>116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30">
        <f t="shared" ref="A74:A83" si="5">A73+1</f>
        <v>56</v>
      </c>
      <c r="B74" s="31" t="s">
        <v>437</v>
      </c>
      <c r="C74" s="33" t="s">
        <v>438</v>
      </c>
      <c r="D74" s="33" t="s">
        <v>439</v>
      </c>
      <c r="E74" s="30" t="s">
        <v>1</v>
      </c>
      <c r="F74" s="30" t="s">
        <v>274</v>
      </c>
      <c r="G74" s="30" t="s">
        <v>440</v>
      </c>
      <c r="H74" s="34" t="s">
        <v>4</v>
      </c>
      <c r="I74" s="30" t="s">
        <v>113</v>
      </c>
      <c r="J74" s="33" t="s">
        <v>423</v>
      </c>
      <c r="K74" s="31" t="s">
        <v>116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30">
        <f t="shared" si="5"/>
        <v>57</v>
      </c>
      <c r="B75" s="31" t="s">
        <v>441</v>
      </c>
      <c r="C75" s="33" t="s">
        <v>442</v>
      </c>
      <c r="D75" s="33" t="s">
        <v>443</v>
      </c>
      <c r="E75" s="30" t="s">
        <v>1</v>
      </c>
      <c r="F75" s="30" t="s">
        <v>274</v>
      </c>
      <c r="G75" s="30" t="s">
        <v>236</v>
      </c>
      <c r="H75" s="34" t="s">
        <v>4</v>
      </c>
      <c r="I75" s="30" t="s">
        <v>113</v>
      </c>
      <c r="J75" s="33" t="s">
        <v>423</v>
      </c>
      <c r="K75" s="31" t="s">
        <v>116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30">
        <f t="shared" si="5"/>
        <v>58</v>
      </c>
      <c r="B76" s="31" t="s">
        <v>444</v>
      </c>
      <c r="C76" s="33" t="s">
        <v>445</v>
      </c>
      <c r="D76" s="33" t="s">
        <v>446</v>
      </c>
      <c r="E76" s="30" t="s">
        <v>1</v>
      </c>
      <c r="F76" s="30" t="s">
        <v>274</v>
      </c>
      <c r="G76" s="30" t="s">
        <v>236</v>
      </c>
      <c r="H76" s="34" t="s">
        <v>14</v>
      </c>
      <c r="I76" s="30" t="s">
        <v>3</v>
      </c>
      <c r="J76" s="33" t="s">
        <v>423</v>
      </c>
      <c r="K76" s="31" t="s">
        <v>116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30">
        <f t="shared" si="5"/>
        <v>59</v>
      </c>
      <c r="B77" s="31" t="s">
        <v>447</v>
      </c>
      <c r="C77" s="33" t="s">
        <v>448</v>
      </c>
      <c r="D77" s="33" t="s">
        <v>449</v>
      </c>
      <c r="E77" s="30" t="s">
        <v>1</v>
      </c>
      <c r="F77" s="30" t="s">
        <v>274</v>
      </c>
      <c r="G77" s="30" t="s">
        <v>236</v>
      </c>
      <c r="H77" s="34" t="s">
        <v>4</v>
      </c>
      <c r="I77" s="30" t="s">
        <v>113</v>
      </c>
      <c r="J77" s="33" t="s">
        <v>423</v>
      </c>
      <c r="K77" s="31" t="s">
        <v>116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30">
        <f t="shared" si="5"/>
        <v>60</v>
      </c>
      <c r="B78" s="31" t="s">
        <v>450</v>
      </c>
      <c r="C78" s="33" t="s">
        <v>451</v>
      </c>
      <c r="D78" s="33" t="s">
        <v>452</v>
      </c>
      <c r="E78" s="30" t="s">
        <v>1</v>
      </c>
      <c r="F78" s="30" t="s">
        <v>274</v>
      </c>
      <c r="G78" s="30" t="s">
        <v>317</v>
      </c>
      <c r="H78" s="34" t="s">
        <v>4</v>
      </c>
      <c r="I78" s="30" t="s">
        <v>113</v>
      </c>
      <c r="J78" s="69" t="s">
        <v>453</v>
      </c>
      <c r="K78" s="31" t="s">
        <v>116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30">
        <f t="shared" si="5"/>
        <v>61</v>
      </c>
      <c r="B79" s="31" t="s">
        <v>454</v>
      </c>
      <c r="C79" s="33" t="s">
        <v>455</v>
      </c>
      <c r="D79" s="33" t="s">
        <v>456</v>
      </c>
      <c r="E79" s="30" t="s">
        <v>1</v>
      </c>
      <c r="F79" s="30" t="s">
        <v>274</v>
      </c>
      <c r="G79" s="30" t="s">
        <v>236</v>
      </c>
      <c r="H79" s="34" t="s">
        <v>4</v>
      </c>
      <c r="I79" s="30" t="s">
        <v>113</v>
      </c>
      <c r="J79" s="33" t="s">
        <v>457</v>
      </c>
      <c r="K79" s="31" t="s">
        <v>116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30">
        <f t="shared" si="5"/>
        <v>62</v>
      </c>
      <c r="B80" s="31" t="s">
        <v>458</v>
      </c>
      <c r="C80" s="33" t="s">
        <v>459</v>
      </c>
      <c r="D80" s="33" t="s">
        <v>460</v>
      </c>
      <c r="E80" s="30" t="s">
        <v>1</v>
      </c>
      <c r="F80" s="30" t="s">
        <v>274</v>
      </c>
      <c r="G80" s="30" t="s">
        <v>461</v>
      </c>
      <c r="H80" s="34" t="s">
        <v>14</v>
      </c>
      <c r="I80" s="30" t="s">
        <v>3</v>
      </c>
      <c r="J80" s="33" t="s">
        <v>414</v>
      </c>
      <c r="K80" s="31" t="s">
        <v>116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30">
        <f t="shared" si="5"/>
        <v>63</v>
      </c>
      <c r="B81" s="31" t="s">
        <v>462</v>
      </c>
      <c r="C81" s="33" t="s">
        <v>463</v>
      </c>
      <c r="D81" s="33" t="s">
        <v>464</v>
      </c>
      <c r="E81" s="30" t="s">
        <v>1</v>
      </c>
      <c r="F81" s="30" t="s">
        <v>274</v>
      </c>
      <c r="G81" s="30" t="s">
        <v>330</v>
      </c>
      <c r="H81" s="34" t="s">
        <v>4</v>
      </c>
      <c r="I81" s="30" t="s">
        <v>113</v>
      </c>
      <c r="J81" s="33" t="s">
        <v>465</v>
      </c>
      <c r="K81" s="31" t="s">
        <v>116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30">
        <f t="shared" si="5"/>
        <v>64</v>
      </c>
      <c r="B82" s="31" t="s">
        <v>466</v>
      </c>
      <c r="C82" s="33" t="s">
        <v>467</v>
      </c>
      <c r="D82" s="33" t="s">
        <v>468</v>
      </c>
      <c r="E82" s="30" t="s">
        <v>1</v>
      </c>
      <c r="F82" s="30" t="s">
        <v>274</v>
      </c>
      <c r="G82" s="30" t="s">
        <v>469</v>
      </c>
      <c r="H82" s="34" t="s">
        <v>14</v>
      </c>
      <c r="I82" s="30" t="s">
        <v>3</v>
      </c>
      <c r="J82" s="33" t="s">
        <v>470</v>
      </c>
      <c r="K82" s="31" t="s">
        <v>116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30">
        <f t="shared" si="5"/>
        <v>65</v>
      </c>
      <c r="B83" s="31" t="s">
        <v>471</v>
      </c>
      <c r="C83" s="33" t="s">
        <v>472</v>
      </c>
      <c r="D83" s="33" t="s">
        <v>473</v>
      </c>
      <c r="E83" s="30" t="s">
        <v>1</v>
      </c>
      <c r="F83" s="30" t="s">
        <v>274</v>
      </c>
      <c r="G83" s="30" t="s">
        <v>236</v>
      </c>
      <c r="H83" s="34" t="s">
        <v>14</v>
      </c>
      <c r="I83" s="30" t="s">
        <v>3</v>
      </c>
      <c r="J83" s="33" t="s">
        <v>423</v>
      </c>
      <c r="K83" s="31" t="s">
        <v>116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50"/>
      <c r="B84" s="7"/>
      <c r="C84" s="51"/>
      <c r="D84" s="51"/>
      <c r="E84" s="50"/>
      <c r="F84" s="50"/>
      <c r="G84" s="50"/>
      <c r="H84" s="52"/>
      <c r="I84" s="50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0" t="s">
        <v>70</v>
      </c>
      <c r="B85" s="71" t="s">
        <v>73</v>
      </c>
      <c r="C85" s="72" t="s">
        <v>74</v>
      </c>
      <c r="D85" s="72" t="s">
        <v>75</v>
      </c>
      <c r="E85" s="70" t="s">
        <v>76</v>
      </c>
      <c r="F85" s="70" t="s">
        <v>78</v>
      </c>
      <c r="G85" s="70" t="s">
        <v>79</v>
      </c>
      <c r="H85" s="73" t="s">
        <v>81</v>
      </c>
      <c r="I85" s="70" t="s">
        <v>84</v>
      </c>
      <c r="J85" s="71" t="s">
        <v>85</v>
      </c>
      <c r="K85" s="71" t="s">
        <v>86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4" t="s">
        <v>474</v>
      </c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5">
        <f>A83+1</f>
        <v>66</v>
      </c>
      <c r="B87" s="76" t="s">
        <v>475</v>
      </c>
      <c r="C87" s="77" t="s">
        <v>476</v>
      </c>
      <c r="D87" s="77" t="s">
        <v>477</v>
      </c>
      <c r="E87" s="75" t="s">
        <v>12</v>
      </c>
      <c r="F87" s="75" t="s">
        <v>125</v>
      </c>
      <c r="G87" s="75" t="s">
        <v>13</v>
      </c>
      <c r="H87" s="78" t="s">
        <v>14</v>
      </c>
      <c r="I87" s="75" t="s">
        <v>13</v>
      </c>
      <c r="J87" s="77" t="s">
        <v>477</v>
      </c>
      <c r="K87" s="76" t="s">
        <v>116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5">
        <f t="shared" ref="A88:A89" si="6">A87+1</f>
        <v>67</v>
      </c>
      <c r="B88" s="76" t="s">
        <v>478</v>
      </c>
      <c r="C88" s="77" t="s">
        <v>479</v>
      </c>
      <c r="D88" s="79" t="s">
        <v>480</v>
      </c>
      <c r="E88" s="75" t="s">
        <v>1</v>
      </c>
      <c r="F88" s="75" t="s">
        <v>475</v>
      </c>
      <c r="G88" s="75" t="s">
        <v>481</v>
      </c>
      <c r="H88" s="78" t="s">
        <v>4</v>
      </c>
      <c r="I88" s="75" t="s">
        <v>113</v>
      </c>
      <c r="J88" s="77" t="s">
        <v>482</v>
      </c>
      <c r="K88" s="76" t="s">
        <v>116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5">
        <f t="shared" si="6"/>
        <v>68</v>
      </c>
      <c r="B89" s="76" t="s">
        <v>483</v>
      </c>
      <c r="C89" s="77" t="s">
        <v>484</v>
      </c>
      <c r="D89" s="79" t="s">
        <v>485</v>
      </c>
      <c r="E89" s="75" t="s">
        <v>1</v>
      </c>
      <c r="F89" s="75" t="s">
        <v>475</v>
      </c>
      <c r="G89" s="75" t="s">
        <v>486</v>
      </c>
      <c r="H89" s="78" t="s">
        <v>4</v>
      </c>
      <c r="I89" s="75" t="s">
        <v>113</v>
      </c>
      <c r="J89" s="77" t="s">
        <v>487</v>
      </c>
      <c r="K89" s="76" t="s">
        <v>116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50"/>
      <c r="B90" s="7"/>
      <c r="C90" s="51"/>
      <c r="D90" s="51"/>
      <c r="E90" s="50"/>
      <c r="F90" s="50"/>
      <c r="G90" s="50"/>
      <c r="H90" s="52"/>
      <c r="I90" s="5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80" t="s">
        <v>70</v>
      </c>
      <c r="B91" s="80" t="s">
        <v>73</v>
      </c>
      <c r="C91" s="80" t="s">
        <v>74</v>
      </c>
      <c r="D91" s="80" t="s">
        <v>75</v>
      </c>
      <c r="E91" s="80" t="s">
        <v>76</v>
      </c>
      <c r="F91" s="80" t="s">
        <v>78</v>
      </c>
      <c r="G91" s="80" t="s">
        <v>79</v>
      </c>
      <c r="H91" s="80" t="s">
        <v>81</v>
      </c>
      <c r="I91" s="80" t="s">
        <v>84</v>
      </c>
      <c r="J91" s="80" t="s">
        <v>85</v>
      </c>
      <c r="K91" s="80" t="s">
        <v>86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81" t="s">
        <v>488</v>
      </c>
      <c r="B92" s="15"/>
      <c r="C92" s="15"/>
      <c r="D92" s="15"/>
      <c r="E92" s="15"/>
      <c r="F92" s="15"/>
      <c r="G92" s="15"/>
      <c r="H92" s="15"/>
      <c r="I92" s="15"/>
      <c r="J92" s="15"/>
      <c r="K92" s="1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82">
        <f>A89+1</f>
        <v>69</v>
      </c>
      <c r="B93" s="82" t="s">
        <v>489</v>
      </c>
      <c r="C93" s="83" t="s">
        <v>490</v>
      </c>
      <c r="D93" s="83" t="s">
        <v>491</v>
      </c>
      <c r="E93" s="82" t="s">
        <v>12</v>
      </c>
      <c r="F93" s="82" t="s">
        <v>99</v>
      </c>
      <c r="G93" s="82" t="s">
        <v>13</v>
      </c>
      <c r="H93" s="84" t="s">
        <v>14</v>
      </c>
      <c r="I93" s="82" t="s">
        <v>3</v>
      </c>
      <c r="J93" s="83"/>
      <c r="K93" s="31" t="s">
        <v>116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40.5" customHeight="1">
      <c r="A94" s="82">
        <f t="shared" ref="A94:A99" si="7">A93+1</f>
        <v>70</v>
      </c>
      <c r="B94" s="82" t="s">
        <v>492</v>
      </c>
      <c r="C94" s="83" t="s">
        <v>493</v>
      </c>
      <c r="D94" s="83" t="s">
        <v>494</v>
      </c>
      <c r="E94" s="82" t="s">
        <v>1</v>
      </c>
      <c r="F94" s="82" t="s">
        <v>489</v>
      </c>
      <c r="G94" s="82" t="s">
        <v>495</v>
      </c>
      <c r="H94" s="84" t="s">
        <v>14</v>
      </c>
      <c r="I94" s="82" t="s">
        <v>3</v>
      </c>
      <c r="J94" s="85" t="s">
        <v>496</v>
      </c>
      <c r="K94" s="31" t="s">
        <v>116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45.0" customHeight="1">
      <c r="A95" s="82">
        <f t="shared" si="7"/>
        <v>71</v>
      </c>
      <c r="B95" s="82" t="s">
        <v>497</v>
      </c>
      <c r="C95" s="83" t="s">
        <v>498</v>
      </c>
      <c r="D95" s="83" t="s">
        <v>499</v>
      </c>
      <c r="E95" s="82" t="s">
        <v>1</v>
      </c>
      <c r="F95" s="82" t="s">
        <v>489</v>
      </c>
      <c r="G95" s="82" t="s">
        <v>500</v>
      </c>
      <c r="H95" s="84" t="s">
        <v>14</v>
      </c>
      <c r="I95" s="82" t="s">
        <v>3</v>
      </c>
      <c r="J95" s="86" t="s">
        <v>501</v>
      </c>
      <c r="K95" s="31" t="s">
        <v>116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82">
        <f t="shared" si="7"/>
        <v>72</v>
      </c>
      <c r="B96" s="82" t="s">
        <v>502</v>
      </c>
      <c r="C96" s="83" t="s">
        <v>503</v>
      </c>
      <c r="D96" s="83" t="s">
        <v>504</v>
      </c>
      <c r="E96" s="82" t="s">
        <v>1</v>
      </c>
      <c r="F96" s="82" t="s">
        <v>489</v>
      </c>
      <c r="G96" s="82" t="s">
        <v>505</v>
      </c>
      <c r="H96" s="84" t="s">
        <v>14</v>
      </c>
      <c r="I96" s="82" t="s">
        <v>3</v>
      </c>
      <c r="J96" s="83"/>
      <c r="K96" s="31" t="s">
        <v>116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82">
        <f t="shared" si="7"/>
        <v>73</v>
      </c>
      <c r="B97" s="82" t="s">
        <v>506</v>
      </c>
      <c r="C97" s="83" t="s">
        <v>507</v>
      </c>
      <c r="D97" s="83" t="s">
        <v>508</v>
      </c>
      <c r="E97" s="82" t="s">
        <v>1</v>
      </c>
      <c r="F97" s="82" t="s">
        <v>489</v>
      </c>
      <c r="G97" s="82" t="s">
        <v>509</v>
      </c>
      <c r="H97" s="84" t="s">
        <v>14</v>
      </c>
      <c r="I97" s="82" t="s">
        <v>3</v>
      </c>
      <c r="J97" s="83"/>
      <c r="K97" s="31" t="s">
        <v>116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82">
        <f t="shared" si="7"/>
        <v>74</v>
      </c>
      <c r="B98" s="82" t="s">
        <v>510</v>
      </c>
      <c r="C98" s="83" t="s">
        <v>511</v>
      </c>
      <c r="D98" s="83" t="s">
        <v>512</v>
      </c>
      <c r="E98" s="82" t="s">
        <v>1</v>
      </c>
      <c r="F98" s="82" t="s">
        <v>489</v>
      </c>
      <c r="G98" s="82" t="s">
        <v>509</v>
      </c>
      <c r="H98" s="84" t="s">
        <v>14</v>
      </c>
      <c r="I98" s="82" t="s">
        <v>3</v>
      </c>
      <c r="J98" s="83"/>
      <c r="K98" s="31" t="s">
        <v>116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82">
        <f t="shared" si="7"/>
        <v>75</v>
      </c>
      <c r="B99" s="82" t="s">
        <v>513</v>
      </c>
      <c r="C99" s="83" t="s">
        <v>514</v>
      </c>
      <c r="D99" s="83" t="s">
        <v>515</v>
      </c>
      <c r="E99" s="82" t="s">
        <v>1</v>
      </c>
      <c r="F99" s="82" t="s">
        <v>489</v>
      </c>
      <c r="G99" s="82" t="s">
        <v>516</v>
      </c>
      <c r="H99" s="84" t="s">
        <v>14</v>
      </c>
      <c r="I99" s="82" t="s">
        <v>3</v>
      </c>
      <c r="J99" s="83"/>
      <c r="K99" s="31" t="s">
        <v>116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87"/>
      <c r="B100" s="87"/>
      <c r="C100" s="88"/>
      <c r="D100" s="88"/>
      <c r="E100" s="87"/>
      <c r="F100" s="87"/>
      <c r="G100" s="87"/>
      <c r="H100" s="89"/>
      <c r="I100" s="87"/>
      <c r="J100" s="88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80" t="s">
        <v>70</v>
      </c>
      <c r="B101" s="80" t="s">
        <v>73</v>
      </c>
      <c r="C101" s="80" t="s">
        <v>74</v>
      </c>
      <c r="D101" s="80" t="s">
        <v>75</v>
      </c>
      <c r="E101" s="80" t="s">
        <v>76</v>
      </c>
      <c r="F101" s="80" t="s">
        <v>78</v>
      </c>
      <c r="G101" s="80" t="s">
        <v>79</v>
      </c>
      <c r="H101" s="80" t="s">
        <v>81</v>
      </c>
      <c r="I101" s="80" t="s">
        <v>84</v>
      </c>
      <c r="J101" s="80" t="s">
        <v>85</v>
      </c>
      <c r="K101" s="80" t="s">
        <v>86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81" t="s">
        <v>517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6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82">
        <f>A99+1</f>
        <v>76</v>
      </c>
      <c r="B103" s="82" t="s">
        <v>518</v>
      </c>
      <c r="C103" s="83" t="s">
        <v>519</v>
      </c>
      <c r="D103" s="83" t="s">
        <v>520</v>
      </c>
      <c r="E103" s="82" t="s">
        <v>12</v>
      </c>
      <c r="F103" s="82" t="s">
        <v>489</v>
      </c>
      <c r="G103" s="82" t="s">
        <v>13</v>
      </c>
      <c r="H103" s="84" t="s">
        <v>14</v>
      </c>
      <c r="I103" s="82" t="s">
        <v>3</v>
      </c>
      <c r="J103" s="83" t="s">
        <v>521</v>
      </c>
      <c r="K103" s="31" t="s">
        <v>116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66.0" customHeight="1">
      <c r="A104" s="82">
        <f t="shared" ref="A104:A106" si="8">A103+1</f>
        <v>77</v>
      </c>
      <c r="B104" s="82" t="s">
        <v>522</v>
      </c>
      <c r="C104" s="83" t="s">
        <v>523</v>
      </c>
      <c r="D104" s="83" t="s">
        <v>524</v>
      </c>
      <c r="E104" s="82" t="s">
        <v>1</v>
      </c>
      <c r="F104" s="82" t="s">
        <v>518</v>
      </c>
      <c r="G104" s="82" t="s">
        <v>495</v>
      </c>
      <c r="H104" s="84" t="s">
        <v>14</v>
      </c>
      <c r="I104" s="82" t="s">
        <v>3</v>
      </c>
      <c r="J104" s="83" t="s">
        <v>525</v>
      </c>
      <c r="K104" s="31" t="s">
        <v>116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66.75" customHeight="1">
      <c r="A105" s="82">
        <f t="shared" si="8"/>
        <v>78</v>
      </c>
      <c r="B105" s="82" t="s">
        <v>526</v>
      </c>
      <c r="C105" s="83" t="s">
        <v>527</v>
      </c>
      <c r="D105" s="83" t="s">
        <v>528</v>
      </c>
      <c r="E105" s="82" t="s">
        <v>1</v>
      </c>
      <c r="F105" s="82" t="s">
        <v>518</v>
      </c>
      <c r="G105" s="82" t="s">
        <v>236</v>
      </c>
      <c r="H105" s="84" t="s">
        <v>14</v>
      </c>
      <c r="I105" s="82" t="s">
        <v>3</v>
      </c>
      <c r="J105" s="83" t="s">
        <v>529</v>
      </c>
      <c r="K105" s="31" t="s">
        <v>139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82">
        <f t="shared" si="8"/>
        <v>79</v>
      </c>
      <c r="B106" s="82" t="s">
        <v>530</v>
      </c>
      <c r="C106" s="83" t="s">
        <v>531</v>
      </c>
      <c r="D106" s="83" t="s">
        <v>532</v>
      </c>
      <c r="E106" s="82" t="s">
        <v>1</v>
      </c>
      <c r="F106" s="82" t="s">
        <v>518</v>
      </c>
      <c r="G106" s="82" t="s">
        <v>533</v>
      </c>
      <c r="H106" s="84" t="s">
        <v>14</v>
      </c>
      <c r="I106" s="82" t="s">
        <v>3</v>
      </c>
      <c r="J106" s="83"/>
      <c r="K106" s="31" t="s">
        <v>116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87"/>
      <c r="B107" s="87"/>
      <c r="C107" s="88"/>
      <c r="D107" s="88"/>
      <c r="E107" s="87"/>
      <c r="F107" s="87"/>
      <c r="G107" s="87"/>
      <c r="H107" s="89"/>
      <c r="I107" s="87"/>
      <c r="J107" s="88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80" t="s">
        <v>70</v>
      </c>
      <c r="B108" s="80" t="s">
        <v>73</v>
      </c>
      <c r="C108" s="80" t="s">
        <v>74</v>
      </c>
      <c r="D108" s="80" t="s">
        <v>75</v>
      </c>
      <c r="E108" s="80" t="s">
        <v>76</v>
      </c>
      <c r="F108" s="80" t="s">
        <v>78</v>
      </c>
      <c r="G108" s="80" t="s">
        <v>79</v>
      </c>
      <c r="H108" s="80" t="s">
        <v>81</v>
      </c>
      <c r="I108" s="80" t="s">
        <v>84</v>
      </c>
      <c r="J108" s="80" t="s">
        <v>85</v>
      </c>
      <c r="K108" s="80" t="s">
        <v>86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81" t="s">
        <v>534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82">
        <f>A106+1</f>
        <v>80</v>
      </c>
      <c r="B110" s="82" t="s">
        <v>535</v>
      </c>
      <c r="C110" s="83" t="s">
        <v>536</v>
      </c>
      <c r="D110" s="83" t="s">
        <v>537</v>
      </c>
      <c r="E110" s="82" t="s">
        <v>12</v>
      </c>
      <c r="F110" s="82" t="s">
        <v>518</v>
      </c>
      <c r="G110" s="82" t="s">
        <v>13</v>
      </c>
      <c r="H110" s="84" t="s">
        <v>14</v>
      </c>
      <c r="I110" s="82" t="s">
        <v>3</v>
      </c>
      <c r="J110" s="83"/>
      <c r="K110" s="31" t="s">
        <v>116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82">
        <f t="shared" ref="A111:A112" si="9">A110+1</f>
        <v>81</v>
      </c>
      <c r="B111" s="82" t="s">
        <v>538</v>
      </c>
      <c r="C111" s="83" t="s">
        <v>539</v>
      </c>
      <c r="D111" s="83"/>
      <c r="E111" s="82" t="s">
        <v>12</v>
      </c>
      <c r="F111" s="82" t="s">
        <v>535</v>
      </c>
      <c r="G111" s="82" t="s">
        <v>13</v>
      </c>
      <c r="H111" s="84" t="s">
        <v>540</v>
      </c>
      <c r="I111" s="82" t="s">
        <v>113</v>
      </c>
      <c r="J111" s="90" t="s">
        <v>392</v>
      </c>
      <c r="K111" s="31" t="s">
        <v>116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63.75" customHeight="1">
      <c r="A112" s="82">
        <f t="shared" si="9"/>
        <v>82</v>
      </c>
      <c r="B112" s="82" t="s">
        <v>541</v>
      </c>
      <c r="C112" s="83" t="s">
        <v>542</v>
      </c>
      <c r="D112" s="83" t="s">
        <v>543</v>
      </c>
      <c r="E112" s="82" t="s">
        <v>1</v>
      </c>
      <c r="F112" s="82" t="s">
        <v>538</v>
      </c>
      <c r="G112" s="82" t="s">
        <v>495</v>
      </c>
      <c r="H112" s="84" t="s">
        <v>14</v>
      </c>
      <c r="I112" s="82" t="s">
        <v>3</v>
      </c>
      <c r="J112" s="83" t="s">
        <v>544</v>
      </c>
      <c r="K112" s="31" t="s">
        <v>116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87"/>
      <c r="B113" s="87"/>
      <c r="C113" s="88"/>
      <c r="D113" s="88"/>
      <c r="E113" s="87"/>
      <c r="F113" s="87"/>
      <c r="G113" s="87"/>
      <c r="H113" s="89"/>
      <c r="I113" s="87"/>
      <c r="J113" s="88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80" t="s">
        <v>70</v>
      </c>
      <c r="B114" s="80" t="s">
        <v>73</v>
      </c>
      <c r="C114" s="80" t="s">
        <v>74</v>
      </c>
      <c r="D114" s="80" t="s">
        <v>75</v>
      </c>
      <c r="E114" s="80" t="s">
        <v>76</v>
      </c>
      <c r="F114" s="80" t="s">
        <v>78</v>
      </c>
      <c r="G114" s="80" t="s">
        <v>79</v>
      </c>
      <c r="H114" s="80" t="s">
        <v>81</v>
      </c>
      <c r="I114" s="80" t="s">
        <v>84</v>
      </c>
      <c r="J114" s="80" t="s">
        <v>85</v>
      </c>
      <c r="K114" s="80" t="s">
        <v>86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81" t="s">
        <v>545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82">
        <f>A112+1</f>
        <v>83</v>
      </c>
      <c r="B116" s="82" t="s">
        <v>546</v>
      </c>
      <c r="C116" s="83" t="s">
        <v>547</v>
      </c>
      <c r="D116" s="83" t="s">
        <v>548</v>
      </c>
      <c r="E116" s="82" t="s">
        <v>12</v>
      </c>
      <c r="F116" s="82" t="s">
        <v>489</v>
      </c>
      <c r="G116" s="82" t="s">
        <v>13</v>
      </c>
      <c r="H116" s="84" t="s">
        <v>14</v>
      </c>
      <c r="I116" s="82" t="s">
        <v>3</v>
      </c>
      <c r="J116" s="83"/>
      <c r="K116" s="31" t="s">
        <v>116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82">
        <f t="shared" ref="A117:A124" si="10">A116+1</f>
        <v>84</v>
      </c>
      <c r="B117" s="82" t="s">
        <v>549</v>
      </c>
      <c r="C117" s="83" t="s">
        <v>550</v>
      </c>
      <c r="D117" s="83" t="s">
        <v>551</v>
      </c>
      <c r="E117" s="82" t="s">
        <v>1</v>
      </c>
      <c r="F117" s="82" t="s">
        <v>546</v>
      </c>
      <c r="G117" s="82" t="s">
        <v>178</v>
      </c>
      <c r="H117" s="84" t="s">
        <v>4</v>
      </c>
      <c r="I117" s="82" t="s">
        <v>113</v>
      </c>
      <c r="J117" s="83" t="s">
        <v>552</v>
      </c>
      <c r="K117" s="31" t="s">
        <v>116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82">
        <f t="shared" si="10"/>
        <v>85</v>
      </c>
      <c r="B118" s="82" t="s">
        <v>553</v>
      </c>
      <c r="C118" s="83" t="s">
        <v>554</v>
      </c>
      <c r="D118" s="83" t="s">
        <v>555</v>
      </c>
      <c r="E118" s="82" t="s">
        <v>1</v>
      </c>
      <c r="F118" s="82" t="s">
        <v>546</v>
      </c>
      <c r="G118" s="82" t="s">
        <v>272</v>
      </c>
      <c r="H118" s="84" t="s">
        <v>4</v>
      </c>
      <c r="I118" s="82" t="s">
        <v>113</v>
      </c>
      <c r="J118" s="83" t="s">
        <v>556</v>
      </c>
      <c r="K118" s="31" t="s">
        <v>116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82">
        <f t="shared" si="10"/>
        <v>86</v>
      </c>
      <c r="B119" s="82" t="s">
        <v>557</v>
      </c>
      <c r="C119" s="83" t="s">
        <v>558</v>
      </c>
      <c r="D119" s="83" t="s">
        <v>559</v>
      </c>
      <c r="E119" s="82" t="s">
        <v>1</v>
      </c>
      <c r="F119" s="82" t="s">
        <v>546</v>
      </c>
      <c r="G119" s="82" t="s">
        <v>272</v>
      </c>
      <c r="H119" s="84" t="s">
        <v>4</v>
      </c>
      <c r="I119" s="82" t="s">
        <v>113</v>
      </c>
      <c r="J119" s="83" t="s">
        <v>556</v>
      </c>
      <c r="K119" s="31" t="s">
        <v>116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82">
        <f t="shared" si="10"/>
        <v>87</v>
      </c>
      <c r="B120" s="82" t="s">
        <v>560</v>
      </c>
      <c r="C120" s="83" t="s">
        <v>561</v>
      </c>
      <c r="D120" s="83" t="s">
        <v>562</v>
      </c>
      <c r="E120" s="82" t="s">
        <v>1</v>
      </c>
      <c r="F120" s="82" t="s">
        <v>546</v>
      </c>
      <c r="G120" s="82" t="s">
        <v>272</v>
      </c>
      <c r="H120" s="84" t="s">
        <v>4</v>
      </c>
      <c r="I120" s="82" t="s">
        <v>113</v>
      </c>
      <c r="J120" s="83" t="s">
        <v>556</v>
      </c>
      <c r="K120" s="31" t="s">
        <v>116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82">
        <f t="shared" si="10"/>
        <v>88</v>
      </c>
      <c r="B121" s="82" t="s">
        <v>563</v>
      </c>
      <c r="C121" s="83" t="s">
        <v>564</v>
      </c>
      <c r="D121" s="83" t="s">
        <v>565</v>
      </c>
      <c r="E121" s="82" t="s">
        <v>1</v>
      </c>
      <c r="F121" s="82" t="s">
        <v>546</v>
      </c>
      <c r="G121" s="82" t="s">
        <v>178</v>
      </c>
      <c r="H121" s="84" t="s">
        <v>4</v>
      </c>
      <c r="I121" s="82" t="s">
        <v>113</v>
      </c>
      <c r="J121" s="83" t="s">
        <v>566</v>
      </c>
      <c r="K121" s="31" t="s">
        <v>116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82">
        <f t="shared" si="10"/>
        <v>89</v>
      </c>
      <c r="B122" s="82" t="s">
        <v>567</v>
      </c>
      <c r="C122" s="83" t="s">
        <v>568</v>
      </c>
      <c r="D122" s="83" t="s">
        <v>569</v>
      </c>
      <c r="E122" s="82" t="s">
        <v>1</v>
      </c>
      <c r="F122" s="82" t="s">
        <v>546</v>
      </c>
      <c r="G122" s="82" t="s">
        <v>570</v>
      </c>
      <c r="H122" s="84" t="s">
        <v>4</v>
      </c>
      <c r="I122" s="82" t="s">
        <v>113</v>
      </c>
      <c r="J122" s="83" t="s">
        <v>571</v>
      </c>
      <c r="K122" s="31" t="s">
        <v>116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82">
        <f t="shared" si="10"/>
        <v>90</v>
      </c>
      <c r="B123" s="82" t="s">
        <v>572</v>
      </c>
      <c r="C123" s="83" t="s">
        <v>573</v>
      </c>
      <c r="D123" s="83" t="s">
        <v>574</v>
      </c>
      <c r="E123" s="82" t="s">
        <v>1</v>
      </c>
      <c r="F123" s="82" t="s">
        <v>546</v>
      </c>
      <c r="G123" s="82" t="s">
        <v>570</v>
      </c>
      <c r="H123" s="84" t="s">
        <v>4</v>
      </c>
      <c r="I123" s="82" t="s">
        <v>113</v>
      </c>
      <c r="J123" s="83" t="s">
        <v>571</v>
      </c>
      <c r="K123" s="31" t="s">
        <v>116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82">
        <f t="shared" si="10"/>
        <v>91</v>
      </c>
      <c r="B124" s="82" t="s">
        <v>575</v>
      </c>
      <c r="C124" s="83" t="s">
        <v>576</v>
      </c>
      <c r="D124" s="83" t="s">
        <v>577</v>
      </c>
      <c r="E124" s="82" t="s">
        <v>1</v>
      </c>
      <c r="F124" s="82" t="s">
        <v>546</v>
      </c>
      <c r="G124" s="82" t="s">
        <v>570</v>
      </c>
      <c r="H124" s="84" t="s">
        <v>4</v>
      </c>
      <c r="I124" s="82" t="s">
        <v>113</v>
      </c>
      <c r="J124" s="83" t="s">
        <v>571</v>
      </c>
      <c r="K124" s="31" t="s">
        <v>116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50"/>
      <c r="B125" s="7"/>
      <c r="C125" s="51"/>
      <c r="D125" s="51"/>
      <c r="E125" s="50"/>
      <c r="F125" s="50"/>
      <c r="G125" s="50"/>
      <c r="H125" s="52"/>
      <c r="I125" s="5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23" t="s">
        <v>70</v>
      </c>
      <c r="B126" s="53" t="s">
        <v>73</v>
      </c>
      <c r="C126" s="54" t="s">
        <v>74</v>
      </c>
      <c r="D126" s="54" t="s">
        <v>75</v>
      </c>
      <c r="E126" s="23" t="s">
        <v>76</v>
      </c>
      <c r="F126" s="23" t="s">
        <v>78</v>
      </c>
      <c r="G126" s="23" t="s">
        <v>79</v>
      </c>
      <c r="H126" s="25" t="s">
        <v>81</v>
      </c>
      <c r="I126" s="23" t="s">
        <v>84</v>
      </c>
      <c r="J126" s="53" t="s">
        <v>85</v>
      </c>
      <c r="K126" s="53" t="s">
        <v>86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29" t="s">
        <v>578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30">
        <f>A124+1</f>
        <v>92</v>
      </c>
      <c r="B128" s="31" t="s">
        <v>579</v>
      </c>
      <c r="C128" s="33" t="s">
        <v>580</v>
      </c>
      <c r="D128" s="33" t="s">
        <v>581</v>
      </c>
      <c r="E128" s="30" t="s">
        <v>12</v>
      </c>
      <c r="F128" s="30" t="s">
        <v>489</v>
      </c>
      <c r="G128" s="30" t="s">
        <v>13</v>
      </c>
      <c r="H128" s="34" t="s">
        <v>14</v>
      </c>
      <c r="I128" s="30" t="s">
        <v>3</v>
      </c>
      <c r="J128" s="31" t="s">
        <v>582</v>
      </c>
      <c r="K128" s="31" t="s">
        <v>116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30">
        <f t="shared" ref="A129:A131" si="11">A128+1</f>
        <v>93</v>
      </c>
      <c r="B129" s="31" t="s">
        <v>583</v>
      </c>
      <c r="C129" s="33" t="s">
        <v>584</v>
      </c>
      <c r="D129" s="33"/>
      <c r="E129" s="30" t="s">
        <v>12</v>
      </c>
      <c r="F129" s="30" t="s">
        <v>579</v>
      </c>
      <c r="G129" s="30" t="s">
        <v>13</v>
      </c>
      <c r="H129" s="34" t="s">
        <v>585</v>
      </c>
      <c r="I129" s="30" t="s">
        <v>113</v>
      </c>
      <c r="J129" s="91" t="s">
        <v>392</v>
      </c>
      <c r="K129" s="31" t="s">
        <v>116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30">
        <f t="shared" si="11"/>
        <v>94</v>
      </c>
      <c r="B130" s="31" t="s">
        <v>586</v>
      </c>
      <c r="C130" s="33" t="s">
        <v>587</v>
      </c>
      <c r="D130" s="33" t="s">
        <v>588</v>
      </c>
      <c r="E130" s="30" t="s">
        <v>1</v>
      </c>
      <c r="F130" s="30" t="s">
        <v>583</v>
      </c>
      <c r="G130" s="30" t="s">
        <v>505</v>
      </c>
      <c r="H130" s="34" t="s">
        <v>4</v>
      </c>
      <c r="I130" s="30" t="s">
        <v>113</v>
      </c>
      <c r="J130" s="31"/>
      <c r="K130" s="31" t="s">
        <v>116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30">
        <f t="shared" si="11"/>
        <v>95</v>
      </c>
      <c r="B131" s="31" t="s">
        <v>530</v>
      </c>
      <c r="C131" s="33" t="s">
        <v>589</v>
      </c>
      <c r="D131" s="33" t="s">
        <v>590</v>
      </c>
      <c r="E131" s="30" t="s">
        <v>1</v>
      </c>
      <c r="F131" s="30" t="s">
        <v>583</v>
      </c>
      <c r="G131" s="30" t="s">
        <v>362</v>
      </c>
      <c r="H131" s="34" t="s">
        <v>4</v>
      </c>
      <c r="I131" s="30" t="s">
        <v>113</v>
      </c>
      <c r="J131" s="31"/>
      <c r="K131" s="31" t="s">
        <v>116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50"/>
      <c r="B132" s="7"/>
      <c r="C132" s="51"/>
      <c r="D132" s="51"/>
      <c r="E132" s="50"/>
      <c r="F132" s="50"/>
      <c r="G132" s="50"/>
      <c r="H132" s="52"/>
      <c r="I132" s="5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23" t="s">
        <v>70</v>
      </c>
      <c r="B133" s="53" t="s">
        <v>73</v>
      </c>
      <c r="C133" s="54" t="s">
        <v>74</v>
      </c>
      <c r="D133" s="54" t="s">
        <v>75</v>
      </c>
      <c r="E133" s="23" t="s">
        <v>76</v>
      </c>
      <c r="F133" s="23" t="s">
        <v>78</v>
      </c>
      <c r="G133" s="23" t="s">
        <v>79</v>
      </c>
      <c r="H133" s="25" t="s">
        <v>81</v>
      </c>
      <c r="I133" s="23" t="s">
        <v>84</v>
      </c>
      <c r="J133" s="53" t="s">
        <v>85</v>
      </c>
      <c r="K133" s="53" t="s">
        <v>86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29" t="s">
        <v>591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30">
        <f>A131+1</f>
        <v>96</v>
      </c>
      <c r="B135" s="31" t="s">
        <v>592</v>
      </c>
      <c r="C135" s="33" t="s">
        <v>593</v>
      </c>
      <c r="D135" s="33" t="s">
        <v>594</v>
      </c>
      <c r="E135" s="30" t="s">
        <v>12</v>
      </c>
      <c r="F135" s="30" t="s">
        <v>489</v>
      </c>
      <c r="G135" s="30" t="s">
        <v>13</v>
      </c>
      <c r="H135" s="34" t="s">
        <v>14</v>
      </c>
      <c r="I135" s="30" t="s">
        <v>3</v>
      </c>
      <c r="J135" s="31" t="s">
        <v>582</v>
      </c>
      <c r="K135" s="31" t="s">
        <v>116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30">
        <f t="shared" ref="A136:A138" si="12">A135+1</f>
        <v>97</v>
      </c>
      <c r="B136" s="31" t="s">
        <v>595</v>
      </c>
      <c r="C136" s="33" t="s">
        <v>596</v>
      </c>
      <c r="D136" s="33"/>
      <c r="E136" s="30" t="s">
        <v>12</v>
      </c>
      <c r="F136" s="30" t="s">
        <v>592</v>
      </c>
      <c r="G136" s="30" t="s">
        <v>13</v>
      </c>
      <c r="H136" s="34" t="s">
        <v>585</v>
      </c>
      <c r="I136" s="30" t="s">
        <v>113</v>
      </c>
      <c r="J136" s="91" t="s">
        <v>392</v>
      </c>
      <c r="K136" s="31" t="s">
        <v>116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30">
        <f t="shared" si="12"/>
        <v>98</v>
      </c>
      <c r="B137" s="31" t="s">
        <v>597</v>
      </c>
      <c r="C137" s="33" t="s">
        <v>598</v>
      </c>
      <c r="D137" s="33" t="s">
        <v>588</v>
      </c>
      <c r="E137" s="30" t="s">
        <v>1</v>
      </c>
      <c r="F137" s="30" t="s">
        <v>595</v>
      </c>
      <c r="G137" s="30" t="s">
        <v>505</v>
      </c>
      <c r="H137" s="34" t="s">
        <v>4</v>
      </c>
      <c r="I137" s="30" t="s">
        <v>113</v>
      </c>
      <c r="J137" s="31"/>
      <c r="K137" s="31" t="s">
        <v>116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30">
        <f t="shared" si="12"/>
        <v>99</v>
      </c>
      <c r="B138" s="31" t="s">
        <v>599</v>
      </c>
      <c r="C138" s="33" t="s">
        <v>600</v>
      </c>
      <c r="D138" s="33" t="s">
        <v>590</v>
      </c>
      <c r="E138" s="30" t="s">
        <v>1</v>
      </c>
      <c r="F138" s="30" t="s">
        <v>595</v>
      </c>
      <c r="G138" s="30" t="s">
        <v>236</v>
      </c>
      <c r="H138" s="34" t="s">
        <v>4</v>
      </c>
      <c r="I138" s="30" t="s">
        <v>113</v>
      </c>
      <c r="J138" s="31"/>
      <c r="K138" s="31" t="s">
        <v>116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50"/>
      <c r="B139" s="7"/>
      <c r="C139" s="51"/>
      <c r="D139" s="51"/>
      <c r="E139" s="50"/>
      <c r="F139" s="50"/>
      <c r="G139" s="50"/>
      <c r="H139" s="52"/>
      <c r="I139" s="50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23" t="s">
        <v>70</v>
      </c>
      <c r="B140" s="53" t="s">
        <v>73</v>
      </c>
      <c r="C140" s="54" t="s">
        <v>74</v>
      </c>
      <c r="D140" s="54" t="s">
        <v>75</v>
      </c>
      <c r="E140" s="23" t="s">
        <v>76</v>
      </c>
      <c r="F140" s="23" t="s">
        <v>78</v>
      </c>
      <c r="G140" s="23" t="s">
        <v>79</v>
      </c>
      <c r="H140" s="25" t="s">
        <v>81</v>
      </c>
      <c r="I140" s="23" t="s">
        <v>84</v>
      </c>
      <c r="J140" s="53" t="s">
        <v>85</v>
      </c>
      <c r="K140" s="53" t="s">
        <v>86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29" t="s">
        <v>601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30">
        <f>A138+1</f>
        <v>100</v>
      </c>
      <c r="B142" s="31" t="s">
        <v>602</v>
      </c>
      <c r="C142" s="33" t="s">
        <v>603</v>
      </c>
      <c r="D142" s="33" t="s">
        <v>604</v>
      </c>
      <c r="E142" s="30" t="s">
        <v>12</v>
      </c>
      <c r="F142" s="82" t="s">
        <v>99</v>
      </c>
      <c r="G142" s="30" t="s">
        <v>13</v>
      </c>
      <c r="H142" s="34" t="s">
        <v>4</v>
      </c>
      <c r="I142" s="30" t="s">
        <v>113</v>
      </c>
      <c r="J142" s="33"/>
      <c r="K142" s="31" t="s">
        <v>116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30">
        <f t="shared" ref="A143:A149" si="13">A142+1</f>
        <v>101</v>
      </c>
      <c r="B143" s="31" t="s">
        <v>605</v>
      </c>
      <c r="C143" s="33" t="s">
        <v>606</v>
      </c>
      <c r="D143" s="33" t="s">
        <v>607</v>
      </c>
      <c r="E143" s="30" t="s">
        <v>1</v>
      </c>
      <c r="F143" s="30" t="s">
        <v>602</v>
      </c>
      <c r="G143" s="30" t="s">
        <v>408</v>
      </c>
      <c r="H143" s="34" t="s">
        <v>4</v>
      </c>
      <c r="I143" s="30" t="s">
        <v>113</v>
      </c>
      <c r="J143" s="31" t="s">
        <v>608</v>
      </c>
      <c r="K143" s="31" t="s">
        <v>116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30">
        <f t="shared" si="13"/>
        <v>102</v>
      </c>
      <c r="B144" s="31" t="s">
        <v>609</v>
      </c>
      <c r="C144" s="33" t="s">
        <v>610</v>
      </c>
      <c r="D144" s="33" t="s">
        <v>611</v>
      </c>
      <c r="E144" s="30" t="s">
        <v>1</v>
      </c>
      <c r="F144" s="30" t="s">
        <v>602</v>
      </c>
      <c r="G144" s="30" t="s">
        <v>408</v>
      </c>
      <c r="H144" s="34" t="s">
        <v>4</v>
      </c>
      <c r="I144" s="30" t="s">
        <v>113</v>
      </c>
      <c r="J144" s="31"/>
      <c r="K144" s="31" t="s">
        <v>116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30">
        <f t="shared" si="13"/>
        <v>103</v>
      </c>
      <c r="B145" s="31" t="s">
        <v>612</v>
      </c>
      <c r="C145" s="33" t="s">
        <v>613</v>
      </c>
      <c r="D145" s="33" t="s">
        <v>614</v>
      </c>
      <c r="E145" s="30" t="s">
        <v>1</v>
      </c>
      <c r="F145" s="30" t="s">
        <v>602</v>
      </c>
      <c r="G145" s="30" t="s">
        <v>408</v>
      </c>
      <c r="H145" s="34" t="s">
        <v>14</v>
      </c>
      <c r="I145" s="30" t="s">
        <v>3</v>
      </c>
      <c r="J145" s="31"/>
      <c r="K145" s="31" t="s">
        <v>139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30">
        <f t="shared" si="13"/>
        <v>104</v>
      </c>
      <c r="B146" s="31" t="s">
        <v>615</v>
      </c>
      <c r="C146" s="33" t="s">
        <v>616</v>
      </c>
      <c r="D146" s="33" t="s">
        <v>617</v>
      </c>
      <c r="E146" s="30" t="s">
        <v>1</v>
      </c>
      <c r="F146" s="30" t="s">
        <v>602</v>
      </c>
      <c r="G146" s="30" t="s">
        <v>236</v>
      </c>
      <c r="H146" s="34" t="s">
        <v>4</v>
      </c>
      <c r="I146" s="30" t="s">
        <v>113</v>
      </c>
      <c r="J146" s="33"/>
      <c r="K146" s="31" t="s">
        <v>116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30">
        <f t="shared" si="13"/>
        <v>105</v>
      </c>
      <c r="B147" s="31" t="s">
        <v>618</v>
      </c>
      <c r="C147" s="33" t="s">
        <v>619</v>
      </c>
      <c r="D147" s="33" t="s">
        <v>620</v>
      </c>
      <c r="E147" s="30" t="s">
        <v>1</v>
      </c>
      <c r="F147" s="30" t="s">
        <v>602</v>
      </c>
      <c r="G147" s="30" t="s">
        <v>236</v>
      </c>
      <c r="H147" s="34" t="s">
        <v>14</v>
      </c>
      <c r="I147" s="30" t="s">
        <v>3</v>
      </c>
      <c r="J147" s="33"/>
      <c r="K147" s="31" t="s">
        <v>116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72.75" customHeight="1">
      <c r="A148" s="30">
        <f t="shared" si="13"/>
        <v>106</v>
      </c>
      <c r="B148" s="31" t="s">
        <v>621</v>
      </c>
      <c r="C148" s="33" t="s">
        <v>622</v>
      </c>
      <c r="D148" s="33" t="s">
        <v>623</v>
      </c>
      <c r="E148" s="30" t="s">
        <v>1</v>
      </c>
      <c r="F148" s="30" t="s">
        <v>602</v>
      </c>
      <c r="G148" s="30" t="s">
        <v>283</v>
      </c>
      <c r="H148" s="34" t="s">
        <v>4</v>
      </c>
      <c r="I148" s="30" t="s">
        <v>113</v>
      </c>
      <c r="J148" s="33" t="s">
        <v>624</v>
      </c>
      <c r="K148" s="31" t="s">
        <v>116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72.75" customHeight="1">
      <c r="A149" s="64">
        <f t="shared" si="13"/>
        <v>107</v>
      </c>
      <c r="B149" s="65" t="s">
        <v>625</v>
      </c>
      <c r="C149" s="65" t="s">
        <v>626</v>
      </c>
      <c r="D149" s="65" t="s">
        <v>627</v>
      </c>
      <c r="E149" s="66" t="s">
        <v>1</v>
      </c>
      <c r="F149" s="66" t="s">
        <v>602</v>
      </c>
      <c r="G149" s="64" t="s">
        <v>628</v>
      </c>
      <c r="H149" s="66" t="s">
        <v>14</v>
      </c>
      <c r="I149" s="64" t="s">
        <v>3</v>
      </c>
      <c r="J149" s="65" t="s">
        <v>629</v>
      </c>
      <c r="K149" s="67" t="s">
        <v>384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92"/>
      <c r="B150" s="93"/>
      <c r="C150" s="94"/>
      <c r="D150" s="94"/>
      <c r="E150" s="92"/>
      <c r="F150" s="92"/>
      <c r="G150" s="92"/>
      <c r="H150" s="95"/>
      <c r="I150" s="92"/>
      <c r="J150" s="94"/>
      <c r="K150" s="93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23" t="s">
        <v>70</v>
      </c>
      <c r="B151" s="53" t="s">
        <v>73</v>
      </c>
      <c r="C151" s="54" t="s">
        <v>74</v>
      </c>
      <c r="D151" s="54" t="s">
        <v>75</v>
      </c>
      <c r="E151" s="23" t="s">
        <v>76</v>
      </c>
      <c r="F151" s="23" t="s">
        <v>78</v>
      </c>
      <c r="G151" s="23" t="s">
        <v>79</v>
      </c>
      <c r="H151" s="25" t="s">
        <v>81</v>
      </c>
      <c r="I151" s="23" t="s">
        <v>84</v>
      </c>
      <c r="J151" s="53" t="s">
        <v>85</v>
      </c>
      <c r="K151" s="53" t="s">
        <v>86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29" t="s">
        <v>630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30">
        <f>A149+1</f>
        <v>108</v>
      </c>
      <c r="B153" s="31" t="s">
        <v>631</v>
      </c>
      <c r="C153" s="33" t="s">
        <v>632</v>
      </c>
      <c r="D153" s="33" t="s">
        <v>633</v>
      </c>
      <c r="E153" s="30" t="s">
        <v>12</v>
      </c>
      <c r="F153" s="30" t="s">
        <v>602</v>
      </c>
      <c r="G153" s="30" t="s">
        <v>13</v>
      </c>
      <c r="H153" s="34" t="s">
        <v>4</v>
      </c>
      <c r="I153" s="30" t="s">
        <v>113</v>
      </c>
      <c r="J153" s="33"/>
      <c r="K153" s="31" t="s">
        <v>116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30">
        <f t="shared" ref="A154:A162" si="14">A153+1</f>
        <v>109</v>
      </c>
      <c r="B154" s="31" t="s">
        <v>634</v>
      </c>
      <c r="C154" s="33" t="s">
        <v>635</v>
      </c>
      <c r="D154" s="33" t="s">
        <v>439</v>
      </c>
      <c r="E154" s="30" t="s">
        <v>1</v>
      </c>
      <c r="F154" s="30" t="s">
        <v>631</v>
      </c>
      <c r="G154" s="30" t="s">
        <v>236</v>
      </c>
      <c r="H154" s="34" t="s">
        <v>4</v>
      </c>
      <c r="I154" s="30" t="s">
        <v>113</v>
      </c>
      <c r="J154" s="33"/>
      <c r="K154" s="31" t="s">
        <v>116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30">
        <f t="shared" si="14"/>
        <v>110</v>
      </c>
      <c r="B155" s="31" t="s">
        <v>636</v>
      </c>
      <c r="C155" s="33" t="s">
        <v>637</v>
      </c>
      <c r="D155" s="33" t="s">
        <v>443</v>
      </c>
      <c r="E155" s="30" t="s">
        <v>1</v>
      </c>
      <c r="F155" s="30" t="s">
        <v>631</v>
      </c>
      <c r="G155" s="30" t="s">
        <v>236</v>
      </c>
      <c r="H155" s="34" t="s">
        <v>4</v>
      </c>
      <c r="I155" s="30" t="s">
        <v>113</v>
      </c>
      <c r="J155" s="33"/>
      <c r="K155" s="31" t="s">
        <v>116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30">
        <f t="shared" si="14"/>
        <v>111</v>
      </c>
      <c r="B156" s="31" t="s">
        <v>638</v>
      </c>
      <c r="C156" s="33" t="s">
        <v>639</v>
      </c>
      <c r="D156" s="33" t="s">
        <v>446</v>
      </c>
      <c r="E156" s="30" t="s">
        <v>1</v>
      </c>
      <c r="F156" s="30" t="s">
        <v>631</v>
      </c>
      <c r="G156" s="30" t="s">
        <v>236</v>
      </c>
      <c r="H156" s="34" t="s">
        <v>14</v>
      </c>
      <c r="I156" s="30" t="s">
        <v>3</v>
      </c>
      <c r="J156" s="33"/>
      <c r="K156" s="31" t="s">
        <v>116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30">
        <f t="shared" si="14"/>
        <v>112</v>
      </c>
      <c r="B157" s="31" t="s">
        <v>640</v>
      </c>
      <c r="C157" s="33" t="s">
        <v>641</v>
      </c>
      <c r="D157" s="33" t="s">
        <v>449</v>
      </c>
      <c r="E157" s="30" t="s">
        <v>1</v>
      </c>
      <c r="F157" s="30" t="s">
        <v>631</v>
      </c>
      <c r="G157" s="30" t="s">
        <v>236</v>
      </c>
      <c r="H157" s="34" t="s">
        <v>4</v>
      </c>
      <c r="I157" s="30" t="s">
        <v>113</v>
      </c>
      <c r="J157" s="33"/>
      <c r="K157" s="31" t="s">
        <v>116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30">
        <f t="shared" si="14"/>
        <v>113</v>
      </c>
      <c r="B158" s="31" t="s">
        <v>642</v>
      </c>
      <c r="C158" s="33" t="s">
        <v>643</v>
      </c>
      <c r="D158" s="33" t="s">
        <v>452</v>
      </c>
      <c r="E158" s="30" t="s">
        <v>1</v>
      </c>
      <c r="F158" s="30" t="s">
        <v>631</v>
      </c>
      <c r="G158" s="30" t="s">
        <v>317</v>
      </c>
      <c r="H158" s="34" t="s">
        <v>4</v>
      </c>
      <c r="I158" s="30" t="s">
        <v>113</v>
      </c>
      <c r="J158" s="57" t="s">
        <v>220</v>
      </c>
      <c r="K158" s="31" t="s">
        <v>116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30">
        <f t="shared" si="14"/>
        <v>114</v>
      </c>
      <c r="B159" s="31" t="s">
        <v>644</v>
      </c>
      <c r="C159" s="33" t="s">
        <v>645</v>
      </c>
      <c r="D159" s="33" t="s">
        <v>456</v>
      </c>
      <c r="E159" s="30" t="s">
        <v>1</v>
      </c>
      <c r="F159" s="30" t="s">
        <v>631</v>
      </c>
      <c r="G159" s="30" t="s">
        <v>236</v>
      </c>
      <c r="H159" s="34" t="s">
        <v>4</v>
      </c>
      <c r="I159" s="30" t="s">
        <v>113</v>
      </c>
      <c r="J159" s="33"/>
      <c r="K159" s="31" t="s">
        <v>116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30">
        <f t="shared" si="14"/>
        <v>115</v>
      </c>
      <c r="B160" s="31" t="s">
        <v>646</v>
      </c>
      <c r="C160" s="33" t="s">
        <v>460</v>
      </c>
      <c r="D160" s="33" t="s">
        <v>460</v>
      </c>
      <c r="E160" s="30" t="s">
        <v>1</v>
      </c>
      <c r="F160" s="30" t="s">
        <v>631</v>
      </c>
      <c r="G160" s="30" t="s">
        <v>461</v>
      </c>
      <c r="H160" s="34" t="s">
        <v>14</v>
      </c>
      <c r="I160" s="30" t="s">
        <v>3</v>
      </c>
      <c r="J160" s="33" t="s">
        <v>608</v>
      </c>
      <c r="K160" s="31" t="s">
        <v>116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30">
        <f t="shared" si="14"/>
        <v>116</v>
      </c>
      <c r="B161" s="31" t="s">
        <v>647</v>
      </c>
      <c r="C161" s="33" t="s">
        <v>89</v>
      </c>
      <c r="D161" s="33" t="s">
        <v>464</v>
      </c>
      <c r="E161" s="30" t="s">
        <v>1</v>
      </c>
      <c r="F161" s="30" t="s">
        <v>631</v>
      </c>
      <c r="G161" s="30" t="s">
        <v>250</v>
      </c>
      <c r="H161" s="34" t="s">
        <v>4</v>
      </c>
      <c r="I161" s="30" t="s">
        <v>113</v>
      </c>
      <c r="J161" s="33"/>
      <c r="K161" s="31" t="s">
        <v>116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30">
        <f t="shared" si="14"/>
        <v>117</v>
      </c>
      <c r="B162" s="31" t="s">
        <v>648</v>
      </c>
      <c r="C162" s="33" t="s">
        <v>649</v>
      </c>
      <c r="D162" s="33" t="s">
        <v>429</v>
      </c>
      <c r="E162" s="30" t="s">
        <v>1</v>
      </c>
      <c r="F162" s="30" t="s">
        <v>631</v>
      </c>
      <c r="G162" s="30" t="s">
        <v>430</v>
      </c>
      <c r="H162" s="34" t="s">
        <v>14</v>
      </c>
      <c r="I162" s="30" t="s">
        <v>3</v>
      </c>
      <c r="J162" s="33"/>
      <c r="K162" s="31" t="s">
        <v>116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50"/>
      <c r="B163" s="7"/>
      <c r="C163" s="51"/>
      <c r="D163" s="51"/>
      <c r="E163" s="50"/>
      <c r="F163" s="50"/>
      <c r="G163" s="50"/>
      <c r="H163" s="52"/>
      <c r="I163" s="50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23" t="s">
        <v>70</v>
      </c>
      <c r="B164" s="53" t="s">
        <v>73</v>
      </c>
      <c r="C164" s="54" t="s">
        <v>74</v>
      </c>
      <c r="D164" s="54" t="s">
        <v>75</v>
      </c>
      <c r="E164" s="23" t="s">
        <v>76</v>
      </c>
      <c r="F164" s="23" t="s">
        <v>78</v>
      </c>
      <c r="G164" s="23" t="s">
        <v>79</v>
      </c>
      <c r="H164" s="25" t="s">
        <v>81</v>
      </c>
      <c r="I164" s="23" t="s">
        <v>84</v>
      </c>
      <c r="J164" s="53" t="s">
        <v>85</v>
      </c>
      <c r="K164" s="53" t="s">
        <v>86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29" t="s">
        <v>650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3.5" customHeight="1">
      <c r="A166" s="30">
        <f>A162+1</f>
        <v>118</v>
      </c>
      <c r="B166" s="31" t="s">
        <v>651</v>
      </c>
      <c r="C166" s="33" t="s">
        <v>652</v>
      </c>
      <c r="D166" s="33" t="s">
        <v>653</v>
      </c>
      <c r="E166" s="30" t="s">
        <v>12</v>
      </c>
      <c r="F166" s="30" t="s">
        <v>99</v>
      </c>
      <c r="G166" s="30" t="s">
        <v>13</v>
      </c>
      <c r="H166" s="34" t="s">
        <v>14</v>
      </c>
      <c r="I166" s="30" t="s">
        <v>3</v>
      </c>
      <c r="J166" s="33" t="s">
        <v>654</v>
      </c>
      <c r="K166" s="31" t="s">
        <v>116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30">
        <f t="shared" ref="A167:A173" si="15">A166+1</f>
        <v>119</v>
      </c>
      <c r="B167" s="31" t="s">
        <v>655</v>
      </c>
      <c r="C167" s="33" t="s">
        <v>656</v>
      </c>
      <c r="D167" s="33" t="s">
        <v>406</v>
      </c>
      <c r="E167" s="30" t="s">
        <v>407</v>
      </c>
      <c r="F167" s="30" t="s">
        <v>651</v>
      </c>
      <c r="G167" s="30" t="s">
        <v>408</v>
      </c>
      <c r="H167" s="34" t="s">
        <v>4</v>
      </c>
      <c r="I167" s="30" t="s">
        <v>113</v>
      </c>
      <c r="J167" s="33" t="s">
        <v>657</v>
      </c>
      <c r="K167" s="31" t="s">
        <v>116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30">
        <f t="shared" si="15"/>
        <v>120</v>
      </c>
      <c r="B168" s="31" t="s">
        <v>658</v>
      </c>
      <c r="C168" s="33" t="s">
        <v>659</v>
      </c>
      <c r="D168" s="33" t="s">
        <v>412</v>
      </c>
      <c r="E168" s="30" t="s">
        <v>407</v>
      </c>
      <c r="F168" s="30" t="s">
        <v>651</v>
      </c>
      <c r="G168" s="30" t="s">
        <v>413</v>
      </c>
      <c r="H168" s="34" t="s">
        <v>4</v>
      </c>
      <c r="I168" s="30" t="s">
        <v>113</v>
      </c>
      <c r="J168" s="96" t="s">
        <v>660</v>
      </c>
      <c r="K168" s="31" t="s">
        <v>116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30">
        <f t="shared" si="15"/>
        <v>121</v>
      </c>
      <c r="B169" s="31" t="s">
        <v>661</v>
      </c>
      <c r="C169" s="33" t="s">
        <v>662</v>
      </c>
      <c r="D169" s="33" t="s">
        <v>417</v>
      </c>
      <c r="E169" s="30" t="s">
        <v>1</v>
      </c>
      <c r="F169" s="30" t="s">
        <v>651</v>
      </c>
      <c r="G169" s="30" t="s">
        <v>418</v>
      </c>
      <c r="H169" s="34" t="s">
        <v>4</v>
      </c>
      <c r="I169" s="30" t="s">
        <v>113</v>
      </c>
      <c r="J169" s="33" t="s">
        <v>663</v>
      </c>
      <c r="K169" s="31" t="s">
        <v>116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30">
        <f t="shared" si="15"/>
        <v>122</v>
      </c>
      <c r="B170" s="31" t="s">
        <v>664</v>
      </c>
      <c r="C170" s="33" t="s">
        <v>665</v>
      </c>
      <c r="D170" s="33" t="s">
        <v>666</v>
      </c>
      <c r="E170" s="30" t="s">
        <v>1</v>
      </c>
      <c r="F170" s="30" t="s">
        <v>651</v>
      </c>
      <c r="G170" s="30" t="s">
        <v>236</v>
      </c>
      <c r="H170" s="34" t="s">
        <v>4</v>
      </c>
      <c r="I170" s="30" t="s">
        <v>113</v>
      </c>
      <c r="J170" s="33"/>
      <c r="K170" s="31" t="s">
        <v>116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30">
        <f t="shared" si="15"/>
        <v>123</v>
      </c>
      <c r="B171" s="31" t="s">
        <v>667</v>
      </c>
      <c r="C171" s="33" t="s">
        <v>668</v>
      </c>
      <c r="D171" s="33" t="s">
        <v>620</v>
      </c>
      <c r="E171" s="30" t="s">
        <v>1</v>
      </c>
      <c r="F171" s="30" t="s">
        <v>651</v>
      </c>
      <c r="G171" s="30" t="s">
        <v>236</v>
      </c>
      <c r="H171" s="34" t="s">
        <v>14</v>
      </c>
      <c r="I171" s="30" t="s">
        <v>3</v>
      </c>
      <c r="J171" s="33"/>
      <c r="K171" s="31" t="s">
        <v>116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30">
        <f t="shared" si="15"/>
        <v>124</v>
      </c>
      <c r="B172" s="31" t="s">
        <v>669</v>
      </c>
      <c r="C172" s="33" t="s">
        <v>670</v>
      </c>
      <c r="D172" s="33" t="s">
        <v>429</v>
      </c>
      <c r="E172" s="30" t="s">
        <v>1</v>
      </c>
      <c r="F172" s="30" t="s">
        <v>651</v>
      </c>
      <c r="G172" s="30" t="s">
        <v>430</v>
      </c>
      <c r="H172" s="34" t="s">
        <v>14</v>
      </c>
      <c r="I172" s="30" t="s">
        <v>3</v>
      </c>
      <c r="J172" s="33"/>
      <c r="K172" s="31" t="s">
        <v>116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30">
        <f t="shared" si="15"/>
        <v>125</v>
      </c>
      <c r="B173" s="31" t="s">
        <v>671</v>
      </c>
      <c r="C173" s="33" t="s">
        <v>672</v>
      </c>
      <c r="D173" s="33" t="s">
        <v>433</v>
      </c>
      <c r="E173" s="30" t="s">
        <v>1</v>
      </c>
      <c r="F173" s="30" t="s">
        <v>651</v>
      </c>
      <c r="G173" s="30" t="s">
        <v>236</v>
      </c>
      <c r="H173" s="34" t="s">
        <v>14</v>
      </c>
      <c r="I173" s="30" t="s">
        <v>3</v>
      </c>
      <c r="J173" s="33"/>
      <c r="K173" s="31" t="s">
        <v>116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50"/>
      <c r="B174" s="7"/>
      <c r="C174" s="51"/>
      <c r="D174" s="51"/>
      <c r="E174" s="50"/>
      <c r="F174" s="50"/>
      <c r="G174" s="50"/>
      <c r="H174" s="52"/>
      <c r="I174" s="50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23" t="s">
        <v>70</v>
      </c>
      <c r="B175" s="53" t="s">
        <v>73</v>
      </c>
      <c r="C175" s="54" t="s">
        <v>74</v>
      </c>
      <c r="D175" s="54" t="s">
        <v>75</v>
      </c>
      <c r="E175" s="23" t="s">
        <v>76</v>
      </c>
      <c r="F175" s="23" t="s">
        <v>78</v>
      </c>
      <c r="G175" s="23" t="s">
        <v>79</v>
      </c>
      <c r="H175" s="25" t="s">
        <v>81</v>
      </c>
      <c r="I175" s="23" t="s">
        <v>84</v>
      </c>
      <c r="J175" s="53" t="s">
        <v>85</v>
      </c>
      <c r="K175" s="53" t="s">
        <v>86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29" t="s">
        <v>673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30">
        <f>A173+1</f>
        <v>126</v>
      </c>
      <c r="B177" s="31" t="s">
        <v>674</v>
      </c>
      <c r="C177" s="33" t="s">
        <v>675</v>
      </c>
      <c r="D177" s="33" t="s">
        <v>676</v>
      </c>
      <c r="E177" s="30" t="s">
        <v>12</v>
      </c>
      <c r="F177" s="30" t="s">
        <v>651</v>
      </c>
      <c r="G177" s="30" t="s">
        <v>13</v>
      </c>
      <c r="H177" s="34" t="s">
        <v>4</v>
      </c>
      <c r="I177" s="30" t="s">
        <v>113</v>
      </c>
      <c r="J177" s="31"/>
      <c r="K177" s="31" t="s">
        <v>116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30">
        <f t="shared" ref="A178:A187" si="16">A177+1</f>
        <v>127</v>
      </c>
      <c r="B178" s="31" t="s">
        <v>677</v>
      </c>
      <c r="C178" s="33" t="s">
        <v>678</v>
      </c>
      <c r="D178" s="33" t="s">
        <v>439</v>
      </c>
      <c r="E178" s="30" t="s">
        <v>1</v>
      </c>
      <c r="F178" s="30" t="s">
        <v>674</v>
      </c>
      <c r="G178" s="30" t="s">
        <v>440</v>
      </c>
      <c r="H178" s="34" t="s">
        <v>4</v>
      </c>
      <c r="I178" s="30" t="s">
        <v>113</v>
      </c>
      <c r="J178" s="31"/>
      <c r="K178" s="31" t="s">
        <v>116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30">
        <f t="shared" si="16"/>
        <v>128</v>
      </c>
      <c r="B179" s="31" t="s">
        <v>679</v>
      </c>
      <c r="C179" s="33" t="s">
        <v>680</v>
      </c>
      <c r="D179" s="33" t="s">
        <v>443</v>
      </c>
      <c r="E179" s="30" t="s">
        <v>1</v>
      </c>
      <c r="F179" s="30" t="s">
        <v>674</v>
      </c>
      <c r="G179" s="30" t="s">
        <v>236</v>
      </c>
      <c r="H179" s="34" t="s">
        <v>4</v>
      </c>
      <c r="I179" s="30" t="s">
        <v>113</v>
      </c>
      <c r="J179" s="31"/>
      <c r="K179" s="31" t="s">
        <v>116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30">
        <f t="shared" si="16"/>
        <v>129</v>
      </c>
      <c r="B180" s="31" t="s">
        <v>681</v>
      </c>
      <c r="C180" s="33" t="s">
        <v>682</v>
      </c>
      <c r="D180" s="33" t="s">
        <v>446</v>
      </c>
      <c r="E180" s="30" t="s">
        <v>1</v>
      </c>
      <c r="F180" s="30" t="s">
        <v>674</v>
      </c>
      <c r="G180" s="30" t="s">
        <v>236</v>
      </c>
      <c r="H180" s="34" t="s">
        <v>14</v>
      </c>
      <c r="I180" s="30" t="s">
        <v>3</v>
      </c>
      <c r="J180" s="31"/>
      <c r="K180" s="31" t="s">
        <v>116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30">
        <f t="shared" si="16"/>
        <v>130</v>
      </c>
      <c r="B181" s="31" t="s">
        <v>683</v>
      </c>
      <c r="C181" s="33" t="s">
        <v>684</v>
      </c>
      <c r="D181" s="33" t="s">
        <v>449</v>
      </c>
      <c r="E181" s="30" t="s">
        <v>1</v>
      </c>
      <c r="F181" s="30" t="s">
        <v>674</v>
      </c>
      <c r="G181" s="30" t="s">
        <v>236</v>
      </c>
      <c r="H181" s="34" t="s">
        <v>4</v>
      </c>
      <c r="I181" s="30" t="s">
        <v>113</v>
      </c>
      <c r="J181" s="33"/>
      <c r="K181" s="31" t="s">
        <v>116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30">
        <f t="shared" si="16"/>
        <v>131</v>
      </c>
      <c r="B182" s="31" t="s">
        <v>685</v>
      </c>
      <c r="C182" s="33" t="s">
        <v>686</v>
      </c>
      <c r="D182" s="33" t="s">
        <v>452</v>
      </c>
      <c r="E182" s="30" t="s">
        <v>1</v>
      </c>
      <c r="F182" s="30" t="s">
        <v>674</v>
      </c>
      <c r="G182" s="30" t="s">
        <v>317</v>
      </c>
      <c r="H182" s="34" t="s">
        <v>4</v>
      </c>
      <c r="I182" s="30" t="s">
        <v>113</v>
      </c>
      <c r="J182" s="57" t="s">
        <v>318</v>
      </c>
      <c r="K182" s="31" t="s">
        <v>116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30">
        <f t="shared" si="16"/>
        <v>132</v>
      </c>
      <c r="B183" s="31" t="s">
        <v>687</v>
      </c>
      <c r="C183" s="33" t="s">
        <v>688</v>
      </c>
      <c r="D183" s="33" t="s">
        <v>456</v>
      </c>
      <c r="E183" s="30" t="s">
        <v>1</v>
      </c>
      <c r="F183" s="30" t="s">
        <v>674</v>
      </c>
      <c r="G183" s="30" t="s">
        <v>236</v>
      </c>
      <c r="H183" s="34" t="s">
        <v>4</v>
      </c>
      <c r="I183" s="30" t="s">
        <v>113</v>
      </c>
      <c r="J183" s="31" t="s">
        <v>689</v>
      </c>
      <c r="K183" s="31" t="s">
        <v>116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30">
        <f t="shared" si="16"/>
        <v>133</v>
      </c>
      <c r="B184" s="31" t="s">
        <v>690</v>
      </c>
      <c r="C184" s="33" t="s">
        <v>691</v>
      </c>
      <c r="D184" s="33" t="s">
        <v>460</v>
      </c>
      <c r="E184" s="30" t="s">
        <v>1</v>
      </c>
      <c r="F184" s="30" t="s">
        <v>674</v>
      </c>
      <c r="G184" s="30" t="s">
        <v>461</v>
      </c>
      <c r="H184" s="34" t="s">
        <v>14</v>
      </c>
      <c r="I184" s="30" t="s">
        <v>3</v>
      </c>
      <c r="J184" s="31" t="s">
        <v>692</v>
      </c>
      <c r="K184" s="31" t="s">
        <v>116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30">
        <f t="shared" si="16"/>
        <v>134</v>
      </c>
      <c r="B185" s="31" t="s">
        <v>693</v>
      </c>
      <c r="C185" s="33" t="s">
        <v>694</v>
      </c>
      <c r="D185" s="33" t="s">
        <v>464</v>
      </c>
      <c r="E185" s="30" t="s">
        <v>1</v>
      </c>
      <c r="F185" s="30" t="s">
        <v>674</v>
      </c>
      <c r="G185" s="30" t="s">
        <v>250</v>
      </c>
      <c r="H185" s="34" t="s">
        <v>4</v>
      </c>
      <c r="I185" s="30" t="s">
        <v>113</v>
      </c>
      <c r="J185" s="31" t="s">
        <v>695</v>
      </c>
      <c r="K185" s="31" t="s">
        <v>116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30">
        <f t="shared" si="16"/>
        <v>135</v>
      </c>
      <c r="B186" s="31" t="s">
        <v>696</v>
      </c>
      <c r="C186" s="33" t="s">
        <v>697</v>
      </c>
      <c r="D186" s="33" t="s">
        <v>468</v>
      </c>
      <c r="E186" s="30" t="s">
        <v>1</v>
      </c>
      <c r="F186" s="30" t="s">
        <v>674</v>
      </c>
      <c r="G186" s="30" t="s">
        <v>469</v>
      </c>
      <c r="H186" s="34" t="s">
        <v>14</v>
      </c>
      <c r="I186" s="30" t="s">
        <v>3</v>
      </c>
      <c r="J186" s="31" t="s">
        <v>698</v>
      </c>
      <c r="K186" s="31" t="s">
        <v>116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30">
        <f t="shared" si="16"/>
        <v>136</v>
      </c>
      <c r="B187" s="31" t="s">
        <v>699</v>
      </c>
      <c r="C187" s="33" t="s">
        <v>700</v>
      </c>
      <c r="D187" s="33" t="s">
        <v>473</v>
      </c>
      <c r="E187" s="30" t="s">
        <v>1</v>
      </c>
      <c r="F187" s="30" t="s">
        <v>674</v>
      </c>
      <c r="G187" s="30" t="s">
        <v>236</v>
      </c>
      <c r="H187" s="34" t="s">
        <v>14</v>
      </c>
      <c r="I187" s="30" t="s">
        <v>3</v>
      </c>
      <c r="J187" s="31"/>
      <c r="K187" s="31" t="s">
        <v>116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50"/>
      <c r="B188" s="7"/>
      <c r="C188" s="51"/>
      <c r="D188" s="51"/>
      <c r="E188" s="50"/>
      <c r="F188" s="50"/>
      <c r="G188" s="50"/>
      <c r="H188" s="52"/>
      <c r="I188" s="50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23" t="s">
        <v>70</v>
      </c>
      <c r="B189" s="53" t="s">
        <v>73</v>
      </c>
      <c r="C189" s="54" t="s">
        <v>74</v>
      </c>
      <c r="D189" s="54" t="s">
        <v>75</v>
      </c>
      <c r="E189" s="23" t="s">
        <v>76</v>
      </c>
      <c r="F189" s="23" t="s">
        <v>78</v>
      </c>
      <c r="G189" s="23" t="s">
        <v>79</v>
      </c>
      <c r="H189" s="25" t="s">
        <v>81</v>
      </c>
      <c r="I189" s="23" t="s">
        <v>84</v>
      </c>
      <c r="J189" s="53" t="s">
        <v>85</v>
      </c>
      <c r="K189" s="53" t="s">
        <v>86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29" t="s">
        <v>701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30">
        <f>A187+1</f>
        <v>137</v>
      </c>
      <c r="B191" s="31" t="s">
        <v>702</v>
      </c>
      <c r="C191" s="33" t="s">
        <v>703</v>
      </c>
      <c r="D191" s="33" t="s">
        <v>704</v>
      </c>
      <c r="E191" s="30" t="s">
        <v>12</v>
      </c>
      <c r="F191" s="30" t="s">
        <v>99</v>
      </c>
      <c r="G191" s="30" t="s">
        <v>13</v>
      </c>
      <c r="H191" s="34" t="s">
        <v>14</v>
      </c>
      <c r="I191" s="30" t="s">
        <v>3</v>
      </c>
      <c r="J191" s="31"/>
      <c r="K191" s="31" t="s">
        <v>116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39.75" customHeight="1">
      <c r="A192" s="30">
        <f t="shared" ref="A192:A197" si="17">A191+1</f>
        <v>138</v>
      </c>
      <c r="B192" s="31" t="s">
        <v>705</v>
      </c>
      <c r="C192" s="33" t="s">
        <v>706</v>
      </c>
      <c r="D192" s="33" t="s">
        <v>406</v>
      </c>
      <c r="E192" s="30" t="s">
        <v>407</v>
      </c>
      <c r="F192" s="30" t="s">
        <v>702</v>
      </c>
      <c r="G192" s="30" t="s">
        <v>408</v>
      </c>
      <c r="H192" s="34" t="s">
        <v>4</v>
      </c>
      <c r="I192" s="30" t="s">
        <v>113</v>
      </c>
      <c r="J192" s="33" t="s">
        <v>657</v>
      </c>
      <c r="K192" s="31" t="s">
        <v>116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30">
        <f t="shared" si="17"/>
        <v>139</v>
      </c>
      <c r="B193" s="31" t="s">
        <v>707</v>
      </c>
      <c r="C193" s="33" t="s">
        <v>708</v>
      </c>
      <c r="D193" s="33" t="s">
        <v>412</v>
      </c>
      <c r="E193" s="30" t="s">
        <v>407</v>
      </c>
      <c r="F193" s="30" t="s">
        <v>702</v>
      </c>
      <c r="G193" s="30" t="s">
        <v>413</v>
      </c>
      <c r="H193" s="34" t="s">
        <v>4</v>
      </c>
      <c r="I193" s="30" t="s">
        <v>113</v>
      </c>
      <c r="J193" s="31" t="s">
        <v>692</v>
      </c>
      <c r="K193" s="31" t="s">
        <v>116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30">
        <f t="shared" si="17"/>
        <v>140</v>
      </c>
      <c r="B194" s="31" t="s">
        <v>709</v>
      </c>
      <c r="C194" s="33" t="s">
        <v>710</v>
      </c>
      <c r="D194" s="33" t="s">
        <v>417</v>
      </c>
      <c r="E194" s="30" t="s">
        <v>1</v>
      </c>
      <c r="F194" s="30" t="s">
        <v>702</v>
      </c>
      <c r="G194" s="30" t="s">
        <v>418</v>
      </c>
      <c r="H194" s="34" t="s">
        <v>4</v>
      </c>
      <c r="I194" s="30" t="s">
        <v>113</v>
      </c>
      <c r="J194" s="33" t="s">
        <v>711</v>
      </c>
      <c r="K194" s="31" t="s">
        <v>116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30">
        <f t="shared" si="17"/>
        <v>141</v>
      </c>
      <c r="B195" s="31" t="s">
        <v>712</v>
      </c>
      <c r="C195" s="33" t="s">
        <v>713</v>
      </c>
      <c r="D195" s="33" t="s">
        <v>422</v>
      </c>
      <c r="E195" s="30" t="s">
        <v>1</v>
      </c>
      <c r="F195" s="30" t="s">
        <v>702</v>
      </c>
      <c r="G195" s="30" t="s">
        <v>236</v>
      </c>
      <c r="H195" s="34" t="s">
        <v>4</v>
      </c>
      <c r="I195" s="30" t="s">
        <v>113</v>
      </c>
      <c r="J195" s="31"/>
      <c r="K195" s="31" t="s">
        <v>116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30">
        <f t="shared" si="17"/>
        <v>142</v>
      </c>
      <c r="B196" s="31" t="s">
        <v>714</v>
      </c>
      <c r="C196" s="33" t="s">
        <v>715</v>
      </c>
      <c r="D196" s="33" t="s">
        <v>429</v>
      </c>
      <c r="E196" s="30" t="s">
        <v>1</v>
      </c>
      <c r="F196" s="30" t="s">
        <v>702</v>
      </c>
      <c r="G196" s="30" t="s">
        <v>430</v>
      </c>
      <c r="H196" s="34" t="s">
        <v>14</v>
      </c>
      <c r="I196" s="30" t="s">
        <v>3</v>
      </c>
      <c r="J196" s="31"/>
      <c r="K196" s="31" t="s">
        <v>116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30">
        <f t="shared" si="17"/>
        <v>143</v>
      </c>
      <c r="B197" s="31" t="s">
        <v>716</v>
      </c>
      <c r="C197" s="33" t="s">
        <v>717</v>
      </c>
      <c r="D197" s="33" t="s">
        <v>433</v>
      </c>
      <c r="E197" s="30" t="s">
        <v>1</v>
      </c>
      <c r="F197" s="30" t="s">
        <v>702</v>
      </c>
      <c r="G197" s="30" t="s">
        <v>236</v>
      </c>
      <c r="H197" s="34" t="s">
        <v>14</v>
      </c>
      <c r="I197" s="30" t="s">
        <v>3</v>
      </c>
      <c r="J197" s="31"/>
      <c r="K197" s="31" t="s">
        <v>116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50"/>
      <c r="B198" s="7"/>
      <c r="C198" s="51"/>
      <c r="D198" s="51"/>
      <c r="E198" s="50"/>
      <c r="F198" s="50"/>
      <c r="G198" s="50"/>
      <c r="H198" s="52"/>
      <c r="I198" s="50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23" t="s">
        <v>70</v>
      </c>
      <c r="B199" s="53" t="s">
        <v>73</v>
      </c>
      <c r="C199" s="54" t="s">
        <v>74</v>
      </c>
      <c r="D199" s="54" t="s">
        <v>75</v>
      </c>
      <c r="E199" s="23" t="s">
        <v>76</v>
      </c>
      <c r="F199" s="23" t="s">
        <v>78</v>
      </c>
      <c r="G199" s="23" t="s">
        <v>79</v>
      </c>
      <c r="H199" s="25" t="s">
        <v>81</v>
      </c>
      <c r="I199" s="23" t="s">
        <v>84</v>
      </c>
      <c r="J199" s="53" t="s">
        <v>85</v>
      </c>
      <c r="K199" s="53" t="s">
        <v>86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29" t="s">
        <v>718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6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30">
        <f>A197+1</f>
        <v>144</v>
      </c>
      <c r="B201" s="31" t="s">
        <v>719</v>
      </c>
      <c r="C201" s="33" t="s">
        <v>720</v>
      </c>
      <c r="D201" s="33" t="s">
        <v>721</v>
      </c>
      <c r="E201" s="30" t="s">
        <v>12</v>
      </c>
      <c r="F201" s="30" t="s">
        <v>702</v>
      </c>
      <c r="G201" s="30" t="s">
        <v>13</v>
      </c>
      <c r="H201" s="34" t="s">
        <v>4</v>
      </c>
      <c r="I201" s="30" t="s">
        <v>113</v>
      </c>
      <c r="J201" s="31"/>
      <c r="K201" s="31" t="s">
        <v>116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30">
        <f t="shared" ref="A202:A211" si="18">A201+1</f>
        <v>145</v>
      </c>
      <c r="B202" s="31" t="s">
        <v>722</v>
      </c>
      <c r="C202" s="33" t="s">
        <v>723</v>
      </c>
      <c r="D202" s="33" t="s">
        <v>439</v>
      </c>
      <c r="E202" s="30" t="s">
        <v>1</v>
      </c>
      <c r="F202" s="30" t="s">
        <v>719</v>
      </c>
      <c r="G202" s="30" t="s">
        <v>440</v>
      </c>
      <c r="H202" s="34" t="s">
        <v>4</v>
      </c>
      <c r="I202" s="30" t="s">
        <v>113</v>
      </c>
      <c r="J202" s="31"/>
      <c r="K202" s="31" t="s">
        <v>116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30">
        <f t="shared" si="18"/>
        <v>146</v>
      </c>
      <c r="B203" s="31" t="s">
        <v>724</v>
      </c>
      <c r="C203" s="33" t="s">
        <v>725</v>
      </c>
      <c r="D203" s="33" t="s">
        <v>443</v>
      </c>
      <c r="E203" s="30" t="s">
        <v>1</v>
      </c>
      <c r="F203" s="30" t="s">
        <v>719</v>
      </c>
      <c r="G203" s="30" t="s">
        <v>236</v>
      </c>
      <c r="H203" s="34" t="s">
        <v>4</v>
      </c>
      <c r="I203" s="30" t="s">
        <v>113</v>
      </c>
      <c r="J203" s="31"/>
      <c r="K203" s="31" t="s">
        <v>116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30">
        <f t="shared" si="18"/>
        <v>147</v>
      </c>
      <c r="B204" s="31" t="s">
        <v>726</v>
      </c>
      <c r="C204" s="33" t="s">
        <v>727</v>
      </c>
      <c r="D204" s="33" t="s">
        <v>446</v>
      </c>
      <c r="E204" s="30" t="s">
        <v>1</v>
      </c>
      <c r="F204" s="30" t="s">
        <v>719</v>
      </c>
      <c r="G204" s="30" t="s">
        <v>236</v>
      </c>
      <c r="H204" s="34" t="s">
        <v>14</v>
      </c>
      <c r="I204" s="30" t="s">
        <v>3</v>
      </c>
      <c r="J204" s="31"/>
      <c r="K204" s="31" t="s">
        <v>116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30">
        <f t="shared" si="18"/>
        <v>148</v>
      </c>
      <c r="B205" s="31" t="s">
        <v>728</v>
      </c>
      <c r="C205" s="33" t="s">
        <v>729</v>
      </c>
      <c r="D205" s="33" t="s">
        <v>449</v>
      </c>
      <c r="E205" s="30" t="s">
        <v>1</v>
      </c>
      <c r="F205" s="30" t="s">
        <v>719</v>
      </c>
      <c r="G205" s="30" t="s">
        <v>236</v>
      </c>
      <c r="H205" s="34" t="s">
        <v>4</v>
      </c>
      <c r="I205" s="30" t="s">
        <v>113</v>
      </c>
      <c r="J205" s="31"/>
      <c r="K205" s="31" t="s">
        <v>116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30">
        <f t="shared" si="18"/>
        <v>149</v>
      </c>
      <c r="B206" s="31" t="s">
        <v>730</v>
      </c>
      <c r="C206" s="33" t="s">
        <v>731</v>
      </c>
      <c r="D206" s="33" t="s">
        <v>452</v>
      </c>
      <c r="E206" s="30" t="s">
        <v>1</v>
      </c>
      <c r="F206" s="30" t="s">
        <v>719</v>
      </c>
      <c r="G206" s="30" t="s">
        <v>317</v>
      </c>
      <c r="H206" s="34" t="s">
        <v>4</v>
      </c>
      <c r="I206" s="30" t="s">
        <v>113</v>
      </c>
      <c r="J206" s="57" t="s">
        <v>318</v>
      </c>
      <c r="K206" s="31" t="s">
        <v>116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30">
        <f t="shared" si="18"/>
        <v>150</v>
      </c>
      <c r="B207" s="31" t="s">
        <v>732</v>
      </c>
      <c r="C207" s="33" t="s">
        <v>733</v>
      </c>
      <c r="D207" s="33" t="s">
        <v>456</v>
      </c>
      <c r="E207" s="30" t="s">
        <v>1</v>
      </c>
      <c r="F207" s="30" t="s">
        <v>719</v>
      </c>
      <c r="G207" s="30" t="s">
        <v>236</v>
      </c>
      <c r="H207" s="34" t="s">
        <v>4</v>
      </c>
      <c r="I207" s="30" t="s">
        <v>113</v>
      </c>
      <c r="J207" s="33" t="s">
        <v>734</v>
      </c>
      <c r="K207" s="31" t="s">
        <v>116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30">
        <f t="shared" si="18"/>
        <v>151</v>
      </c>
      <c r="B208" s="31" t="s">
        <v>735</v>
      </c>
      <c r="C208" s="33" t="s">
        <v>736</v>
      </c>
      <c r="D208" s="33" t="s">
        <v>460</v>
      </c>
      <c r="E208" s="30" t="s">
        <v>1</v>
      </c>
      <c r="F208" s="30" t="s">
        <v>719</v>
      </c>
      <c r="G208" s="30" t="s">
        <v>461</v>
      </c>
      <c r="H208" s="34" t="s">
        <v>14</v>
      </c>
      <c r="I208" s="30" t="s">
        <v>3</v>
      </c>
      <c r="J208" s="31" t="s">
        <v>692</v>
      </c>
      <c r="K208" s="31" t="s">
        <v>116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30">
        <f t="shared" si="18"/>
        <v>152</v>
      </c>
      <c r="B209" s="31" t="s">
        <v>737</v>
      </c>
      <c r="C209" s="33" t="s">
        <v>738</v>
      </c>
      <c r="D209" s="33" t="s">
        <v>464</v>
      </c>
      <c r="E209" s="30" t="s">
        <v>1</v>
      </c>
      <c r="F209" s="30" t="s">
        <v>719</v>
      </c>
      <c r="G209" s="30" t="s">
        <v>330</v>
      </c>
      <c r="H209" s="34" t="s">
        <v>4</v>
      </c>
      <c r="I209" s="30" t="s">
        <v>113</v>
      </c>
      <c r="J209" s="33" t="s">
        <v>739</v>
      </c>
      <c r="K209" s="31" t="s">
        <v>116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30">
        <f t="shared" si="18"/>
        <v>153</v>
      </c>
      <c r="B210" s="31" t="s">
        <v>740</v>
      </c>
      <c r="C210" s="33" t="s">
        <v>741</v>
      </c>
      <c r="D210" s="33" t="s">
        <v>468</v>
      </c>
      <c r="E210" s="30" t="s">
        <v>1</v>
      </c>
      <c r="F210" s="30" t="s">
        <v>719</v>
      </c>
      <c r="G210" s="30" t="s">
        <v>469</v>
      </c>
      <c r="H210" s="34" t="s">
        <v>14</v>
      </c>
      <c r="I210" s="30" t="s">
        <v>3</v>
      </c>
      <c r="J210" s="31" t="s">
        <v>698</v>
      </c>
      <c r="K210" s="31" t="s">
        <v>116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30">
        <f t="shared" si="18"/>
        <v>154</v>
      </c>
      <c r="B211" s="31" t="s">
        <v>742</v>
      </c>
      <c r="C211" s="33" t="s">
        <v>743</v>
      </c>
      <c r="D211" s="33" t="s">
        <v>473</v>
      </c>
      <c r="E211" s="30" t="s">
        <v>1</v>
      </c>
      <c r="F211" s="30" t="s">
        <v>719</v>
      </c>
      <c r="G211" s="30" t="s">
        <v>236</v>
      </c>
      <c r="H211" s="34" t="s">
        <v>14</v>
      </c>
      <c r="I211" s="30" t="s">
        <v>3</v>
      </c>
      <c r="J211" s="31"/>
      <c r="K211" s="31" t="s">
        <v>116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50"/>
      <c r="B212" s="7"/>
      <c r="C212" s="51"/>
      <c r="D212" s="51"/>
      <c r="E212" s="50"/>
      <c r="F212" s="50"/>
      <c r="G212" s="50"/>
      <c r="H212" s="52"/>
      <c r="I212" s="50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23" t="s">
        <v>70</v>
      </c>
      <c r="B213" s="53" t="s">
        <v>73</v>
      </c>
      <c r="C213" s="54" t="s">
        <v>74</v>
      </c>
      <c r="D213" s="54" t="s">
        <v>75</v>
      </c>
      <c r="E213" s="23" t="s">
        <v>76</v>
      </c>
      <c r="F213" s="23" t="s">
        <v>78</v>
      </c>
      <c r="G213" s="23" t="s">
        <v>79</v>
      </c>
      <c r="H213" s="25" t="s">
        <v>81</v>
      </c>
      <c r="I213" s="23" t="s">
        <v>84</v>
      </c>
      <c r="J213" s="53" t="s">
        <v>85</v>
      </c>
      <c r="K213" s="53" t="s">
        <v>86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29" t="s">
        <v>744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6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30">
        <f>A211+1</f>
        <v>155</v>
      </c>
      <c r="B215" s="31" t="s">
        <v>745</v>
      </c>
      <c r="C215" s="33" t="s">
        <v>746</v>
      </c>
      <c r="D215" s="33" t="s">
        <v>747</v>
      </c>
      <c r="E215" s="30" t="s">
        <v>12</v>
      </c>
      <c r="F215" s="30" t="s">
        <v>99</v>
      </c>
      <c r="G215" s="30" t="s">
        <v>13</v>
      </c>
      <c r="H215" s="34" t="s">
        <v>14</v>
      </c>
      <c r="I215" s="30" t="s">
        <v>3</v>
      </c>
      <c r="J215" s="31"/>
      <c r="K215" s="31" t="s">
        <v>116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27.0" customHeight="1">
      <c r="A216" s="30">
        <f t="shared" ref="A216:A221" si="19">A215+1</f>
        <v>156</v>
      </c>
      <c r="B216" s="31" t="s">
        <v>748</v>
      </c>
      <c r="C216" s="33" t="s">
        <v>749</v>
      </c>
      <c r="D216" s="33" t="s">
        <v>406</v>
      </c>
      <c r="E216" s="30" t="s">
        <v>407</v>
      </c>
      <c r="F216" s="30" t="s">
        <v>745</v>
      </c>
      <c r="G216" s="30" t="s">
        <v>408</v>
      </c>
      <c r="H216" s="34" t="s">
        <v>4</v>
      </c>
      <c r="I216" s="30" t="s">
        <v>113</v>
      </c>
      <c r="J216" s="33" t="s">
        <v>657</v>
      </c>
      <c r="K216" s="31" t="s">
        <v>116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30">
        <f t="shared" si="19"/>
        <v>157</v>
      </c>
      <c r="B217" s="31" t="s">
        <v>750</v>
      </c>
      <c r="C217" s="33" t="s">
        <v>751</v>
      </c>
      <c r="D217" s="33" t="s">
        <v>412</v>
      </c>
      <c r="E217" s="30" t="s">
        <v>407</v>
      </c>
      <c r="F217" s="30" t="s">
        <v>745</v>
      </c>
      <c r="G217" s="30" t="s">
        <v>413</v>
      </c>
      <c r="H217" s="34" t="s">
        <v>4</v>
      </c>
      <c r="I217" s="30" t="s">
        <v>113</v>
      </c>
      <c r="J217" s="31" t="s">
        <v>692</v>
      </c>
      <c r="K217" s="31" t="s">
        <v>116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30">
        <f t="shared" si="19"/>
        <v>158</v>
      </c>
      <c r="B218" s="31" t="s">
        <v>752</v>
      </c>
      <c r="C218" s="33" t="s">
        <v>753</v>
      </c>
      <c r="D218" s="33" t="s">
        <v>417</v>
      </c>
      <c r="E218" s="30" t="s">
        <v>1</v>
      </c>
      <c r="F218" s="30" t="s">
        <v>745</v>
      </c>
      <c r="G218" s="30" t="s">
        <v>418</v>
      </c>
      <c r="H218" s="34" t="s">
        <v>4</v>
      </c>
      <c r="I218" s="30" t="s">
        <v>113</v>
      </c>
      <c r="J218" s="33" t="s">
        <v>754</v>
      </c>
      <c r="K218" s="31" t="s">
        <v>116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30">
        <f t="shared" si="19"/>
        <v>159</v>
      </c>
      <c r="B219" s="31" t="s">
        <v>755</v>
      </c>
      <c r="C219" s="33" t="s">
        <v>756</v>
      </c>
      <c r="D219" s="33" t="s">
        <v>422</v>
      </c>
      <c r="E219" s="30" t="s">
        <v>1</v>
      </c>
      <c r="F219" s="30" t="s">
        <v>745</v>
      </c>
      <c r="G219" s="30" t="s">
        <v>236</v>
      </c>
      <c r="H219" s="34" t="s">
        <v>4</v>
      </c>
      <c r="I219" s="30" t="s">
        <v>113</v>
      </c>
      <c r="J219" s="33"/>
      <c r="K219" s="31" t="s">
        <v>116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30">
        <f t="shared" si="19"/>
        <v>160</v>
      </c>
      <c r="B220" s="31" t="s">
        <v>757</v>
      </c>
      <c r="C220" s="33" t="s">
        <v>758</v>
      </c>
      <c r="D220" s="33" t="s">
        <v>429</v>
      </c>
      <c r="E220" s="30" t="s">
        <v>1</v>
      </c>
      <c r="F220" s="30" t="s">
        <v>745</v>
      </c>
      <c r="G220" s="30" t="s">
        <v>430</v>
      </c>
      <c r="H220" s="34" t="s">
        <v>14</v>
      </c>
      <c r="I220" s="30" t="s">
        <v>3</v>
      </c>
      <c r="J220" s="31"/>
      <c r="K220" s="31" t="s">
        <v>116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30">
        <f t="shared" si="19"/>
        <v>161</v>
      </c>
      <c r="B221" s="31" t="s">
        <v>759</v>
      </c>
      <c r="C221" s="33" t="s">
        <v>760</v>
      </c>
      <c r="D221" s="33" t="s">
        <v>433</v>
      </c>
      <c r="E221" s="30" t="s">
        <v>1</v>
      </c>
      <c r="F221" s="30" t="s">
        <v>745</v>
      </c>
      <c r="G221" s="30" t="s">
        <v>236</v>
      </c>
      <c r="H221" s="34" t="s">
        <v>14</v>
      </c>
      <c r="I221" s="30" t="s">
        <v>3</v>
      </c>
      <c r="J221" s="33"/>
      <c r="K221" s="31" t="s">
        <v>116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97"/>
      <c r="B222" s="98"/>
      <c r="C222" s="99"/>
      <c r="D222" s="99"/>
      <c r="E222" s="100"/>
      <c r="F222" s="100"/>
      <c r="G222" s="100"/>
      <c r="H222" s="101"/>
      <c r="I222" s="100"/>
      <c r="J222" s="9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23" t="s">
        <v>70</v>
      </c>
      <c r="B223" s="53" t="s">
        <v>73</v>
      </c>
      <c r="C223" s="54" t="s">
        <v>74</v>
      </c>
      <c r="D223" s="54" t="s">
        <v>75</v>
      </c>
      <c r="E223" s="23" t="s">
        <v>76</v>
      </c>
      <c r="F223" s="23" t="s">
        <v>78</v>
      </c>
      <c r="G223" s="23" t="s">
        <v>79</v>
      </c>
      <c r="H223" s="25" t="s">
        <v>81</v>
      </c>
      <c r="I223" s="23" t="s">
        <v>84</v>
      </c>
      <c r="J223" s="53" t="s">
        <v>85</v>
      </c>
      <c r="K223" s="53" t="s">
        <v>86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29" t="s">
        <v>761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6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30">
        <f>A221+1</f>
        <v>162</v>
      </c>
      <c r="B225" s="31" t="s">
        <v>762</v>
      </c>
      <c r="C225" s="33" t="s">
        <v>763</v>
      </c>
      <c r="D225" s="33" t="s">
        <v>764</v>
      </c>
      <c r="E225" s="30" t="s">
        <v>12</v>
      </c>
      <c r="F225" s="30" t="s">
        <v>745</v>
      </c>
      <c r="G225" s="30" t="s">
        <v>13</v>
      </c>
      <c r="H225" s="34" t="s">
        <v>4</v>
      </c>
      <c r="I225" s="30" t="s">
        <v>113</v>
      </c>
      <c r="J225" s="31"/>
      <c r="K225" s="31" t="s">
        <v>116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30">
        <f t="shared" ref="A226:A235" si="20">A225+1</f>
        <v>163</v>
      </c>
      <c r="B226" s="31" t="s">
        <v>765</v>
      </c>
      <c r="C226" s="33" t="s">
        <v>766</v>
      </c>
      <c r="D226" s="33" t="s">
        <v>439</v>
      </c>
      <c r="E226" s="30" t="s">
        <v>1</v>
      </c>
      <c r="F226" s="30" t="s">
        <v>762</v>
      </c>
      <c r="G226" s="30" t="s">
        <v>440</v>
      </c>
      <c r="H226" s="34" t="s">
        <v>4</v>
      </c>
      <c r="I226" s="30" t="s">
        <v>113</v>
      </c>
      <c r="J226" s="31"/>
      <c r="K226" s="31" t="s">
        <v>116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30">
        <f t="shared" si="20"/>
        <v>164</v>
      </c>
      <c r="B227" s="31" t="s">
        <v>767</v>
      </c>
      <c r="C227" s="33" t="s">
        <v>768</v>
      </c>
      <c r="D227" s="33" t="s">
        <v>443</v>
      </c>
      <c r="E227" s="30" t="s">
        <v>1</v>
      </c>
      <c r="F227" s="30" t="s">
        <v>762</v>
      </c>
      <c r="G227" s="30" t="s">
        <v>236</v>
      </c>
      <c r="H227" s="34" t="s">
        <v>4</v>
      </c>
      <c r="I227" s="30" t="s">
        <v>113</v>
      </c>
      <c r="J227" s="31"/>
      <c r="K227" s="31" t="s">
        <v>116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30">
        <f t="shared" si="20"/>
        <v>165</v>
      </c>
      <c r="B228" s="31" t="s">
        <v>769</v>
      </c>
      <c r="C228" s="33" t="s">
        <v>770</v>
      </c>
      <c r="D228" s="33" t="s">
        <v>446</v>
      </c>
      <c r="E228" s="30" t="s">
        <v>1</v>
      </c>
      <c r="F228" s="30" t="s">
        <v>762</v>
      </c>
      <c r="G228" s="30" t="s">
        <v>236</v>
      </c>
      <c r="H228" s="34" t="s">
        <v>14</v>
      </c>
      <c r="I228" s="30" t="s">
        <v>3</v>
      </c>
      <c r="J228" s="33"/>
      <c r="K228" s="31" t="s">
        <v>116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30">
        <f t="shared" si="20"/>
        <v>166</v>
      </c>
      <c r="B229" s="31" t="s">
        <v>771</v>
      </c>
      <c r="C229" s="33" t="s">
        <v>772</v>
      </c>
      <c r="D229" s="33" t="s">
        <v>449</v>
      </c>
      <c r="E229" s="30" t="s">
        <v>1</v>
      </c>
      <c r="F229" s="30" t="s">
        <v>762</v>
      </c>
      <c r="G229" s="30" t="s">
        <v>236</v>
      </c>
      <c r="H229" s="34" t="s">
        <v>4</v>
      </c>
      <c r="I229" s="30" t="s">
        <v>113</v>
      </c>
      <c r="J229" s="33"/>
      <c r="K229" s="31" t="s">
        <v>116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30">
        <f t="shared" si="20"/>
        <v>167</v>
      </c>
      <c r="B230" s="31" t="s">
        <v>773</v>
      </c>
      <c r="C230" s="33" t="s">
        <v>774</v>
      </c>
      <c r="D230" s="33" t="s">
        <v>452</v>
      </c>
      <c r="E230" s="30" t="s">
        <v>1</v>
      </c>
      <c r="F230" s="30" t="s">
        <v>762</v>
      </c>
      <c r="G230" s="30" t="s">
        <v>317</v>
      </c>
      <c r="H230" s="34" t="s">
        <v>4</v>
      </c>
      <c r="I230" s="30" t="s">
        <v>113</v>
      </c>
      <c r="J230" s="57" t="s">
        <v>318</v>
      </c>
      <c r="K230" s="31" t="s">
        <v>116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30">
        <f t="shared" si="20"/>
        <v>168</v>
      </c>
      <c r="B231" s="31" t="s">
        <v>775</v>
      </c>
      <c r="C231" s="33" t="s">
        <v>776</v>
      </c>
      <c r="D231" s="33" t="s">
        <v>456</v>
      </c>
      <c r="E231" s="30" t="s">
        <v>1</v>
      </c>
      <c r="F231" s="30" t="s">
        <v>762</v>
      </c>
      <c r="G231" s="30" t="s">
        <v>236</v>
      </c>
      <c r="H231" s="34" t="s">
        <v>4</v>
      </c>
      <c r="I231" s="30" t="s">
        <v>113</v>
      </c>
      <c r="J231" s="33" t="s">
        <v>734</v>
      </c>
      <c r="K231" s="31" t="s">
        <v>116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30">
        <f t="shared" si="20"/>
        <v>169</v>
      </c>
      <c r="B232" s="31" t="s">
        <v>777</v>
      </c>
      <c r="C232" s="33" t="s">
        <v>778</v>
      </c>
      <c r="D232" s="33" t="s">
        <v>460</v>
      </c>
      <c r="E232" s="30" t="s">
        <v>1</v>
      </c>
      <c r="F232" s="30" t="s">
        <v>762</v>
      </c>
      <c r="G232" s="30" t="s">
        <v>461</v>
      </c>
      <c r="H232" s="34" t="s">
        <v>14</v>
      </c>
      <c r="I232" s="30" t="s">
        <v>3</v>
      </c>
      <c r="J232" s="31" t="s">
        <v>692</v>
      </c>
      <c r="K232" s="31" t="s">
        <v>116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30">
        <f t="shared" si="20"/>
        <v>170</v>
      </c>
      <c r="B233" s="31" t="s">
        <v>779</v>
      </c>
      <c r="C233" s="33" t="s">
        <v>780</v>
      </c>
      <c r="D233" s="33" t="s">
        <v>464</v>
      </c>
      <c r="E233" s="30" t="s">
        <v>1</v>
      </c>
      <c r="F233" s="30" t="s">
        <v>762</v>
      </c>
      <c r="G233" s="30" t="s">
        <v>330</v>
      </c>
      <c r="H233" s="34" t="s">
        <v>4</v>
      </c>
      <c r="I233" s="30" t="s">
        <v>113</v>
      </c>
      <c r="J233" s="33" t="s">
        <v>739</v>
      </c>
      <c r="K233" s="31" t="s">
        <v>116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30">
        <f t="shared" si="20"/>
        <v>171</v>
      </c>
      <c r="B234" s="31" t="s">
        <v>781</v>
      </c>
      <c r="C234" s="33" t="s">
        <v>782</v>
      </c>
      <c r="D234" s="33" t="s">
        <v>468</v>
      </c>
      <c r="E234" s="30" t="s">
        <v>1</v>
      </c>
      <c r="F234" s="30" t="s">
        <v>762</v>
      </c>
      <c r="G234" s="30" t="s">
        <v>469</v>
      </c>
      <c r="H234" s="34" t="s">
        <v>14</v>
      </c>
      <c r="I234" s="30" t="s">
        <v>3</v>
      </c>
      <c r="J234" s="31" t="s">
        <v>698</v>
      </c>
      <c r="K234" s="31" t="s">
        <v>116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30">
        <f t="shared" si="20"/>
        <v>172</v>
      </c>
      <c r="B235" s="31" t="s">
        <v>783</v>
      </c>
      <c r="C235" s="33" t="s">
        <v>784</v>
      </c>
      <c r="D235" s="33" t="s">
        <v>473</v>
      </c>
      <c r="E235" s="30" t="s">
        <v>1</v>
      </c>
      <c r="F235" s="30" t="s">
        <v>762</v>
      </c>
      <c r="G235" s="30" t="s">
        <v>236</v>
      </c>
      <c r="H235" s="34" t="s">
        <v>14</v>
      </c>
      <c r="I235" s="30" t="s">
        <v>3</v>
      </c>
      <c r="J235" s="31"/>
      <c r="K235" s="31" t="s">
        <v>116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50"/>
      <c r="B236" s="7"/>
      <c r="C236" s="51"/>
      <c r="D236" s="51"/>
      <c r="E236" s="50"/>
      <c r="F236" s="50"/>
      <c r="G236" s="50"/>
      <c r="H236" s="52"/>
      <c r="I236" s="50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23" t="s">
        <v>70</v>
      </c>
      <c r="B237" s="53" t="s">
        <v>73</v>
      </c>
      <c r="C237" s="54" t="s">
        <v>74</v>
      </c>
      <c r="D237" s="54" t="s">
        <v>75</v>
      </c>
      <c r="E237" s="23" t="s">
        <v>76</v>
      </c>
      <c r="F237" s="23" t="s">
        <v>78</v>
      </c>
      <c r="G237" s="23" t="s">
        <v>79</v>
      </c>
      <c r="H237" s="25" t="s">
        <v>81</v>
      </c>
      <c r="I237" s="23" t="s">
        <v>84</v>
      </c>
      <c r="J237" s="53" t="s">
        <v>85</v>
      </c>
      <c r="K237" s="53" t="s">
        <v>86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29" t="s">
        <v>785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6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30">
        <f>A235+1</f>
        <v>173</v>
      </c>
      <c r="B239" s="31" t="s">
        <v>786</v>
      </c>
      <c r="C239" s="33" t="s">
        <v>787</v>
      </c>
      <c r="D239" s="33" t="s">
        <v>788</v>
      </c>
      <c r="E239" s="30" t="s">
        <v>12</v>
      </c>
      <c r="F239" s="30" t="s">
        <v>99</v>
      </c>
      <c r="G239" s="30" t="s">
        <v>13</v>
      </c>
      <c r="H239" s="34" t="s">
        <v>4</v>
      </c>
      <c r="I239" s="30" t="s">
        <v>113</v>
      </c>
      <c r="J239" s="31" t="s">
        <v>789</v>
      </c>
      <c r="K239" s="31" t="s">
        <v>116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30">
        <f t="shared" ref="A240:A246" si="21">A239+1</f>
        <v>174</v>
      </c>
      <c r="B240" s="31" t="s">
        <v>790</v>
      </c>
      <c r="C240" s="33" t="s">
        <v>791</v>
      </c>
      <c r="D240" s="33" t="s">
        <v>406</v>
      </c>
      <c r="E240" s="30" t="s">
        <v>407</v>
      </c>
      <c r="F240" s="30" t="s">
        <v>786</v>
      </c>
      <c r="G240" s="30" t="s">
        <v>408</v>
      </c>
      <c r="H240" s="34" t="s">
        <v>4</v>
      </c>
      <c r="I240" s="30" t="s">
        <v>113</v>
      </c>
      <c r="J240" s="33" t="s">
        <v>657</v>
      </c>
      <c r="K240" s="31" t="s">
        <v>116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A241" s="30">
        <f t="shared" si="21"/>
        <v>175</v>
      </c>
      <c r="B241" s="31" t="s">
        <v>792</v>
      </c>
      <c r="C241" s="33" t="s">
        <v>793</v>
      </c>
      <c r="D241" s="33" t="s">
        <v>412</v>
      </c>
      <c r="E241" s="30" t="s">
        <v>407</v>
      </c>
      <c r="F241" s="30" t="s">
        <v>786</v>
      </c>
      <c r="G241" s="30" t="s">
        <v>413</v>
      </c>
      <c r="H241" s="34" t="s">
        <v>4</v>
      </c>
      <c r="I241" s="30" t="s">
        <v>113</v>
      </c>
      <c r="J241" s="31" t="s">
        <v>692</v>
      </c>
      <c r="K241" s="31" t="s">
        <v>116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15.75" customHeight="1">
      <c r="A242" s="30">
        <f t="shared" si="21"/>
        <v>176</v>
      </c>
      <c r="B242" s="31" t="s">
        <v>794</v>
      </c>
      <c r="C242" s="33" t="s">
        <v>795</v>
      </c>
      <c r="D242" s="33" t="s">
        <v>417</v>
      </c>
      <c r="E242" s="30" t="s">
        <v>1</v>
      </c>
      <c r="F242" s="30" t="s">
        <v>786</v>
      </c>
      <c r="G242" s="30" t="s">
        <v>418</v>
      </c>
      <c r="H242" s="34" t="s">
        <v>14</v>
      </c>
      <c r="I242" s="30" t="s">
        <v>3</v>
      </c>
      <c r="J242" s="33" t="s">
        <v>796</v>
      </c>
      <c r="K242" s="31" t="s">
        <v>116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15.75" customHeight="1">
      <c r="A243" s="30">
        <f t="shared" si="21"/>
        <v>177</v>
      </c>
      <c r="B243" s="31" t="s">
        <v>797</v>
      </c>
      <c r="C243" s="33" t="s">
        <v>798</v>
      </c>
      <c r="D243" s="33" t="s">
        <v>799</v>
      </c>
      <c r="E243" s="30" t="s">
        <v>1</v>
      </c>
      <c r="F243" s="30" t="s">
        <v>786</v>
      </c>
      <c r="G243" s="30" t="s">
        <v>236</v>
      </c>
      <c r="H243" s="34" t="s">
        <v>4</v>
      </c>
      <c r="I243" s="30" t="s">
        <v>113</v>
      </c>
      <c r="J243" s="31"/>
      <c r="K243" s="31" t="s">
        <v>116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15.75" customHeight="1">
      <c r="A244" s="30">
        <f t="shared" si="21"/>
        <v>178</v>
      </c>
      <c r="B244" s="31" t="s">
        <v>800</v>
      </c>
      <c r="C244" s="33" t="s">
        <v>801</v>
      </c>
      <c r="D244" s="33" t="s">
        <v>429</v>
      </c>
      <c r="E244" s="30" t="s">
        <v>1</v>
      </c>
      <c r="F244" s="30" t="s">
        <v>786</v>
      </c>
      <c r="G244" s="30" t="s">
        <v>430</v>
      </c>
      <c r="H244" s="34" t="s">
        <v>14</v>
      </c>
      <c r="I244" s="30" t="s">
        <v>3</v>
      </c>
      <c r="J244" s="31"/>
      <c r="K244" s="31" t="s">
        <v>116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13.5" customHeight="1">
      <c r="A245" s="30">
        <f t="shared" si="21"/>
        <v>179</v>
      </c>
      <c r="B245" s="31" t="s">
        <v>802</v>
      </c>
      <c r="C245" s="33" t="s">
        <v>803</v>
      </c>
      <c r="D245" s="33" t="s">
        <v>804</v>
      </c>
      <c r="E245" s="30" t="s">
        <v>1</v>
      </c>
      <c r="F245" s="30" t="s">
        <v>786</v>
      </c>
      <c r="G245" s="30" t="s">
        <v>628</v>
      </c>
      <c r="H245" s="34" t="s">
        <v>14</v>
      </c>
      <c r="I245" s="30" t="s">
        <v>3</v>
      </c>
      <c r="J245" s="33" t="s">
        <v>805</v>
      </c>
      <c r="K245" s="31" t="s">
        <v>116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13.5" customHeight="1">
      <c r="A246" s="30">
        <f t="shared" si="21"/>
        <v>180</v>
      </c>
      <c r="B246" s="31" t="s">
        <v>806</v>
      </c>
      <c r="C246" s="33" t="s">
        <v>807</v>
      </c>
      <c r="D246" s="33" t="s">
        <v>808</v>
      </c>
      <c r="E246" s="30" t="s">
        <v>1</v>
      </c>
      <c r="F246" s="30" t="s">
        <v>786</v>
      </c>
      <c r="G246" s="30" t="s">
        <v>236</v>
      </c>
      <c r="H246" s="34" t="s">
        <v>14</v>
      </c>
      <c r="I246" s="30" t="s">
        <v>3</v>
      </c>
      <c r="J246" s="33" t="s">
        <v>809</v>
      </c>
      <c r="K246" s="31" t="s">
        <v>116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15.75" customHeight="1">
      <c r="A247" s="50"/>
      <c r="B247" s="7"/>
      <c r="C247" s="51"/>
      <c r="D247" s="51"/>
      <c r="E247" s="50"/>
      <c r="F247" s="50"/>
      <c r="G247" s="50"/>
      <c r="H247" s="52"/>
      <c r="I247" s="50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15.75" customHeight="1">
      <c r="A248" s="23" t="s">
        <v>70</v>
      </c>
      <c r="B248" s="53" t="s">
        <v>73</v>
      </c>
      <c r="C248" s="54" t="s">
        <v>74</v>
      </c>
      <c r="D248" s="54" t="s">
        <v>75</v>
      </c>
      <c r="E248" s="23" t="s">
        <v>76</v>
      </c>
      <c r="F248" s="23" t="s">
        <v>78</v>
      </c>
      <c r="G248" s="23" t="s">
        <v>79</v>
      </c>
      <c r="H248" s="25" t="s">
        <v>81</v>
      </c>
      <c r="I248" s="23" t="s">
        <v>84</v>
      </c>
      <c r="J248" s="53" t="s">
        <v>85</v>
      </c>
      <c r="K248" s="53" t="s">
        <v>86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15.75" customHeight="1">
      <c r="A249" s="29" t="s">
        <v>810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6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15.75" customHeight="1">
      <c r="A250" s="30">
        <f>A246+1</f>
        <v>181</v>
      </c>
      <c r="B250" s="31" t="s">
        <v>811</v>
      </c>
      <c r="C250" s="33" t="s">
        <v>812</v>
      </c>
      <c r="D250" s="33" t="s">
        <v>813</v>
      </c>
      <c r="E250" s="30" t="s">
        <v>12</v>
      </c>
      <c r="F250" s="30" t="s">
        <v>786</v>
      </c>
      <c r="G250" s="30" t="s">
        <v>13</v>
      </c>
      <c r="H250" s="34" t="s">
        <v>4</v>
      </c>
      <c r="I250" s="30" t="s">
        <v>113</v>
      </c>
      <c r="J250" s="31"/>
      <c r="K250" s="31" t="s">
        <v>116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15.75" customHeight="1">
      <c r="A251" s="30">
        <f t="shared" ref="A251:A260" si="22">A250+1</f>
        <v>182</v>
      </c>
      <c r="B251" s="31" t="s">
        <v>814</v>
      </c>
      <c r="C251" s="33" t="s">
        <v>815</v>
      </c>
      <c r="D251" s="33" t="s">
        <v>439</v>
      </c>
      <c r="E251" s="30" t="s">
        <v>1</v>
      </c>
      <c r="F251" s="30" t="s">
        <v>811</v>
      </c>
      <c r="G251" s="30" t="s">
        <v>440</v>
      </c>
      <c r="H251" s="34" t="s">
        <v>4</v>
      </c>
      <c r="I251" s="30" t="s">
        <v>113</v>
      </c>
      <c r="J251" s="31"/>
      <c r="K251" s="31" t="s">
        <v>116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15.75" customHeight="1">
      <c r="A252" s="30">
        <f t="shared" si="22"/>
        <v>183</v>
      </c>
      <c r="B252" s="31" t="s">
        <v>816</v>
      </c>
      <c r="C252" s="33" t="s">
        <v>817</v>
      </c>
      <c r="D252" s="33" t="s">
        <v>443</v>
      </c>
      <c r="E252" s="30" t="s">
        <v>1</v>
      </c>
      <c r="F252" s="30" t="s">
        <v>811</v>
      </c>
      <c r="G252" s="30" t="s">
        <v>236</v>
      </c>
      <c r="H252" s="34" t="s">
        <v>4</v>
      </c>
      <c r="I252" s="30" t="s">
        <v>113</v>
      </c>
      <c r="J252" s="31"/>
      <c r="K252" s="31" t="s">
        <v>116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15.75" customHeight="1">
      <c r="A253" s="30">
        <f t="shared" si="22"/>
        <v>184</v>
      </c>
      <c r="B253" s="31" t="s">
        <v>818</v>
      </c>
      <c r="C253" s="33" t="s">
        <v>819</v>
      </c>
      <c r="D253" s="33" t="s">
        <v>446</v>
      </c>
      <c r="E253" s="30" t="s">
        <v>1</v>
      </c>
      <c r="F253" s="30" t="s">
        <v>811</v>
      </c>
      <c r="G253" s="30" t="s">
        <v>236</v>
      </c>
      <c r="H253" s="34" t="s">
        <v>14</v>
      </c>
      <c r="I253" s="30" t="s">
        <v>3</v>
      </c>
      <c r="J253" s="31"/>
      <c r="K253" s="31" t="s">
        <v>116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15.75" customHeight="1">
      <c r="A254" s="30">
        <f t="shared" si="22"/>
        <v>185</v>
      </c>
      <c r="B254" s="31" t="s">
        <v>820</v>
      </c>
      <c r="C254" s="33" t="s">
        <v>821</v>
      </c>
      <c r="D254" s="33" t="s">
        <v>449</v>
      </c>
      <c r="E254" s="30" t="s">
        <v>1</v>
      </c>
      <c r="F254" s="30" t="s">
        <v>811</v>
      </c>
      <c r="G254" s="30" t="s">
        <v>236</v>
      </c>
      <c r="H254" s="34" t="s">
        <v>4</v>
      </c>
      <c r="I254" s="30" t="s">
        <v>113</v>
      </c>
      <c r="J254" s="33"/>
      <c r="K254" s="31" t="s">
        <v>116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15.75" customHeight="1">
      <c r="A255" s="30">
        <f t="shared" si="22"/>
        <v>186</v>
      </c>
      <c r="B255" s="31" t="s">
        <v>822</v>
      </c>
      <c r="C255" s="33" t="s">
        <v>823</v>
      </c>
      <c r="D255" s="33" t="s">
        <v>452</v>
      </c>
      <c r="E255" s="30" t="s">
        <v>1</v>
      </c>
      <c r="F255" s="30" t="s">
        <v>811</v>
      </c>
      <c r="G255" s="30" t="s">
        <v>317</v>
      </c>
      <c r="H255" s="34" t="s">
        <v>4</v>
      </c>
      <c r="I255" s="30" t="s">
        <v>113</v>
      </c>
      <c r="J255" s="57" t="s">
        <v>318</v>
      </c>
      <c r="K255" s="31" t="s">
        <v>116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15.75" customHeight="1">
      <c r="A256" s="30">
        <f t="shared" si="22"/>
        <v>187</v>
      </c>
      <c r="B256" s="31" t="s">
        <v>824</v>
      </c>
      <c r="C256" s="33" t="s">
        <v>825</v>
      </c>
      <c r="D256" s="33" t="s">
        <v>456</v>
      </c>
      <c r="E256" s="30" t="s">
        <v>1</v>
      </c>
      <c r="F256" s="30" t="s">
        <v>811</v>
      </c>
      <c r="G256" s="30" t="s">
        <v>236</v>
      </c>
      <c r="H256" s="34" t="s">
        <v>4</v>
      </c>
      <c r="I256" s="30" t="s">
        <v>113</v>
      </c>
      <c r="J256" s="33" t="s">
        <v>734</v>
      </c>
      <c r="K256" s="31" t="s">
        <v>116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15.75" customHeight="1">
      <c r="A257" s="30">
        <f t="shared" si="22"/>
        <v>188</v>
      </c>
      <c r="B257" s="31" t="s">
        <v>826</v>
      </c>
      <c r="C257" s="33" t="s">
        <v>827</v>
      </c>
      <c r="D257" s="33" t="s">
        <v>460</v>
      </c>
      <c r="E257" s="30" t="s">
        <v>1</v>
      </c>
      <c r="F257" s="30" t="s">
        <v>811</v>
      </c>
      <c r="G257" s="30" t="s">
        <v>461</v>
      </c>
      <c r="H257" s="34" t="s">
        <v>14</v>
      </c>
      <c r="I257" s="30" t="s">
        <v>3</v>
      </c>
      <c r="J257" s="31" t="s">
        <v>692</v>
      </c>
      <c r="K257" s="31" t="s">
        <v>116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15.75" customHeight="1">
      <c r="A258" s="30">
        <f t="shared" si="22"/>
        <v>189</v>
      </c>
      <c r="B258" s="31" t="s">
        <v>828</v>
      </c>
      <c r="C258" s="33" t="s">
        <v>829</v>
      </c>
      <c r="D258" s="33" t="s">
        <v>464</v>
      </c>
      <c r="E258" s="30" t="s">
        <v>1</v>
      </c>
      <c r="F258" s="30" t="s">
        <v>811</v>
      </c>
      <c r="G258" s="30" t="s">
        <v>330</v>
      </c>
      <c r="H258" s="34" t="s">
        <v>4</v>
      </c>
      <c r="I258" s="30" t="s">
        <v>113</v>
      </c>
      <c r="J258" s="33" t="s">
        <v>739</v>
      </c>
      <c r="K258" s="31" t="s">
        <v>116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15.75" customHeight="1">
      <c r="A259" s="30">
        <f t="shared" si="22"/>
        <v>190</v>
      </c>
      <c r="B259" s="31" t="s">
        <v>830</v>
      </c>
      <c r="C259" s="33" t="s">
        <v>831</v>
      </c>
      <c r="D259" s="33" t="s">
        <v>468</v>
      </c>
      <c r="E259" s="30" t="s">
        <v>1</v>
      </c>
      <c r="F259" s="30" t="s">
        <v>811</v>
      </c>
      <c r="G259" s="30" t="s">
        <v>469</v>
      </c>
      <c r="H259" s="34" t="s">
        <v>14</v>
      </c>
      <c r="I259" s="30" t="s">
        <v>3</v>
      </c>
      <c r="J259" s="31" t="s">
        <v>698</v>
      </c>
      <c r="K259" s="31" t="s">
        <v>116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15.75" customHeight="1">
      <c r="A260" s="30">
        <f t="shared" si="22"/>
        <v>191</v>
      </c>
      <c r="B260" s="31" t="s">
        <v>832</v>
      </c>
      <c r="C260" s="33" t="s">
        <v>833</v>
      </c>
      <c r="D260" s="33" t="s">
        <v>473</v>
      </c>
      <c r="E260" s="30" t="s">
        <v>1</v>
      </c>
      <c r="F260" s="30" t="s">
        <v>811</v>
      </c>
      <c r="G260" s="30" t="s">
        <v>236</v>
      </c>
      <c r="H260" s="34" t="s">
        <v>14</v>
      </c>
      <c r="I260" s="30" t="s">
        <v>3</v>
      </c>
      <c r="J260" s="31"/>
      <c r="K260" s="31" t="s">
        <v>116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15.75" customHeight="1">
      <c r="A261" s="50"/>
      <c r="B261" s="7"/>
      <c r="C261" s="51"/>
      <c r="D261" s="51"/>
      <c r="E261" s="50"/>
      <c r="F261" s="50"/>
      <c r="G261" s="50"/>
      <c r="H261" s="52"/>
      <c r="I261" s="50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15.75" customHeight="1">
      <c r="A262" s="23" t="s">
        <v>70</v>
      </c>
      <c r="B262" s="53" t="s">
        <v>73</v>
      </c>
      <c r="C262" s="54" t="s">
        <v>74</v>
      </c>
      <c r="D262" s="54" t="s">
        <v>75</v>
      </c>
      <c r="E262" s="23" t="s">
        <v>76</v>
      </c>
      <c r="F262" s="23" t="s">
        <v>78</v>
      </c>
      <c r="G262" s="23" t="s">
        <v>79</v>
      </c>
      <c r="H262" s="25" t="s">
        <v>81</v>
      </c>
      <c r="I262" s="23" t="s">
        <v>84</v>
      </c>
      <c r="J262" s="53" t="s">
        <v>85</v>
      </c>
      <c r="K262" s="53" t="s">
        <v>86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15.75" customHeight="1">
      <c r="A263" s="29" t="s">
        <v>834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6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15.75" customHeight="1">
      <c r="A264" s="30">
        <f>A260+1</f>
        <v>192</v>
      </c>
      <c r="B264" s="31" t="s">
        <v>835</v>
      </c>
      <c r="C264" s="33" t="s">
        <v>836</v>
      </c>
      <c r="D264" s="33" t="s">
        <v>837</v>
      </c>
      <c r="E264" s="30" t="s">
        <v>12</v>
      </c>
      <c r="F264" s="30" t="s">
        <v>99</v>
      </c>
      <c r="G264" s="30" t="s">
        <v>13</v>
      </c>
      <c r="H264" s="34" t="s">
        <v>4</v>
      </c>
      <c r="I264" s="30" t="s">
        <v>113</v>
      </c>
      <c r="J264" s="32"/>
      <c r="K264" s="31" t="s">
        <v>116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15.75" customHeight="1">
      <c r="A265" s="30">
        <f t="shared" ref="A265:A266" si="23">A264+1</f>
        <v>193</v>
      </c>
      <c r="B265" s="31" t="s">
        <v>838</v>
      </c>
      <c r="C265" s="33" t="s">
        <v>839</v>
      </c>
      <c r="D265" s="33" t="s">
        <v>840</v>
      </c>
      <c r="E265" s="30" t="s">
        <v>1</v>
      </c>
      <c r="F265" s="30" t="s">
        <v>835</v>
      </c>
      <c r="G265" s="30" t="s">
        <v>841</v>
      </c>
      <c r="H265" s="34" t="s">
        <v>4</v>
      </c>
      <c r="I265" s="30" t="s">
        <v>113</v>
      </c>
      <c r="J265" s="33" t="s">
        <v>842</v>
      </c>
      <c r="K265" s="31" t="s">
        <v>116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15.75" customHeight="1">
      <c r="A266" s="30">
        <f t="shared" si="23"/>
        <v>194</v>
      </c>
      <c r="B266" s="31" t="s">
        <v>843</v>
      </c>
      <c r="C266" s="33" t="s">
        <v>844</v>
      </c>
      <c r="D266" s="33" t="s">
        <v>845</v>
      </c>
      <c r="E266" s="30" t="s">
        <v>1</v>
      </c>
      <c r="F266" s="30" t="s">
        <v>835</v>
      </c>
      <c r="G266" s="30" t="s">
        <v>841</v>
      </c>
      <c r="H266" s="34" t="s">
        <v>4</v>
      </c>
      <c r="I266" s="30" t="s">
        <v>113</v>
      </c>
      <c r="J266" s="33" t="s">
        <v>846</v>
      </c>
      <c r="K266" s="31" t="s">
        <v>116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15.75" customHeight="1">
      <c r="A267" s="50"/>
      <c r="B267" s="7"/>
      <c r="C267" s="51"/>
      <c r="D267" s="51"/>
      <c r="E267" s="50"/>
      <c r="F267" s="50"/>
      <c r="G267" s="50"/>
      <c r="H267" s="52"/>
      <c r="I267" s="50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ht="15.75" customHeight="1">
      <c r="A268" s="23" t="s">
        <v>70</v>
      </c>
      <c r="B268" s="53" t="s">
        <v>73</v>
      </c>
      <c r="C268" s="54" t="s">
        <v>74</v>
      </c>
      <c r="D268" s="54" t="s">
        <v>75</v>
      </c>
      <c r="E268" s="23" t="s">
        <v>76</v>
      </c>
      <c r="F268" s="23" t="s">
        <v>78</v>
      </c>
      <c r="G268" s="23" t="s">
        <v>79</v>
      </c>
      <c r="H268" s="25" t="s">
        <v>81</v>
      </c>
      <c r="I268" s="23" t="s">
        <v>84</v>
      </c>
      <c r="J268" s="53" t="s">
        <v>85</v>
      </c>
      <c r="K268" s="53" t="s">
        <v>86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15.75" customHeight="1">
      <c r="A269" s="29" t="s">
        <v>847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6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ht="15.75" customHeight="1">
      <c r="A270" s="30">
        <f>A266+1</f>
        <v>195</v>
      </c>
      <c r="B270" s="31" t="s">
        <v>848</v>
      </c>
      <c r="C270" s="33" t="s">
        <v>849</v>
      </c>
      <c r="D270" s="33" t="s">
        <v>850</v>
      </c>
      <c r="E270" s="30" t="s">
        <v>12</v>
      </c>
      <c r="F270" s="30" t="s">
        <v>835</v>
      </c>
      <c r="G270" s="30" t="s">
        <v>13</v>
      </c>
      <c r="H270" s="34" t="s">
        <v>851</v>
      </c>
      <c r="I270" s="30" t="s">
        <v>3</v>
      </c>
      <c r="J270" s="31"/>
      <c r="K270" s="31" t="s">
        <v>116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ht="15.75" customHeight="1">
      <c r="A271" s="30">
        <f t="shared" ref="A271:A273" si="24">A270+1</f>
        <v>196</v>
      </c>
      <c r="B271" s="31" t="s">
        <v>852</v>
      </c>
      <c r="C271" s="33" t="s">
        <v>853</v>
      </c>
      <c r="D271" s="33"/>
      <c r="E271" s="30" t="s">
        <v>12</v>
      </c>
      <c r="F271" s="30" t="s">
        <v>848</v>
      </c>
      <c r="G271" s="30" t="s">
        <v>13</v>
      </c>
      <c r="H271" s="34" t="s">
        <v>540</v>
      </c>
      <c r="I271" s="30" t="s">
        <v>113</v>
      </c>
      <c r="J271" s="91" t="s">
        <v>392</v>
      </c>
      <c r="K271" s="31" t="s">
        <v>116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ht="15.75" customHeight="1">
      <c r="A272" s="30">
        <f t="shared" si="24"/>
        <v>197</v>
      </c>
      <c r="B272" s="31" t="s">
        <v>854</v>
      </c>
      <c r="C272" s="33" t="s">
        <v>855</v>
      </c>
      <c r="D272" s="33" t="s">
        <v>856</v>
      </c>
      <c r="E272" s="30" t="s">
        <v>1</v>
      </c>
      <c r="F272" s="30" t="s">
        <v>852</v>
      </c>
      <c r="G272" s="30" t="s">
        <v>495</v>
      </c>
      <c r="H272" s="34" t="s">
        <v>4</v>
      </c>
      <c r="I272" s="30" t="s">
        <v>113</v>
      </c>
      <c r="J272" s="33" t="s">
        <v>857</v>
      </c>
      <c r="K272" s="31" t="s">
        <v>116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ht="15.75" customHeight="1">
      <c r="A273" s="30">
        <f t="shared" si="24"/>
        <v>198</v>
      </c>
      <c r="B273" s="31" t="s">
        <v>858</v>
      </c>
      <c r="C273" s="33" t="s">
        <v>859</v>
      </c>
      <c r="D273" s="33" t="s">
        <v>860</v>
      </c>
      <c r="E273" s="30" t="s">
        <v>1</v>
      </c>
      <c r="F273" s="30" t="s">
        <v>852</v>
      </c>
      <c r="G273" s="30" t="s">
        <v>841</v>
      </c>
      <c r="H273" s="34" t="s">
        <v>4</v>
      </c>
      <c r="I273" s="30" t="s">
        <v>113</v>
      </c>
      <c r="J273" s="31" t="s">
        <v>846</v>
      </c>
      <c r="K273" s="31" t="s">
        <v>116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ht="15.75" customHeight="1">
      <c r="A274" s="50"/>
      <c r="B274" s="7"/>
      <c r="C274" s="51"/>
      <c r="D274" s="51"/>
      <c r="E274" s="50"/>
      <c r="F274" s="50"/>
      <c r="G274" s="50"/>
      <c r="H274" s="52"/>
      <c r="I274" s="50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ht="15.75" customHeight="1">
      <c r="A275" s="23" t="s">
        <v>70</v>
      </c>
      <c r="B275" s="53" t="s">
        <v>73</v>
      </c>
      <c r="C275" s="54" t="s">
        <v>74</v>
      </c>
      <c r="D275" s="54" t="s">
        <v>75</v>
      </c>
      <c r="E275" s="23" t="s">
        <v>76</v>
      </c>
      <c r="F275" s="23" t="s">
        <v>78</v>
      </c>
      <c r="G275" s="23" t="s">
        <v>79</v>
      </c>
      <c r="H275" s="25" t="s">
        <v>81</v>
      </c>
      <c r="I275" s="23" t="s">
        <v>84</v>
      </c>
      <c r="J275" s="53" t="s">
        <v>85</v>
      </c>
      <c r="K275" s="53" t="s">
        <v>86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15.75" customHeight="1">
      <c r="A276" s="29" t="s">
        <v>861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6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ht="15.75" customHeight="1">
      <c r="A277" s="30">
        <f>A273+1</f>
        <v>199</v>
      </c>
      <c r="B277" s="31" t="s">
        <v>862</v>
      </c>
      <c r="C277" s="33" t="s">
        <v>863</v>
      </c>
      <c r="D277" s="33" t="s">
        <v>864</v>
      </c>
      <c r="E277" s="30" t="s">
        <v>12</v>
      </c>
      <c r="F277" s="30" t="s">
        <v>99</v>
      </c>
      <c r="G277" s="30" t="s">
        <v>13</v>
      </c>
      <c r="H277" s="34" t="s">
        <v>4</v>
      </c>
      <c r="I277" s="30" t="s">
        <v>113</v>
      </c>
      <c r="J277" s="31"/>
      <c r="K277" s="31" t="s">
        <v>116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ht="15.75" customHeight="1">
      <c r="A278" s="30">
        <f t="shared" ref="A278:A280" si="25">A277+1</f>
        <v>200</v>
      </c>
      <c r="B278" s="31" t="s">
        <v>865</v>
      </c>
      <c r="C278" s="33" t="s">
        <v>866</v>
      </c>
      <c r="D278" s="33" t="s">
        <v>867</v>
      </c>
      <c r="E278" s="30" t="s">
        <v>1</v>
      </c>
      <c r="F278" s="30" t="s">
        <v>862</v>
      </c>
      <c r="G278" s="30" t="s">
        <v>841</v>
      </c>
      <c r="H278" s="34" t="s">
        <v>14</v>
      </c>
      <c r="I278" s="30" t="s">
        <v>3</v>
      </c>
      <c r="J278" s="31" t="s">
        <v>868</v>
      </c>
      <c r="K278" s="31" t="s">
        <v>116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15.75" customHeight="1">
      <c r="A279" s="30">
        <f t="shared" si="25"/>
        <v>201</v>
      </c>
      <c r="B279" s="31" t="s">
        <v>869</v>
      </c>
      <c r="C279" s="33" t="s">
        <v>870</v>
      </c>
      <c r="D279" s="33" t="s">
        <v>871</v>
      </c>
      <c r="E279" s="30" t="s">
        <v>1</v>
      </c>
      <c r="F279" s="30" t="s">
        <v>862</v>
      </c>
      <c r="G279" s="30" t="s">
        <v>516</v>
      </c>
      <c r="H279" s="34" t="s">
        <v>14</v>
      </c>
      <c r="I279" s="30" t="s">
        <v>3</v>
      </c>
      <c r="J279" s="33" t="s">
        <v>872</v>
      </c>
      <c r="K279" s="31" t="s">
        <v>116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ht="15.75" customHeight="1">
      <c r="A280" s="75">
        <f t="shared" si="25"/>
        <v>202</v>
      </c>
      <c r="B280" s="76" t="s">
        <v>873</v>
      </c>
      <c r="C280" s="77" t="s">
        <v>874</v>
      </c>
      <c r="D280" s="77" t="s">
        <v>875</v>
      </c>
      <c r="E280" s="75" t="s">
        <v>1</v>
      </c>
      <c r="F280" s="102" t="s">
        <v>862</v>
      </c>
      <c r="G280" s="75" t="s">
        <v>841</v>
      </c>
      <c r="H280" s="78" t="s">
        <v>14</v>
      </c>
      <c r="I280" s="75" t="s">
        <v>3</v>
      </c>
      <c r="J280" s="103" t="s">
        <v>876</v>
      </c>
      <c r="K280" s="103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ht="15.75" customHeight="1">
      <c r="A281" s="50"/>
      <c r="B281" s="7"/>
      <c r="C281" s="51"/>
      <c r="D281" s="51"/>
      <c r="E281" s="50"/>
      <c r="F281" s="50"/>
      <c r="G281" s="50"/>
      <c r="H281" s="52"/>
      <c r="I281" s="50"/>
      <c r="J281" s="51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ht="15.75" customHeight="1">
      <c r="A282" s="23" t="s">
        <v>70</v>
      </c>
      <c r="B282" s="53" t="s">
        <v>73</v>
      </c>
      <c r="C282" s="54" t="s">
        <v>74</v>
      </c>
      <c r="D282" s="54" t="s">
        <v>75</v>
      </c>
      <c r="E282" s="23" t="s">
        <v>76</v>
      </c>
      <c r="F282" s="23" t="s">
        <v>78</v>
      </c>
      <c r="G282" s="23" t="s">
        <v>79</v>
      </c>
      <c r="H282" s="25" t="s">
        <v>81</v>
      </c>
      <c r="I282" s="23" t="s">
        <v>84</v>
      </c>
      <c r="J282" s="53" t="s">
        <v>85</v>
      </c>
      <c r="K282" s="53" t="s">
        <v>86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ht="15.75" customHeight="1">
      <c r="A283" s="29" t="s">
        <v>877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6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ht="15.75" customHeight="1">
      <c r="A284" s="30">
        <f>A280+1</f>
        <v>203</v>
      </c>
      <c r="B284" s="31" t="s">
        <v>878</v>
      </c>
      <c r="C284" s="33" t="s">
        <v>879</v>
      </c>
      <c r="D284" s="33" t="s">
        <v>880</v>
      </c>
      <c r="E284" s="30" t="s">
        <v>12</v>
      </c>
      <c r="F284" s="30" t="s">
        <v>862</v>
      </c>
      <c r="G284" s="30" t="s">
        <v>13</v>
      </c>
      <c r="H284" s="34" t="s">
        <v>14</v>
      </c>
      <c r="I284" s="30" t="s">
        <v>3</v>
      </c>
      <c r="J284" s="33" t="s">
        <v>881</v>
      </c>
      <c r="K284" s="31" t="s">
        <v>116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ht="15.75" customHeight="1">
      <c r="A285" s="30">
        <f t="shared" ref="A285:A291" si="26">A284+1</f>
        <v>204</v>
      </c>
      <c r="B285" s="31" t="s">
        <v>882</v>
      </c>
      <c r="C285" s="33" t="s">
        <v>883</v>
      </c>
      <c r="D285" s="33" t="s">
        <v>884</v>
      </c>
      <c r="E285" s="30" t="s">
        <v>1</v>
      </c>
      <c r="F285" s="30" t="s">
        <v>878</v>
      </c>
      <c r="G285" s="30" t="s">
        <v>885</v>
      </c>
      <c r="H285" s="34" t="s">
        <v>4</v>
      </c>
      <c r="I285" s="30" t="s">
        <v>113</v>
      </c>
      <c r="J285" s="33" t="s">
        <v>886</v>
      </c>
      <c r="K285" s="31" t="s">
        <v>116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ht="15.75" customHeight="1">
      <c r="A286" s="30">
        <f t="shared" si="26"/>
        <v>205</v>
      </c>
      <c r="B286" s="31" t="s">
        <v>887</v>
      </c>
      <c r="C286" s="33" t="s">
        <v>888</v>
      </c>
      <c r="D286" s="33" t="s">
        <v>889</v>
      </c>
      <c r="E286" s="30" t="s">
        <v>1</v>
      </c>
      <c r="F286" s="30" t="s">
        <v>878</v>
      </c>
      <c r="G286" s="30" t="s">
        <v>890</v>
      </c>
      <c r="H286" s="34" t="s">
        <v>4</v>
      </c>
      <c r="I286" s="30" t="s">
        <v>113</v>
      </c>
      <c r="J286" s="33" t="s">
        <v>891</v>
      </c>
      <c r="K286" s="31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ht="15.75" customHeight="1">
      <c r="A287" s="30">
        <f t="shared" si="26"/>
        <v>206</v>
      </c>
      <c r="B287" s="31" t="s">
        <v>892</v>
      </c>
      <c r="C287" s="33" t="s">
        <v>893</v>
      </c>
      <c r="D287" s="33" t="s">
        <v>894</v>
      </c>
      <c r="E287" s="30" t="s">
        <v>1</v>
      </c>
      <c r="F287" s="30" t="s">
        <v>878</v>
      </c>
      <c r="G287" s="30" t="s">
        <v>890</v>
      </c>
      <c r="H287" s="34" t="s">
        <v>4</v>
      </c>
      <c r="I287" s="30" t="s">
        <v>113</v>
      </c>
      <c r="J287" s="31" t="s">
        <v>895</v>
      </c>
      <c r="K287" s="31" t="s">
        <v>116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ht="15.75" customHeight="1">
      <c r="A288" s="30">
        <f t="shared" si="26"/>
        <v>207</v>
      </c>
      <c r="B288" s="31" t="s">
        <v>896</v>
      </c>
      <c r="C288" s="33" t="s">
        <v>897</v>
      </c>
      <c r="D288" s="33" t="s">
        <v>898</v>
      </c>
      <c r="E288" s="30" t="s">
        <v>1</v>
      </c>
      <c r="F288" s="30" t="s">
        <v>878</v>
      </c>
      <c r="G288" s="30" t="s">
        <v>890</v>
      </c>
      <c r="H288" s="34" t="s">
        <v>4</v>
      </c>
      <c r="I288" s="30" t="s">
        <v>113</v>
      </c>
      <c r="J288" s="31"/>
      <c r="K288" s="31" t="s">
        <v>116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15.75" customHeight="1">
      <c r="A289" s="30">
        <f t="shared" si="26"/>
        <v>208</v>
      </c>
      <c r="B289" s="31" t="s">
        <v>899</v>
      </c>
      <c r="C289" s="33" t="s">
        <v>900</v>
      </c>
      <c r="D289" s="33" t="s">
        <v>901</v>
      </c>
      <c r="E289" s="30" t="s">
        <v>1</v>
      </c>
      <c r="F289" s="30" t="s">
        <v>878</v>
      </c>
      <c r="G289" s="30" t="s">
        <v>841</v>
      </c>
      <c r="H289" s="34" t="s">
        <v>4</v>
      </c>
      <c r="I289" s="30" t="s">
        <v>113</v>
      </c>
      <c r="J289" s="33" t="s">
        <v>902</v>
      </c>
      <c r="K289" s="31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ht="15.75" customHeight="1">
      <c r="A290" s="30">
        <f t="shared" si="26"/>
        <v>209</v>
      </c>
      <c r="B290" s="31" t="s">
        <v>903</v>
      </c>
      <c r="C290" s="33" t="s">
        <v>904</v>
      </c>
      <c r="D290" s="33" t="s">
        <v>905</v>
      </c>
      <c r="E290" s="30" t="s">
        <v>1</v>
      </c>
      <c r="F290" s="30" t="s">
        <v>878</v>
      </c>
      <c r="G290" s="30" t="s">
        <v>841</v>
      </c>
      <c r="H290" s="34" t="s">
        <v>4</v>
      </c>
      <c r="I290" s="30" t="s">
        <v>113</v>
      </c>
      <c r="J290" s="31" t="s">
        <v>906</v>
      </c>
      <c r="K290" s="31" t="s">
        <v>116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ht="15.75" customHeight="1">
      <c r="A291" s="30">
        <f t="shared" si="26"/>
        <v>210</v>
      </c>
      <c r="B291" s="31" t="s">
        <v>907</v>
      </c>
      <c r="C291" s="33" t="s">
        <v>908</v>
      </c>
      <c r="D291" s="33" t="s">
        <v>905</v>
      </c>
      <c r="E291" s="30" t="s">
        <v>1</v>
      </c>
      <c r="F291" s="30" t="s">
        <v>878</v>
      </c>
      <c r="G291" s="30" t="s">
        <v>841</v>
      </c>
      <c r="H291" s="34" t="s">
        <v>4</v>
      </c>
      <c r="I291" s="30" t="s">
        <v>113</v>
      </c>
      <c r="J291" s="31" t="s">
        <v>909</v>
      </c>
      <c r="K291" s="31" t="s">
        <v>116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ht="15.75" customHeight="1">
      <c r="A292" s="50"/>
      <c r="B292" s="7"/>
      <c r="C292" s="51"/>
      <c r="D292" s="51"/>
      <c r="E292" s="50"/>
      <c r="F292" s="50"/>
      <c r="G292" s="50"/>
      <c r="H292" s="52"/>
      <c r="I292" s="50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ht="15.75" customHeight="1">
      <c r="A293" s="23" t="s">
        <v>70</v>
      </c>
      <c r="B293" s="53" t="s">
        <v>73</v>
      </c>
      <c r="C293" s="54" t="s">
        <v>74</v>
      </c>
      <c r="D293" s="54" t="s">
        <v>75</v>
      </c>
      <c r="E293" s="23" t="s">
        <v>76</v>
      </c>
      <c r="F293" s="23" t="s">
        <v>78</v>
      </c>
      <c r="G293" s="23" t="s">
        <v>79</v>
      </c>
      <c r="H293" s="25" t="s">
        <v>81</v>
      </c>
      <c r="I293" s="23" t="s">
        <v>84</v>
      </c>
      <c r="J293" s="53" t="s">
        <v>85</v>
      </c>
      <c r="K293" s="53" t="s">
        <v>86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15.75" customHeight="1">
      <c r="A294" s="29" t="s">
        <v>910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6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15.75" customHeight="1">
      <c r="A295" s="30">
        <f>A291+1</f>
        <v>211</v>
      </c>
      <c r="B295" s="31" t="s">
        <v>911</v>
      </c>
      <c r="C295" s="33" t="s">
        <v>912</v>
      </c>
      <c r="D295" s="33" t="s">
        <v>913</v>
      </c>
      <c r="E295" s="30" t="s">
        <v>12</v>
      </c>
      <c r="F295" s="30" t="s">
        <v>862</v>
      </c>
      <c r="G295" s="30" t="s">
        <v>13</v>
      </c>
      <c r="H295" s="34" t="s">
        <v>4</v>
      </c>
      <c r="I295" s="30" t="s">
        <v>113</v>
      </c>
      <c r="J295" s="104"/>
      <c r="K295" s="31" t="s">
        <v>116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107.25" customHeight="1">
      <c r="A296" s="30">
        <f t="shared" ref="A296:A311" si="27">A295+1</f>
        <v>212</v>
      </c>
      <c r="B296" s="31" t="s">
        <v>914</v>
      </c>
      <c r="C296" s="33" t="s">
        <v>112</v>
      </c>
      <c r="D296" s="33" t="s">
        <v>915</v>
      </c>
      <c r="E296" s="30" t="s">
        <v>1</v>
      </c>
      <c r="F296" s="30" t="s">
        <v>911</v>
      </c>
      <c r="G296" s="30" t="s">
        <v>330</v>
      </c>
      <c r="H296" s="34" t="s">
        <v>4</v>
      </c>
      <c r="I296" s="30" t="s">
        <v>113</v>
      </c>
      <c r="J296" s="105" t="s">
        <v>916</v>
      </c>
      <c r="K296" s="31" t="s">
        <v>116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30.0" customHeight="1">
      <c r="A297" s="30">
        <f t="shared" si="27"/>
        <v>213</v>
      </c>
      <c r="B297" s="31" t="s">
        <v>917</v>
      </c>
      <c r="C297" s="33" t="s">
        <v>19</v>
      </c>
      <c r="D297" s="33" t="s">
        <v>918</v>
      </c>
      <c r="E297" s="30" t="s">
        <v>1</v>
      </c>
      <c r="F297" s="30" t="s">
        <v>911</v>
      </c>
      <c r="G297" s="30" t="s">
        <v>841</v>
      </c>
      <c r="H297" s="34" t="s">
        <v>14</v>
      </c>
      <c r="I297" s="30" t="s">
        <v>3</v>
      </c>
      <c r="J297" s="105" t="s">
        <v>919</v>
      </c>
      <c r="K297" s="31" t="s">
        <v>116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34.5" customHeight="1">
      <c r="A298" s="30">
        <f t="shared" si="27"/>
        <v>214</v>
      </c>
      <c r="B298" s="31" t="s">
        <v>920</v>
      </c>
      <c r="C298" s="33" t="s">
        <v>921</v>
      </c>
      <c r="D298" s="33" t="s">
        <v>894</v>
      </c>
      <c r="E298" s="30" t="s">
        <v>1</v>
      </c>
      <c r="F298" s="30" t="s">
        <v>911</v>
      </c>
      <c r="G298" s="30" t="s">
        <v>890</v>
      </c>
      <c r="H298" s="34" t="s">
        <v>14</v>
      </c>
      <c r="I298" s="30" t="s">
        <v>3</v>
      </c>
      <c r="J298" s="105" t="s">
        <v>922</v>
      </c>
      <c r="K298" s="31" t="s">
        <v>116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ht="30.0" customHeight="1">
      <c r="A299" s="30">
        <f t="shared" si="27"/>
        <v>215</v>
      </c>
      <c r="B299" s="31" t="s">
        <v>923</v>
      </c>
      <c r="C299" s="33" t="s">
        <v>924</v>
      </c>
      <c r="D299" s="33" t="s">
        <v>905</v>
      </c>
      <c r="E299" s="30" t="s">
        <v>1</v>
      </c>
      <c r="F299" s="30" t="s">
        <v>911</v>
      </c>
      <c r="G299" s="30" t="s">
        <v>841</v>
      </c>
      <c r="H299" s="34" t="s">
        <v>14</v>
      </c>
      <c r="I299" s="30" t="s">
        <v>3</v>
      </c>
      <c r="J299" s="105" t="s">
        <v>919</v>
      </c>
      <c r="K299" s="31" t="s">
        <v>116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ht="24.75" customHeight="1">
      <c r="A300" s="30">
        <f t="shared" si="27"/>
        <v>216</v>
      </c>
      <c r="B300" s="31" t="s">
        <v>925</v>
      </c>
      <c r="C300" s="33" t="s">
        <v>926</v>
      </c>
      <c r="D300" s="33" t="s">
        <v>927</v>
      </c>
      <c r="E300" s="30" t="s">
        <v>1</v>
      </c>
      <c r="F300" s="30" t="s">
        <v>911</v>
      </c>
      <c r="G300" s="30" t="s">
        <v>890</v>
      </c>
      <c r="H300" s="34" t="s">
        <v>14</v>
      </c>
      <c r="I300" s="30" t="s">
        <v>3</v>
      </c>
      <c r="J300" s="105" t="s">
        <v>928</v>
      </c>
      <c r="K300" s="31" t="s">
        <v>116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ht="48.75" customHeight="1">
      <c r="A301" s="30">
        <f t="shared" si="27"/>
        <v>217</v>
      </c>
      <c r="B301" s="31" t="s">
        <v>929</v>
      </c>
      <c r="C301" s="33" t="s">
        <v>930</v>
      </c>
      <c r="D301" s="33" t="s">
        <v>931</v>
      </c>
      <c r="E301" s="30" t="s">
        <v>1</v>
      </c>
      <c r="F301" s="30" t="s">
        <v>911</v>
      </c>
      <c r="G301" s="30" t="s">
        <v>841</v>
      </c>
      <c r="H301" s="34" t="s">
        <v>14</v>
      </c>
      <c r="I301" s="30" t="s">
        <v>3</v>
      </c>
      <c r="J301" s="105" t="s">
        <v>932</v>
      </c>
      <c r="K301" s="31" t="s">
        <v>116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ht="27.0" customHeight="1">
      <c r="A302" s="30">
        <f t="shared" si="27"/>
        <v>218</v>
      </c>
      <c r="B302" s="31" t="s">
        <v>933</v>
      </c>
      <c r="C302" s="33" t="s">
        <v>934</v>
      </c>
      <c r="D302" s="33" t="s">
        <v>935</v>
      </c>
      <c r="E302" s="30" t="s">
        <v>1</v>
      </c>
      <c r="F302" s="30" t="s">
        <v>911</v>
      </c>
      <c r="G302" s="30" t="s">
        <v>841</v>
      </c>
      <c r="H302" s="34" t="s">
        <v>14</v>
      </c>
      <c r="I302" s="30" t="s">
        <v>3</v>
      </c>
      <c r="J302" s="105" t="s">
        <v>932</v>
      </c>
      <c r="K302" s="31" t="s">
        <v>116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ht="30.75" customHeight="1">
      <c r="A303" s="30">
        <f t="shared" si="27"/>
        <v>219</v>
      </c>
      <c r="B303" s="31" t="s">
        <v>936</v>
      </c>
      <c r="C303" s="33" t="s">
        <v>937</v>
      </c>
      <c r="D303" s="33" t="s">
        <v>938</v>
      </c>
      <c r="E303" s="30" t="s">
        <v>1</v>
      </c>
      <c r="F303" s="30" t="s">
        <v>911</v>
      </c>
      <c r="G303" s="30" t="s">
        <v>890</v>
      </c>
      <c r="H303" s="34" t="s">
        <v>14</v>
      </c>
      <c r="I303" s="30" t="s">
        <v>3</v>
      </c>
      <c r="J303" s="105" t="s">
        <v>939</v>
      </c>
      <c r="K303" s="31" t="s">
        <v>116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ht="39.0" customHeight="1">
      <c r="A304" s="30">
        <f t="shared" si="27"/>
        <v>220</v>
      </c>
      <c r="B304" s="31" t="s">
        <v>940</v>
      </c>
      <c r="C304" s="33" t="s">
        <v>941</v>
      </c>
      <c r="D304" s="33" t="s">
        <v>942</v>
      </c>
      <c r="E304" s="30" t="s">
        <v>1</v>
      </c>
      <c r="F304" s="30" t="s">
        <v>911</v>
      </c>
      <c r="G304" s="30" t="s">
        <v>841</v>
      </c>
      <c r="H304" s="34" t="s">
        <v>14</v>
      </c>
      <c r="I304" s="30" t="s">
        <v>3</v>
      </c>
      <c r="J304" s="105" t="s">
        <v>943</v>
      </c>
      <c r="K304" s="31" t="s">
        <v>116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ht="36.0" customHeight="1">
      <c r="A305" s="30">
        <f t="shared" si="27"/>
        <v>221</v>
      </c>
      <c r="B305" s="31" t="s">
        <v>944</v>
      </c>
      <c r="C305" s="33" t="s">
        <v>945</v>
      </c>
      <c r="D305" s="33" t="s">
        <v>927</v>
      </c>
      <c r="E305" s="30" t="s">
        <v>1</v>
      </c>
      <c r="F305" s="30" t="s">
        <v>911</v>
      </c>
      <c r="G305" s="30" t="s">
        <v>890</v>
      </c>
      <c r="H305" s="34" t="s">
        <v>14</v>
      </c>
      <c r="I305" s="30" t="s">
        <v>3</v>
      </c>
      <c r="J305" s="105" t="s">
        <v>946</v>
      </c>
      <c r="K305" s="31" t="s">
        <v>116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ht="37.5" customHeight="1">
      <c r="A306" s="30">
        <f t="shared" si="27"/>
        <v>222</v>
      </c>
      <c r="B306" s="31" t="s">
        <v>947</v>
      </c>
      <c r="C306" s="33" t="s">
        <v>948</v>
      </c>
      <c r="D306" s="33" t="s">
        <v>918</v>
      </c>
      <c r="E306" s="30" t="s">
        <v>1</v>
      </c>
      <c r="F306" s="30" t="s">
        <v>911</v>
      </c>
      <c r="G306" s="30" t="s">
        <v>841</v>
      </c>
      <c r="H306" s="34" t="s">
        <v>14</v>
      </c>
      <c r="I306" s="30" t="s">
        <v>3</v>
      </c>
      <c r="J306" s="105" t="s">
        <v>949</v>
      </c>
      <c r="K306" s="31" t="s">
        <v>116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ht="34.5" customHeight="1">
      <c r="A307" s="30">
        <f t="shared" si="27"/>
        <v>223</v>
      </c>
      <c r="B307" s="31" t="s">
        <v>950</v>
      </c>
      <c r="C307" s="33" t="s">
        <v>951</v>
      </c>
      <c r="D307" s="33" t="s">
        <v>894</v>
      </c>
      <c r="E307" s="30" t="s">
        <v>1</v>
      </c>
      <c r="F307" s="30" t="s">
        <v>911</v>
      </c>
      <c r="G307" s="30" t="s">
        <v>890</v>
      </c>
      <c r="H307" s="34" t="s">
        <v>14</v>
      </c>
      <c r="I307" s="30" t="s">
        <v>3</v>
      </c>
      <c r="J307" s="105" t="s">
        <v>946</v>
      </c>
      <c r="K307" s="31" t="s">
        <v>116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ht="33.0" customHeight="1">
      <c r="A308" s="30">
        <f t="shared" si="27"/>
        <v>224</v>
      </c>
      <c r="B308" s="31" t="s">
        <v>952</v>
      </c>
      <c r="C308" s="33" t="s">
        <v>953</v>
      </c>
      <c r="D308" s="33" t="s">
        <v>954</v>
      </c>
      <c r="E308" s="30" t="s">
        <v>1</v>
      </c>
      <c r="F308" s="30" t="s">
        <v>911</v>
      </c>
      <c r="G308" s="30" t="s">
        <v>841</v>
      </c>
      <c r="H308" s="34" t="s">
        <v>14</v>
      </c>
      <c r="I308" s="30" t="s">
        <v>3</v>
      </c>
      <c r="J308" s="105" t="s">
        <v>949</v>
      </c>
      <c r="K308" s="31" t="s">
        <v>116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ht="15.75" customHeight="1">
      <c r="A309" s="30">
        <f t="shared" si="27"/>
        <v>225</v>
      </c>
      <c r="B309" s="31" t="s">
        <v>955</v>
      </c>
      <c r="C309" s="33" t="s">
        <v>956</v>
      </c>
      <c r="D309" s="33" t="s">
        <v>957</v>
      </c>
      <c r="E309" s="30" t="s">
        <v>1</v>
      </c>
      <c r="F309" s="30" t="s">
        <v>911</v>
      </c>
      <c r="G309" s="30" t="s">
        <v>283</v>
      </c>
      <c r="H309" s="34" t="s">
        <v>4</v>
      </c>
      <c r="I309" s="30" t="s">
        <v>113</v>
      </c>
      <c r="J309" s="105"/>
      <c r="K309" s="31" t="s">
        <v>116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ht="15.75" customHeight="1">
      <c r="A310" s="30">
        <f t="shared" si="27"/>
        <v>226</v>
      </c>
      <c r="B310" s="31" t="s">
        <v>958</v>
      </c>
      <c r="C310" s="33" t="s">
        <v>959</v>
      </c>
      <c r="D310" s="33" t="s">
        <v>960</v>
      </c>
      <c r="E310" s="30" t="s">
        <v>1</v>
      </c>
      <c r="F310" s="30" t="s">
        <v>911</v>
      </c>
      <c r="G310" s="30" t="s">
        <v>841</v>
      </c>
      <c r="H310" s="34" t="s">
        <v>14</v>
      </c>
      <c r="I310" s="30" t="s">
        <v>3</v>
      </c>
      <c r="J310" s="105" t="s">
        <v>961</v>
      </c>
      <c r="K310" s="31" t="s">
        <v>384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ht="15.75" customHeight="1">
      <c r="A311" s="30">
        <f t="shared" si="27"/>
        <v>227</v>
      </c>
      <c r="B311" s="31" t="s">
        <v>962</v>
      </c>
      <c r="C311" s="33" t="s">
        <v>963</v>
      </c>
      <c r="D311" s="33" t="s">
        <v>964</v>
      </c>
      <c r="E311" s="30" t="s">
        <v>1</v>
      </c>
      <c r="F311" s="30" t="s">
        <v>911</v>
      </c>
      <c r="G311" s="30" t="s">
        <v>183</v>
      </c>
      <c r="H311" s="34" t="s">
        <v>14</v>
      </c>
      <c r="I311" s="30" t="s">
        <v>3</v>
      </c>
      <c r="J311" s="105" t="s">
        <v>961</v>
      </c>
      <c r="K311" s="31" t="s">
        <v>384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ht="15.75" customHeight="1">
      <c r="A312" s="50"/>
      <c r="B312" s="7"/>
      <c r="C312" s="51"/>
      <c r="D312" s="51"/>
      <c r="E312" s="50"/>
      <c r="F312" s="50"/>
      <c r="G312" s="50"/>
      <c r="H312" s="52"/>
      <c r="I312" s="5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ht="15.75" customHeight="1">
      <c r="A313" s="23" t="s">
        <v>70</v>
      </c>
      <c r="B313" s="53" t="s">
        <v>73</v>
      </c>
      <c r="C313" s="54" t="s">
        <v>74</v>
      </c>
      <c r="D313" s="54" t="s">
        <v>75</v>
      </c>
      <c r="E313" s="23" t="s">
        <v>76</v>
      </c>
      <c r="F313" s="23" t="s">
        <v>78</v>
      </c>
      <c r="G313" s="23" t="s">
        <v>79</v>
      </c>
      <c r="H313" s="25" t="s">
        <v>81</v>
      </c>
      <c r="I313" s="23" t="s">
        <v>84</v>
      </c>
      <c r="J313" s="53" t="s">
        <v>85</v>
      </c>
      <c r="K313" s="53" t="s">
        <v>86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ht="15.75" customHeight="1">
      <c r="A314" s="29" t="s">
        <v>965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6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ht="15.75" customHeight="1">
      <c r="A315" s="75">
        <f>A311+1</f>
        <v>228</v>
      </c>
      <c r="B315" s="77" t="s">
        <v>966</v>
      </c>
      <c r="C315" s="77" t="s">
        <v>2</v>
      </c>
      <c r="D315" s="77" t="s">
        <v>967</v>
      </c>
      <c r="E315" s="102" t="s">
        <v>12</v>
      </c>
      <c r="F315" s="75" t="s">
        <v>862</v>
      </c>
      <c r="G315" s="75"/>
      <c r="H315" s="102" t="s">
        <v>14</v>
      </c>
      <c r="I315" s="75" t="s">
        <v>3</v>
      </c>
      <c r="J315" s="76"/>
      <c r="K315" s="76" t="s">
        <v>384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ht="13.5" customHeight="1">
      <c r="A316" s="75">
        <f t="shared" ref="A316:A320" si="28">A315+1</f>
        <v>229</v>
      </c>
      <c r="B316" s="77" t="s">
        <v>968</v>
      </c>
      <c r="C316" s="77" t="s">
        <v>112</v>
      </c>
      <c r="D316" s="77" t="s">
        <v>969</v>
      </c>
      <c r="E316" s="102" t="s">
        <v>1</v>
      </c>
      <c r="F316" s="102" t="s">
        <v>966</v>
      </c>
      <c r="G316" s="102" t="s">
        <v>970</v>
      </c>
      <c r="H316" s="102" t="s">
        <v>4</v>
      </c>
      <c r="I316" s="102" t="s">
        <v>113</v>
      </c>
      <c r="J316" s="76"/>
      <c r="K316" s="76" t="s">
        <v>384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ht="15.75" customHeight="1">
      <c r="A317" s="75">
        <f t="shared" si="28"/>
        <v>230</v>
      </c>
      <c r="B317" s="77" t="s">
        <v>971</v>
      </c>
      <c r="C317" s="77" t="s">
        <v>0</v>
      </c>
      <c r="D317" s="77" t="s">
        <v>972</v>
      </c>
      <c r="E317" s="102" t="s">
        <v>1</v>
      </c>
      <c r="F317" s="102" t="s">
        <v>966</v>
      </c>
      <c r="G317" s="102" t="s">
        <v>973</v>
      </c>
      <c r="H317" s="102" t="s">
        <v>4</v>
      </c>
      <c r="I317" s="102" t="s">
        <v>113</v>
      </c>
      <c r="J317" s="76"/>
      <c r="K317" s="76" t="s">
        <v>384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ht="15.75" customHeight="1">
      <c r="A318" s="75">
        <f t="shared" si="28"/>
        <v>231</v>
      </c>
      <c r="B318" s="77" t="s">
        <v>974</v>
      </c>
      <c r="C318" s="77" t="s">
        <v>11</v>
      </c>
      <c r="D318" s="77" t="s">
        <v>975</v>
      </c>
      <c r="E318" s="102" t="s">
        <v>12</v>
      </c>
      <c r="F318" s="102" t="s">
        <v>966</v>
      </c>
      <c r="G318" s="75"/>
      <c r="H318" s="102" t="s">
        <v>4</v>
      </c>
      <c r="I318" s="102" t="s">
        <v>113</v>
      </c>
      <c r="J318" s="76"/>
      <c r="K318" s="76" t="s">
        <v>384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ht="15.75" customHeight="1">
      <c r="A319" s="75">
        <f t="shared" si="28"/>
        <v>232</v>
      </c>
      <c r="B319" s="77" t="s">
        <v>976</v>
      </c>
      <c r="C319" s="77" t="s">
        <v>19</v>
      </c>
      <c r="D319" s="77" t="s">
        <v>977</v>
      </c>
      <c r="E319" s="102" t="s">
        <v>1</v>
      </c>
      <c r="F319" s="102" t="s">
        <v>974</v>
      </c>
      <c r="G319" s="106" t="s">
        <v>841</v>
      </c>
      <c r="H319" s="102" t="s">
        <v>4</v>
      </c>
      <c r="I319" s="102" t="s">
        <v>113</v>
      </c>
      <c r="J319" s="76"/>
      <c r="K319" s="76" t="s">
        <v>384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ht="18.75" customHeight="1">
      <c r="A320" s="75">
        <f t="shared" si="28"/>
        <v>233</v>
      </c>
      <c r="B320" s="77" t="s">
        <v>978</v>
      </c>
      <c r="C320" s="77" t="s">
        <v>979</v>
      </c>
      <c r="D320" s="77" t="s">
        <v>980</v>
      </c>
      <c r="E320" s="102" t="s">
        <v>1</v>
      </c>
      <c r="F320" s="102" t="s">
        <v>974</v>
      </c>
      <c r="G320" s="106" t="s">
        <v>841</v>
      </c>
      <c r="H320" s="102" t="s">
        <v>4</v>
      </c>
      <c r="I320" s="102" t="s">
        <v>113</v>
      </c>
      <c r="J320" s="76"/>
      <c r="K320" s="76" t="s">
        <v>384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ht="15.75" customHeight="1">
      <c r="A321" s="50"/>
      <c r="B321" s="7"/>
      <c r="C321" s="51"/>
      <c r="D321" s="51"/>
      <c r="E321" s="50"/>
      <c r="F321" s="50"/>
      <c r="G321" s="50"/>
      <c r="H321" s="52"/>
      <c r="I321" s="5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ht="15.75" customHeight="1">
      <c r="A322" s="23" t="s">
        <v>70</v>
      </c>
      <c r="B322" s="53" t="s">
        <v>73</v>
      </c>
      <c r="C322" s="54" t="s">
        <v>74</v>
      </c>
      <c r="D322" s="54" t="s">
        <v>75</v>
      </c>
      <c r="E322" s="23" t="s">
        <v>76</v>
      </c>
      <c r="F322" s="23" t="s">
        <v>78</v>
      </c>
      <c r="G322" s="23" t="s">
        <v>79</v>
      </c>
      <c r="H322" s="25" t="s">
        <v>81</v>
      </c>
      <c r="I322" s="23" t="s">
        <v>84</v>
      </c>
      <c r="J322" s="53" t="s">
        <v>85</v>
      </c>
      <c r="K322" s="53" t="s">
        <v>86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ht="15.75" customHeight="1">
      <c r="A323" s="29" t="s">
        <v>981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6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ht="15.75" customHeight="1">
      <c r="A324" s="75">
        <f>A320+1</f>
        <v>234</v>
      </c>
      <c r="B324" s="77" t="s">
        <v>982</v>
      </c>
      <c r="C324" s="77" t="s">
        <v>25</v>
      </c>
      <c r="D324" s="77" t="s">
        <v>983</v>
      </c>
      <c r="E324" s="102" t="s">
        <v>12</v>
      </c>
      <c r="F324" s="102" t="s">
        <v>974</v>
      </c>
      <c r="G324" s="75"/>
      <c r="H324" s="102" t="s">
        <v>4</v>
      </c>
      <c r="I324" s="102" t="s">
        <v>113</v>
      </c>
      <c r="J324" s="76"/>
      <c r="K324" s="76" t="s">
        <v>384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ht="15.75" customHeight="1">
      <c r="A325" s="75">
        <f t="shared" ref="A325:A334" si="29">A324+1</f>
        <v>235</v>
      </c>
      <c r="B325" s="77" t="s">
        <v>984</v>
      </c>
      <c r="C325" s="77" t="s">
        <v>30</v>
      </c>
      <c r="D325" s="77" t="s">
        <v>985</v>
      </c>
      <c r="E325" s="102" t="s">
        <v>1</v>
      </c>
      <c r="F325" s="102" t="s">
        <v>982</v>
      </c>
      <c r="G325" s="106" t="s">
        <v>986</v>
      </c>
      <c r="H325" s="102" t="s">
        <v>4</v>
      </c>
      <c r="I325" s="102" t="s">
        <v>113</v>
      </c>
      <c r="J325" s="77" t="s">
        <v>987</v>
      </c>
      <c r="K325" s="76" t="s">
        <v>384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ht="15.75" customHeight="1">
      <c r="A326" s="75">
        <f t="shared" si="29"/>
        <v>236</v>
      </c>
      <c r="B326" s="77" t="s">
        <v>988</v>
      </c>
      <c r="C326" s="77" t="s">
        <v>164</v>
      </c>
      <c r="D326" s="77" t="s">
        <v>989</v>
      </c>
      <c r="E326" s="102" t="s">
        <v>1</v>
      </c>
      <c r="F326" s="102" t="s">
        <v>982</v>
      </c>
      <c r="G326" s="106" t="s">
        <v>841</v>
      </c>
      <c r="H326" s="102" t="s">
        <v>4</v>
      </c>
      <c r="I326" s="102" t="s">
        <v>113</v>
      </c>
      <c r="J326" s="76"/>
      <c r="K326" s="76" t="s">
        <v>384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ht="15.75" customHeight="1">
      <c r="A327" s="75">
        <f t="shared" si="29"/>
        <v>237</v>
      </c>
      <c r="B327" s="77" t="s">
        <v>990</v>
      </c>
      <c r="C327" s="77" t="s">
        <v>43</v>
      </c>
      <c r="D327" s="77" t="s">
        <v>991</v>
      </c>
      <c r="E327" s="102" t="s">
        <v>12</v>
      </c>
      <c r="F327" s="102" t="s">
        <v>982</v>
      </c>
      <c r="G327" s="75"/>
      <c r="H327" s="102" t="s">
        <v>14</v>
      </c>
      <c r="I327" s="75" t="s">
        <v>3</v>
      </c>
      <c r="J327" s="76"/>
      <c r="K327" s="76" t="s">
        <v>384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ht="15.75" customHeight="1">
      <c r="A328" s="75">
        <f t="shared" si="29"/>
        <v>238</v>
      </c>
      <c r="B328" s="77" t="s">
        <v>992</v>
      </c>
      <c r="C328" s="77" t="s">
        <v>46</v>
      </c>
      <c r="D328" s="77" t="s">
        <v>993</v>
      </c>
      <c r="E328" s="102" t="s">
        <v>1</v>
      </c>
      <c r="F328" s="102" t="s">
        <v>990</v>
      </c>
      <c r="G328" s="106" t="s">
        <v>986</v>
      </c>
      <c r="H328" s="102" t="s">
        <v>4</v>
      </c>
      <c r="I328" s="102" t="s">
        <v>113</v>
      </c>
      <c r="J328" s="76"/>
      <c r="K328" s="76" t="s">
        <v>384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ht="15.75" customHeight="1">
      <c r="A329" s="75">
        <f t="shared" si="29"/>
        <v>239</v>
      </c>
      <c r="B329" s="77" t="s">
        <v>994</v>
      </c>
      <c r="C329" s="77" t="s">
        <v>48</v>
      </c>
      <c r="D329" s="77" t="s">
        <v>995</v>
      </c>
      <c r="E329" s="102" t="s">
        <v>1</v>
      </c>
      <c r="F329" s="102" t="s">
        <v>990</v>
      </c>
      <c r="G329" s="106" t="s">
        <v>841</v>
      </c>
      <c r="H329" s="102" t="s">
        <v>4</v>
      </c>
      <c r="I329" s="102" t="s">
        <v>113</v>
      </c>
      <c r="J329" s="76"/>
      <c r="K329" s="76" t="s">
        <v>384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ht="15.75" customHeight="1">
      <c r="A330" s="107">
        <f t="shared" si="29"/>
        <v>240</v>
      </c>
      <c r="B330" s="108" t="s">
        <v>996</v>
      </c>
      <c r="C330" s="108" t="s">
        <v>49</v>
      </c>
      <c r="D330" s="108" t="s">
        <v>997</v>
      </c>
      <c r="E330" s="109" t="s">
        <v>12</v>
      </c>
      <c r="F330" s="109" t="s">
        <v>982</v>
      </c>
      <c r="G330" s="107"/>
      <c r="H330" s="109" t="s">
        <v>14</v>
      </c>
      <c r="I330" s="107" t="s">
        <v>3</v>
      </c>
      <c r="J330" s="110"/>
      <c r="K330" s="110" t="s">
        <v>384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ht="15.75" customHeight="1">
      <c r="A331" s="107">
        <f t="shared" si="29"/>
        <v>241</v>
      </c>
      <c r="B331" s="108" t="s">
        <v>998</v>
      </c>
      <c r="C331" s="108" t="s">
        <v>52</v>
      </c>
      <c r="D331" s="108" t="s">
        <v>999</v>
      </c>
      <c r="E331" s="109" t="s">
        <v>1</v>
      </c>
      <c r="F331" s="109" t="s">
        <v>996</v>
      </c>
      <c r="G331" s="111" t="s">
        <v>841</v>
      </c>
      <c r="H331" s="109" t="s">
        <v>4</v>
      </c>
      <c r="I331" s="109" t="s">
        <v>113</v>
      </c>
      <c r="J331" s="108" t="s">
        <v>1000</v>
      </c>
      <c r="K331" s="110" t="s">
        <v>384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ht="15.75" customHeight="1">
      <c r="A332" s="75">
        <f t="shared" si="29"/>
        <v>242</v>
      </c>
      <c r="B332" s="77" t="s">
        <v>1001</v>
      </c>
      <c r="C332" s="77" t="s">
        <v>77</v>
      </c>
      <c r="D332" s="77" t="s">
        <v>1002</v>
      </c>
      <c r="E332" s="102" t="s">
        <v>12</v>
      </c>
      <c r="F332" s="102" t="s">
        <v>982</v>
      </c>
      <c r="G332" s="75"/>
      <c r="H332" s="102" t="s">
        <v>14</v>
      </c>
      <c r="I332" s="75" t="s">
        <v>3</v>
      </c>
      <c r="J332" s="76"/>
      <c r="K332" s="76" t="s">
        <v>384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ht="15.75" customHeight="1">
      <c r="A333" s="75">
        <f t="shared" si="29"/>
        <v>243</v>
      </c>
      <c r="B333" s="77" t="s">
        <v>1003</v>
      </c>
      <c r="C333" s="77" t="s">
        <v>83</v>
      </c>
      <c r="D333" s="77" t="s">
        <v>1004</v>
      </c>
      <c r="E333" s="102" t="s">
        <v>1</v>
      </c>
      <c r="F333" s="102" t="s">
        <v>1001</v>
      </c>
      <c r="G333" s="106" t="s">
        <v>986</v>
      </c>
      <c r="H333" s="102" t="s">
        <v>4</v>
      </c>
      <c r="I333" s="102" t="s">
        <v>113</v>
      </c>
      <c r="J333" s="76"/>
      <c r="K333" s="76" t="s">
        <v>384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ht="15.75" customHeight="1">
      <c r="A334" s="75">
        <f t="shared" si="29"/>
        <v>244</v>
      </c>
      <c r="B334" s="77" t="s">
        <v>1005</v>
      </c>
      <c r="C334" s="77" t="s">
        <v>87</v>
      </c>
      <c r="D334" s="77" t="s">
        <v>1006</v>
      </c>
      <c r="E334" s="102" t="s">
        <v>1</v>
      </c>
      <c r="F334" s="102" t="s">
        <v>1001</v>
      </c>
      <c r="G334" s="106" t="s">
        <v>986</v>
      </c>
      <c r="H334" s="102" t="s">
        <v>4</v>
      </c>
      <c r="I334" s="102" t="s">
        <v>113</v>
      </c>
      <c r="J334" s="77" t="s">
        <v>1007</v>
      </c>
      <c r="K334" s="76" t="s">
        <v>384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ht="15.75" customHeight="1">
      <c r="A335" s="50"/>
      <c r="B335" s="7"/>
      <c r="C335" s="51"/>
      <c r="D335" s="51"/>
      <c r="E335" s="50"/>
      <c r="F335" s="50"/>
      <c r="G335" s="50"/>
      <c r="H335" s="52"/>
      <c r="I335" s="50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15.75" customHeight="1">
      <c r="A336" s="23" t="s">
        <v>70</v>
      </c>
      <c r="B336" s="53" t="s">
        <v>73</v>
      </c>
      <c r="C336" s="54" t="s">
        <v>74</v>
      </c>
      <c r="D336" s="54" t="s">
        <v>75</v>
      </c>
      <c r="E336" s="23" t="s">
        <v>76</v>
      </c>
      <c r="F336" s="23" t="s">
        <v>78</v>
      </c>
      <c r="G336" s="23" t="s">
        <v>79</v>
      </c>
      <c r="H336" s="25" t="s">
        <v>81</v>
      </c>
      <c r="I336" s="23" t="s">
        <v>84</v>
      </c>
      <c r="J336" s="53" t="s">
        <v>85</v>
      </c>
      <c r="K336" s="53" t="s">
        <v>86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15.75" customHeight="1">
      <c r="A337" s="29" t="s">
        <v>1008</v>
      </c>
      <c r="B337" s="15"/>
      <c r="C337" s="15"/>
      <c r="D337" s="15"/>
      <c r="E337" s="15"/>
      <c r="F337" s="15"/>
      <c r="G337" s="15"/>
      <c r="H337" s="15"/>
      <c r="I337" s="15"/>
      <c r="J337" s="15"/>
      <c r="K337" s="16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15.75" customHeight="1">
      <c r="A338" s="75">
        <f>A334+1</f>
        <v>245</v>
      </c>
      <c r="B338" s="77" t="s">
        <v>1009</v>
      </c>
      <c r="C338" s="77" t="s">
        <v>171</v>
      </c>
      <c r="D338" s="77" t="s">
        <v>1010</v>
      </c>
      <c r="E338" s="102" t="s">
        <v>12</v>
      </c>
      <c r="F338" s="102" t="s">
        <v>974</v>
      </c>
      <c r="G338" s="75"/>
      <c r="H338" s="102" t="s">
        <v>4</v>
      </c>
      <c r="I338" s="102" t="s">
        <v>113</v>
      </c>
      <c r="J338" s="76"/>
      <c r="K338" s="76" t="s">
        <v>384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15.75" customHeight="1">
      <c r="A339" s="75">
        <f t="shared" ref="A339:A348" si="30">A338+1</f>
        <v>246</v>
      </c>
      <c r="B339" s="77" t="s">
        <v>1011</v>
      </c>
      <c r="C339" s="77" t="s">
        <v>182</v>
      </c>
      <c r="D339" s="77" t="s">
        <v>1012</v>
      </c>
      <c r="E339" s="102" t="s">
        <v>1</v>
      </c>
      <c r="F339" s="102" t="s">
        <v>1009</v>
      </c>
      <c r="G339" s="106" t="s">
        <v>986</v>
      </c>
      <c r="H339" s="102" t="s">
        <v>4</v>
      </c>
      <c r="I339" s="102" t="s">
        <v>113</v>
      </c>
      <c r="J339" s="76"/>
      <c r="K339" s="76" t="s">
        <v>384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ht="15.75" customHeight="1">
      <c r="A340" s="75">
        <f t="shared" si="30"/>
        <v>247</v>
      </c>
      <c r="B340" s="77" t="s">
        <v>1013</v>
      </c>
      <c r="C340" s="77" t="s">
        <v>1014</v>
      </c>
      <c r="D340" s="77" t="s">
        <v>1015</v>
      </c>
      <c r="E340" s="102" t="s">
        <v>1</v>
      </c>
      <c r="F340" s="102" t="s">
        <v>1009</v>
      </c>
      <c r="G340" s="106" t="s">
        <v>841</v>
      </c>
      <c r="H340" s="102" t="s">
        <v>4</v>
      </c>
      <c r="I340" s="102" t="s">
        <v>113</v>
      </c>
      <c r="J340" s="76"/>
      <c r="K340" s="76" t="s">
        <v>384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ht="15.75" customHeight="1">
      <c r="A341" s="75">
        <f t="shared" si="30"/>
        <v>248</v>
      </c>
      <c r="B341" s="77" t="s">
        <v>1016</v>
      </c>
      <c r="C341" s="77" t="s">
        <v>43</v>
      </c>
      <c r="D341" s="77" t="s">
        <v>991</v>
      </c>
      <c r="E341" s="102" t="s">
        <v>12</v>
      </c>
      <c r="F341" s="102" t="s">
        <v>1009</v>
      </c>
      <c r="G341" s="75"/>
      <c r="H341" s="102" t="s">
        <v>14</v>
      </c>
      <c r="I341" s="75" t="s">
        <v>3</v>
      </c>
      <c r="J341" s="76"/>
      <c r="K341" s="76" t="s">
        <v>384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15.75" customHeight="1">
      <c r="A342" s="75">
        <f t="shared" si="30"/>
        <v>249</v>
      </c>
      <c r="B342" s="77" t="s">
        <v>1017</v>
      </c>
      <c r="C342" s="77" t="s">
        <v>46</v>
      </c>
      <c r="D342" s="77" t="s">
        <v>993</v>
      </c>
      <c r="E342" s="102" t="s">
        <v>1</v>
      </c>
      <c r="F342" s="102" t="s">
        <v>1016</v>
      </c>
      <c r="G342" s="106" t="s">
        <v>986</v>
      </c>
      <c r="H342" s="102" t="s">
        <v>4</v>
      </c>
      <c r="I342" s="102" t="s">
        <v>113</v>
      </c>
      <c r="J342" s="76"/>
      <c r="K342" s="76" t="s">
        <v>384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15.75" customHeight="1">
      <c r="A343" s="75">
        <f t="shared" si="30"/>
        <v>250</v>
      </c>
      <c r="B343" s="77" t="s">
        <v>1018</v>
      </c>
      <c r="C343" s="77" t="s">
        <v>48</v>
      </c>
      <c r="D343" s="77" t="s">
        <v>995</v>
      </c>
      <c r="E343" s="102" t="s">
        <v>1</v>
      </c>
      <c r="F343" s="102" t="s">
        <v>1016</v>
      </c>
      <c r="G343" s="106" t="s">
        <v>841</v>
      </c>
      <c r="H343" s="102" t="s">
        <v>4</v>
      </c>
      <c r="I343" s="102" t="s">
        <v>113</v>
      </c>
      <c r="J343" s="76"/>
      <c r="K343" s="76" t="s">
        <v>384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15.75" customHeight="1">
      <c r="A344" s="107">
        <f t="shared" si="30"/>
        <v>251</v>
      </c>
      <c r="B344" s="108" t="s">
        <v>1019</v>
      </c>
      <c r="C344" s="108" t="s">
        <v>49</v>
      </c>
      <c r="D344" s="108" t="s">
        <v>997</v>
      </c>
      <c r="E344" s="109" t="s">
        <v>12</v>
      </c>
      <c r="F344" s="109" t="s">
        <v>1009</v>
      </c>
      <c r="G344" s="107"/>
      <c r="H344" s="109" t="s">
        <v>14</v>
      </c>
      <c r="I344" s="107" t="s">
        <v>3</v>
      </c>
      <c r="J344" s="110"/>
      <c r="K344" s="110" t="s">
        <v>384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15.75" customHeight="1">
      <c r="A345" s="107">
        <f t="shared" si="30"/>
        <v>252</v>
      </c>
      <c r="B345" s="108" t="s">
        <v>1020</v>
      </c>
      <c r="C345" s="108" t="s">
        <v>52</v>
      </c>
      <c r="D345" s="108" t="s">
        <v>999</v>
      </c>
      <c r="E345" s="109" t="s">
        <v>1</v>
      </c>
      <c r="F345" s="109" t="s">
        <v>1019</v>
      </c>
      <c r="G345" s="111" t="s">
        <v>841</v>
      </c>
      <c r="H345" s="109" t="s">
        <v>4</v>
      </c>
      <c r="I345" s="109" t="s">
        <v>113</v>
      </c>
      <c r="J345" s="108" t="s">
        <v>1000</v>
      </c>
      <c r="K345" s="110" t="s">
        <v>384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15.75" customHeight="1">
      <c r="A346" s="75">
        <f t="shared" si="30"/>
        <v>253</v>
      </c>
      <c r="B346" s="77" t="s">
        <v>1021</v>
      </c>
      <c r="C346" s="77" t="s">
        <v>77</v>
      </c>
      <c r="D346" s="77" t="s">
        <v>1002</v>
      </c>
      <c r="E346" s="102" t="s">
        <v>12</v>
      </c>
      <c r="F346" s="102" t="s">
        <v>1009</v>
      </c>
      <c r="G346" s="75"/>
      <c r="H346" s="102" t="s">
        <v>14</v>
      </c>
      <c r="I346" s="75" t="s">
        <v>3</v>
      </c>
      <c r="J346" s="76"/>
      <c r="K346" s="76" t="s">
        <v>384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ht="15.75" customHeight="1">
      <c r="A347" s="75">
        <f t="shared" si="30"/>
        <v>254</v>
      </c>
      <c r="B347" s="77" t="s">
        <v>1022</v>
      </c>
      <c r="C347" s="77" t="s">
        <v>83</v>
      </c>
      <c r="D347" s="77" t="s">
        <v>1004</v>
      </c>
      <c r="E347" s="102" t="s">
        <v>1</v>
      </c>
      <c r="F347" s="102" t="s">
        <v>1021</v>
      </c>
      <c r="G347" s="106" t="s">
        <v>986</v>
      </c>
      <c r="H347" s="102" t="s">
        <v>4</v>
      </c>
      <c r="I347" s="102" t="s">
        <v>113</v>
      </c>
      <c r="J347" s="76"/>
      <c r="K347" s="76" t="s">
        <v>384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ht="15.75" customHeight="1">
      <c r="A348" s="75">
        <f t="shared" si="30"/>
        <v>255</v>
      </c>
      <c r="B348" s="77" t="s">
        <v>1023</v>
      </c>
      <c r="C348" s="77" t="s">
        <v>87</v>
      </c>
      <c r="D348" s="77" t="s">
        <v>1024</v>
      </c>
      <c r="E348" s="102" t="s">
        <v>1</v>
      </c>
      <c r="F348" s="102" t="s">
        <v>1021</v>
      </c>
      <c r="G348" s="106" t="s">
        <v>986</v>
      </c>
      <c r="H348" s="102" t="s">
        <v>4</v>
      </c>
      <c r="I348" s="102" t="s">
        <v>113</v>
      </c>
      <c r="J348" s="77" t="s">
        <v>1007</v>
      </c>
      <c r="K348" s="76" t="s">
        <v>384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ht="15.75" customHeight="1">
      <c r="A349" s="50"/>
      <c r="B349" s="7"/>
      <c r="C349" s="51"/>
      <c r="D349" s="51"/>
      <c r="E349" s="50"/>
      <c r="F349" s="50"/>
      <c r="G349" s="50"/>
      <c r="H349" s="52"/>
      <c r="I349" s="50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ht="15.75" customHeight="1">
      <c r="A350" s="23" t="s">
        <v>70</v>
      </c>
      <c r="B350" s="53" t="s">
        <v>73</v>
      </c>
      <c r="C350" s="54" t="s">
        <v>74</v>
      </c>
      <c r="D350" s="54" t="s">
        <v>75</v>
      </c>
      <c r="E350" s="23" t="s">
        <v>76</v>
      </c>
      <c r="F350" s="23" t="s">
        <v>78</v>
      </c>
      <c r="G350" s="23" t="s">
        <v>79</v>
      </c>
      <c r="H350" s="25" t="s">
        <v>81</v>
      </c>
      <c r="I350" s="23" t="s">
        <v>84</v>
      </c>
      <c r="J350" s="53" t="s">
        <v>85</v>
      </c>
      <c r="K350" s="53" t="s">
        <v>86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ht="15.75" customHeight="1">
      <c r="A351" s="29" t="s">
        <v>1025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6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ht="15.75" customHeight="1">
      <c r="A352" s="75">
        <f>A348+1</f>
        <v>256</v>
      </c>
      <c r="B352" s="77" t="s">
        <v>1026</v>
      </c>
      <c r="C352" s="77" t="s">
        <v>1027</v>
      </c>
      <c r="D352" s="77" t="s">
        <v>1028</v>
      </c>
      <c r="E352" s="102" t="s">
        <v>12</v>
      </c>
      <c r="F352" s="102" t="s">
        <v>974</v>
      </c>
      <c r="G352" s="75"/>
      <c r="H352" s="102" t="s">
        <v>4</v>
      </c>
      <c r="I352" s="102" t="s">
        <v>113</v>
      </c>
      <c r="J352" s="76"/>
      <c r="K352" s="76" t="s">
        <v>384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ht="15.75" customHeight="1">
      <c r="A353" s="75">
        <f t="shared" ref="A353:A365" si="31">A352+1</f>
        <v>257</v>
      </c>
      <c r="B353" s="77" t="s">
        <v>1029</v>
      </c>
      <c r="C353" s="77" t="s">
        <v>1030</v>
      </c>
      <c r="D353" s="77" t="s">
        <v>1031</v>
      </c>
      <c r="E353" s="102" t="s">
        <v>1</v>
      </c>
      <c r="F353" s="102" t="s">
        <v>1026</v>
      </c>
      <c r="G353" s="106" t="s">
        <v>986</v>
      </c>
      <c r="H353" s="102" t="s">
        <v>4</v>
      </c>
      <c r="I353" s="102" t="s">
        <v>113</v>
      </c>
      <c r="J353" s="76"/>
      <c r="K353" s="76" t="s">
        <v>384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ht="15.75" customHeight="1">
      <c r="A354" s="75">
        <f t="shared" si="31"/>
        <v>258</v>
      </c>
      <c r="B354" s="77" t="s">
        <v>1032</v>
      </c>
      <c r="C354" s="77" t="s">
        <v>1033</v>
      </c>
      <c r="D354" s="77" t="s">
        <v>1034</v>
      </c>
      <c r="E354" s="102" t="s">
        <v>1</v>
      </c>
      <c r="F354" s="102" t="s">
        <v>1026</v>
      </c>
      <c r="G354" s="106" t="s">
        <v>841</v>
      </c>
      <c r="H354" s="102" t="s">
        <v>4</v>
      </c>
      <c r="I354" s="102" t="s">
        <v>113</v>
      </c>
      <c r="J354" s="76"/>
      <c r="K354" s="76" t="s">
        <v>384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ht="15.75" customHeight="1">
      <c r="A355" s="75">
        <f t="shared" si="31"/>
        <v>259</v>
      </c>
      <c r="B355" s="77" t="s">
        <v>1035</v>
      </c>
      <c r="C355" s="77" t="s">
        <v>43</v>
      </c>
      <c r="D355" s="77" t="s">
        <v>991</v>
      </c>
      <c r="E355" s="102" t="s">
        <v>12</v>
      </c>
      <c r="F355" s="102" t="s">
        <v>1026</v>
      </c>
      <c r="G355" s="75"/>
      <c r="H355" s="102" t="s">
        <v>14</v>
      </c>
      <c r="I355" s="75" t="s">
        <v>3</v>
      </c>
      <c r="J355" s="76"/>
      <c r="K355" s="76" t="s">
        <v>384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ht="15.75" customHeight="1">
      <c r="A356" s="75">
        <f t="shared" si="31"/>
        <v>260</v>
      </c>
      <c r="B356" s="77" t="s">
        <v>1036</v>
      </c>
      <c r="C356" s="77" t="s">
        <v>46</v>
      </c>
      <c r="D356" s="77" t="s">
        <v>993</v>
      </c>
      <c r="E356" s="102" t="s">
        <v>1</v>
      </c>
      <c r="F356" s="102" t="s">
        <v>1035</v>
      </c>
      <c r="G356" s="106" t="s">
        <v>986</v>
      </c>
      <c r="H356" s="102" t="s">
        <v>4</v>
      </c>
      <c r="I356" s="102" t="s">
        <v>113</v>
      </c>
      <c r="J356" s="76"/>
      <c r="K356" s="76" t="s">
        <v>384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ht="15.75" customHeight="1">
      <c r="A357" s="75">
        <f t="shared" si="31"/>
        <v>261</v>
      </c>
      <c r="B357" s="77" t="s">
        <v>1037</v>
      </c>
      <c r="C357" s="77" t="s">
        <v>48</v>
      </c>
      <c r="D357" s="77" t="s">
        <v>995</v>
      </c>
      <c r="E357" s="102" t="s">
        <v>1</v>
      </c>
      <c r="F357" s="102" t="s">
        <v>1035</v>
      </c>
      <c r="G357" s="106" t="s">
        <v>841</v>
      </c>
      <c r="H357" s="102" t="s">
        <v>4</v>
      </c>
      <c r="I357" s="102" t="s">
        <v>113</v>
      </c>
      <c r="J357" s="76"/>
      <c r="K357" s="76" t="s">
        <v>384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ht="15.75" customHeight="1">
      <c r="A358" s="107">
        <f t="shared" si="31"/>
        <v>262</v>
      </c>
      <c r="B358" s="108" t="s">
        <v>1038</v>
      </c>
      <c r="C358" s="108" t="s">
        <v>49</v>
      </c>
      <c r="D358" s="108" t="s">
        <v>997</v>
      </c>
      <c r="E358" s="109" t="s">
        <v>12</v>
      </c>
      <c r="F358" s="109" t="s">
        <v>1026</v>
      </c>
      <c r="G358" s="107"/>
      <c r="H358" s="109" t="s">
        <v>14</v>
      </c>
      <c r="I358" s="107" t="s">
        <v>3</v>
      </c>
      <c r="J358" s="110"/>
      <c r="K358" s="110" t="s">
        <v>384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ht="15.75" customHeight="1">
      <c r="A359" s="107">
        <f t="shared" si="31"/>
        <v>263</v>
      </c>
      <c r="B359" s="108" t="s">
        <v>1039</v>
      </c>
      <c r="C359" s="108" t="s">
        <v>52</v>
      </c>
      <c r="D359" s="108" t="s">
        <v>999</v>
      </c>
      <c r="E359" s="109" t="s">
        <v>1</v>
      </c>
      <c r="F359" s="109" t="s">
        <v>1038</v>
      </c>
      <c r="G359" s="111" t="s">
        <v>841</v>
      </c>
      <c r="H359" s="109" t="s">
        <v>4</v>
      </c>
      <c r="I359" s="109" t="s">
        <v>113</v>
      </c>
      <c r="J359" s="108" t="s">
        <v>1000</v>
      </c>
      <c r="K359" s="110" t="s">
        <v>384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ht="15.75" customHeight="1">
      <c r="A360" s="75">
        <f t="shared" si="31"/>
        <v>264</v>
      </c>
      <c r="B360" s="77" t="s">
        <v>1040</v>
      </c>
      <c r="C360" s="77" t="s">
        <v>77</v>
      </c>
      <c r="D360" s="77" t="s">
        <v>1002</v>
      </c>
      <c r="E360" s="102" t="s">
        <v>12</v>
      </c>
      <c r="F360" s="102" t="s">
        <v>1026</v>
      </c>
      <c r="G360" s="75"/>
      <c r="H360" s="102" t="s">
        <v>14</v>
      </c>
      <c r="I360" s="75" t="s">
        <v>3</v>
      </c>
      <c r="J360" s="76"/>
      <c r="K360" s="76" t="s">
        <v>384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ht="15.75" customHeight="1">
      <c r="A361" s="75">
        <f t="shared" si="31"/>
        <v>265</v>
      </c>
      <c r="B361" s="77" t="s">
        <v>1041</v>
      </c>
      <c r="C361" s="77" t="s">
        <v>83</v>
      </c>
      <c r="D361" s="77" t="s">
        <v>1004</v>
      </c>
      <c r="E361" s="102" t="s">
        <v>1</v>
      </c>
      <c r="F361" s="102" t="s">
        <v>1040</v>
      </c>
      <c r="G361" s="106" t="s">
        <v>986</v>
      </c>
      <c r="H361" s="102" t="s">
        <v>4</v>
      </c>
      <c r="I361" s="102" t="s">
        <v>113</v>
      </c>
      <c r="J361" s="76"/>
      <c r="K361" s="76" t="s">
        <v>384</v>
      </c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ht="15.75" customHeight="1">
      <c r="A362" s="75">
        <f t="shared" si="31"/>
        <v>266</v>
      </c>
      <c r="B362" s="77" t="s">
        <v>1042</v>
      </c>
      <c r="C362" s="77" t="s">
        <v>87</v>
      </c>
      <c r="D362" s="77" t="s">
        <v>1043</v>
      </c>
      <c r="E362" s="102" t="s">
        <v>1</v>
      </c>
      <c r="F362" s="102" t="s">
        <v>1040</v>
      </c>
      <c r="G362" s="106" t="s">
        <v>986</v>
      </c>
      <c r="H362" s="102" t="s">
        <v>4</v>
      </c>
      <c r="I362" s="102" t="s">
        <v>113</v>
      </c>
      <c r="J362" s="77" t="s">
        <v>1007</v>
      </c>
      <c r="K362" s="76" t="s">
        <v>384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64">
        <f t="shared" si="31"/>
        <v>267</v>
      </c>
      <c r="B363" s="65" t="s">
        <v>1044</v>
      </c>
      <c r="C363" s="65" t="s">
        <v>1045</v>
      </c>
      <c r="D363" s="65" t="s">
        <v>1046</v>
      </c>
      <c r="E363" s="66" t="s">
        <v>12</v>
      </c>
      <c r="F363" s="66" t="s">
        <v>1026</v>
      </c>
      <c r="G363" s="64" t="s">
        <v>13</v>
      </c>
      <c r="H363" s="66" t="s">
        <v>14</v>
      </c>
      <c r="I363" s="64" t="s">
        <v>3</v>
      </c>
      <c r="J363" s="67" t="s">
        <v>1047</v>
      </c>
      <c r="K363" s="67" t="s">
        <v>384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64">
        <f t="shared" si="31"/>
        <v>268</v>
      </c>
      <c r="B364" s="65" t="s">
        <v>1048</v>
      </c>
      <c r="C364" s="65" t="s">
        <v>1049</v>
      </c>
      <c r="D364" s="65" t="s">
        <v>1050</v>
      </c>
      <c r="E364" s="66" t="s">
        <v>1</v>
      </c>
      <c r="F364" s="66" t="s">
        <v>1044</v>
      </c>
      <c r="G364" s="68" t="s">
        <v>986</v>
      </c>
      <c r="H364" s="112" t="s">
        <v>4</v>
      </c>
      <c r="I364" s="66" t="s">
        <v>113</v>
      </c>
      <c r="J364" s="67" t="s">
        <v>1051</v>
      </c>
      <c r="K364" s="67" t="s">
        <v>384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64">
        <f t="shared" si="31"/>
        <v>269</v>
      </c>
      <c r="B365" s="65" t="s">
        <v>1052</v>
      </c>
      <c r="C365" s="65" t="s">
        <v>1053</v>
      </c>
      <c r="D365" s="65" t="s">
        <v>1054</v>
      </c>
      <c r="E365" s="66" t="s">
        <v>1</v>
      </c>
      <c r="F365" s="66" t="s">
        <v>1044</v>
      </c>
      <c r="G365" s="68" t="s">
        <v>841</v>
      </c>
      <c r="H365" s="112" t="s">
        <v>4</v>
      </c>
      <c r="I365" s="66" t="s">
        <v>113</v>
      </c>
      <c r="J365" s="67" t="s">
        <v>1055</v>
      </c>
      <c r="K365" s="67" t="s">
        <v>384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ht="15.75" customHeight="1">
      <c r="A366" s="50"/>
      <c r="B366" s="7"/>
      <c r="C366" s="51"/>
      <c r="D366" s="51"/>
      <c r="E366" s="50"/>
      <c r="F366" s="50"/>
      <c r="G366" s="50"/>
      <c r="H366" s="52"/>
      <c r="I366" s="50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ht="15.75" customHeight="1">
      <c r="A367" s="23" t="s">
        <v>70</v>
      </c>
      <c r="B367" s="53" t="s">
        <v>73</v>
      </c>
      <c r="C367" s="54" t="s">
        <v>74</v>
      </c>
      <c r="D367" s="54" t="s">
        <v>75</v>
      </c>
      <c r="E367" s="23" t="s">
        <v>76</v>
      </c>
      <c r="F367" s="23" t="s">
        <v>78</v>
      </c>
      <c r="G367" s="23" t="s">
        <v>79</v>
      </c>
      <c r="H367" s="25" t="s">
        <v>81</v>
      </c>
      <c r="I367" s="23" t="s">
        <v>84</v>
      </c>
      <c r="J367" s="53" t="s">
        <v>85</v>
      </c>
      <c r="K367" s="53" t="s">
        <v>86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ht="15.75" customHeight="1">
      <c r="A368" s="29" t="s">
        <v>1056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6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ht="15.75" customHeight="1">
      <c r="A369" s="75">
        <f>A365+1</f>
        <v>270</v>
      </c>
      <c r="B369" s="77" t="s">
        <v>1057</v>
      </c>
      <c r="C369" s="77" t="s">
        <v>1058</v>
      </c>
      <c r="D369" s="77" t="s">
        <v>1059</v>
      </c>
      <c r="E369" s="102" t="s">
        <v>12</v>
      </c>
      <c r="F369" s="102" t="s">
        <v>974</v>
      </c>
      <c r="G369" s="75"/>
      <c r="H369" s="102" t="s">
        <v>14</v>
      </c>
      <c r="I369" s="75" t="s">
        <v>3</v>
      </c>
      <c r="J369" s="77" t="s">
        <v>1060</v>
      </c>
      <c r="K369" s="76" t="s">
        <v>384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ht="15.75" customHeight="1">
      <c r="A370" s="75">
        <f t="shared" ref="A370:A377" si="32">A369+1</f>
        <v>271</v>
      </c>
      <c r="B370" s="77" t="s">
        <v>1061</v>
      </c>
      <c r="C370" s="77" t="s">
        <v>1062</v>
      </c>
      <c r="D370" s="77" t="s">
        <v>1063</v>
      </c>
      <c r="E370" s="102" t="s">
        <v>1</v>
      </c>
      <c r="F370" s="102" t="s">
        <v>1057</v>
      </c>
      <c r="G370" s="102" t="s">
        <v>970</v>
      </c>
      <c r="H370" s="102" t="s">
        <v>4</v>
      </c>
      <c r="I370" s="102" t="s">
        <v>113</v>
      </c>
      <c r="J370" s="77" t="s">
        <v>1064</v>
      </c>
      <c r="K370" s="76" t="s">
        <v>384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ht="15.75" customHeight="1">
      <c r="A371" s="75">
        <f t="shared" si="32"/>
        <v>272</v>
      </c>
      <c r="B371" s="77" t="s">
        <v>1065</v>
      </c>
      <c r="C371" s="77" t="s">
        <v>1066</v>
      </c>
      <c r="D371" s="77" t="s">
        <v>1067</v>
      </c>
      <c r="E371" s="102" t="s">
        <v>1</v>
      </c>
      <c r="F371" s="102" t="s">
        <v>1057</v>
      </c>
      <c r="G371" s="106" t="s">
        <v>198</v>
      </c>
      <c r="H371" s="102" t="s">
        <v>4</v>
      </c>
      <c r="I371" s="102" t="s">
        <v>113</v>
      </c>
      <c r="J371" s="77" t="s">
        <v>1068</v>
      </c>
      <c r="K371" s="76" t="s">
        <v>384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ht="15.75" customHeight="1">
      <c r="A372" s="75">
        <f t="shared" si="32"/>
        <v>273</v>
      </c>
      <c r="B372" s="77" t="s">
        <v>1069</v>
      </c>
      <c r="C372" s="77" t="s">
        <v>1070</v>
      </c>
      <c r="D372" s="77" t="s">
        <v>1071</v>
      </c>
      <c r="E372" s="102" t="s">
        <v>1</v>
      </c>
      <c r="F372" s="102" t="s">
        <v>1057</v>
      </c>
      <c r="G372" s="75" t="s">
        <v>486</v>
      </c>
      <c r="H372" s="102" t="s">
        <v>4</v>
      </c>
      <c r="I372" s="75" t="s">
        <v>3</v>
      </c>
      <c r="J372" s="77" t="s">
        <v>1072</v>
      </c>
      <c r="K372" s="76" t="s">
        <v>384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ht="15.75" customHeight="1">
      <c r="A373" s="75">
        <f t="shared" si="32"/>
        <v>274</v>
      </c>
      <c r="B373" s="77" t="s">
        <v>1069</v>
      </c>
      <c r="C373" s="77" t="s">
        <v>1073</v>
      </c>
      <c r="D373" s="77" t="s">
        <v>1074</v>
      </c>
      <c r="E373" s="102" t="s">
        <v>1</v>
      </c>
      <c r="F373" s="102" t="s">
        <v>1057</v>
      </c>
      <c r="G373" s="106" t="s">
        <v>841</v>
      </c>
      <c r="H373" s="102" t="s">
        <v>4</v>
      </c>
      <c r="I373" s="75" t="s">
        <v>3</v>
      </c>
      <c r="J373" s="77" t="s">
        <v>1074</v>
      </c>
      <c r="K373" s="76" t="s">
        <v>384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ht="15.75" customHeight="1">
      <c r="A374" s="75">
        <f t="shared" si="32"/>
        <v>275</v>
      </c>
      <c r="B374" s="77" t="s">
        <v>1075</v>
      </c>
      <c r="C374" s="77" t="s">
        <v>1076</v>
      </c>
      <c r="D374" s="77" t="s">
        <v>1077</v>
      </c>
      <c r="E374" s="102" t="s">
        <v>1</v>
      </c>
      <c r="F374" s="102" t="s">
        <v>1057</v>
      </c>
      <c r="G374" s="75" t="s">
        <v>486</v>
      </c>
      <c r="H374" s="102" t="s">
        <v>4</v>
      </c>
      <c r="I374" s="75" t="s">
        <v>3</v>
      </c>
      <c r="J374" s="103" t="s">
        <v>1078</v>
      </c>
      <c r="K374" s="113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ht="15.75" customHeight="1">
      <c r="A375" s="75">
        <f t="shared" si="32"/>
        <v>276</v>
      </c>
      <c r="B375" s="77" t="s">
        <v>1079</v>
      </c>
      <c r="C375" s="77" t="s">
        <v>1080</v>
      </c>
      <c r="D375" s="77" t="s">
        <v>1081</v>
      </c>
      <c r="E375" s="102" t="s">
        <v>1</v>
      </c>
      <c r="F375" s="102" t="s">
        <v>1057</v>
      </c>
      <c r="G375" s="106" t="s">
        <v>841</v>
      </c>
      <c r="H375" s="102" t="s">
        <v>4</v>
      </c>
      <c r="I375" s="75" t="s">
        <v>3</v>
      </c>
      <c r="J375" s="103" t="s">
        <v>1081</v>
      </c>
      <c r="K375" s="113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ht="15.75" customHeight="1">
      <c r="A376" s="75">
        <f t="shared" si="32"/>
        <v>277</v>
      </c>
      <c r="B376" s="77" t="s">
        <v>1082</v>
      </c>
      <c r="C376" s="77" t="s">
        <v>1049</v>
      </c>
      <c r="D376" s="77" t="s">
        <v>1083</v>
      </c>
      <c r="E376" s="102" t="s">
        <v>1</v>
      </c>
      <c r="F376" s="102" t="s">
        <v>1057</v>
      </c>
      <c r="G376" s="75" t="s">
        <v>486</v>
      </c>
      <c r="H376" s="102" t="s">
        <v>4</v>
      </c>
      <c r="I376" s="75" t="s">
        <v>3</v>
      </c>
      <c r="J376" s="103" t="s">
        <v>1084</v>
      </c>
      <c r="K376" s="113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ht="15.75" customHeight="1">
      <c r="A377" s="75">
        <f t="shared" si="32"/>
        <v>278</v>
      </c>
      <c r="B377" s="77" t="s">
        <v>1085</v>
      </c>
      <c r="C377" s="77" t="s">
        <v>1053</v>
      </c>
      <c r="D377" s="77" t="s">
        <v>1086</v>
      </c>
      <c r="E377" s="102" t="s">
        <v>1</v>
      </c>
      <c r="F377" s="102" t="s">
        <v>1057</v>
      </c>
      <c r="G377" s="106" t="s">
        <v>841</v>
      </c>
      <c r="H377" s="102" t="s">
        <v>4</v>
      </c>
      <c r="I377" s="75" t="s">
        <v>3</v>
      </c>
      <c r="J377" s="103" t="s">
        <v>1086</v>
      </c>
      <c r="K377" s="113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ht="15.75" customHeight="1">
      <c r="A378" s="50"/>
      <c r="B378" s="7"/>
      <c r="C378" s="51"/>
      <c r="D378" s="51"/>
      <c r="E378" s="50"/>
      <c r="F378" s="50"/>
      <c r="G378" s="50"/>
      <c r="H378" s="52"/>
      <c r="I378" s="50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ht="15.75" customHeight="1">
      <c r="A379" s="23" t="s">
        <v>70</v>
      </c>
      <c r="B379" s="53" t="s">
        <v>73</v>
      </c>
      <c r="C379" s="54" t="s">
        <v>74</v>
      </c>
      <c r="D379" s="54" t="s">
        <v>75</v>
      </c>
      <c r="E379" s="23" t="s">
        <v>76</v>
      </c>
      <c r="F379" s="23" t="s">
        <v>78</v>
      </c>
      <c r="G379" s="23" t="s">
        <v>79</v>
      </c>
      <c r="H379" s="25" t="s">
        <v>81</v>
      </c>
      <c r="I379" s="23" t="s">
        <v>84</v>
      </c>
      <c r="J379" s="53" t="s">
        <v>85</v>
      </c>
      <c r="K379" s="53" t="s">
        <v>86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ht="15.75" customHeight="1">
      <c r="A380" s="29" t="s">
        <v>1087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6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ht="15.75" customHeight="1">
      <c r="A381" s="75">
        <f>A377+1</f>
        <v>279</v>
      </c>
      <c r="B381" s="77" t="s">
        <v>1088</v>
      </c>
      <c r="C381" s="77" t="s">
        <v>1089</v>
      </c>
      <c r="D381" s="77" t="s">
        <v>1090</v>
      </c>
      <c r="E381" s="102" t="s">
        <v>12</v>
      </c>
      <c r="F381" s="102" t="s">
        <v>862</v>
      </c>
      <c r="G381" s="75"/>
      <c r="H381" s="102" t="s">
        <v>14</v>
      </c>
      <c r="I381" s="75" t="s">
        <v>3</v>
      </c>
      <c r="J381" s="77" t="s">
        <v>1090</v>
      </c>
      <c r="K381" s="76" t="s">
        <v>384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ht="15.75" customHeight="1">
      <c r="A382" s="75">
        <f t="shared" ref="A382:A387" si="33">A381+1</f>
        <v>280</v>
      </c>
      <c r="B382" s="77" t="s">
        <v>1091</v>
      </c>
      <c r="C382" s="77" t="s">
        <v>1092</v>
      </c>
      <c r="D382" s="77" t="s">
        <v>1093</v>
      </c>
      <c r="E382" s="102" t="s">
        <v>1</v>
      </c>
      <c r="F382" s="102" t="s">
        <v>1088</v>
      </c>
      <c r="G382" s="75" t="s">
        <v>486</v>
      </c>
      <c r="H382" s="102" t="s">
        <v>14</v>
      </c>
      <c r="I382" s="75" t="s">
        <v>3</v>
      </c>
      <c r="J382" s="77" t="s">
        <v>1093</v>
      </c>
      <c r="K382" s="76" t="s">
        <v>384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ht="15.75" customHeight="1">
      <c r="A383" s="75">
        <f t="shared" si="33"/>
        <v>281</v>
      </c>
      <c r="B383" s="77" t="s">
        <v>1094</v>
      </c>
      <c r="C383" s="77" t="s">
        <v>1095</v>
      </c>
      <c r="D383" s="77" t="s">
        <v>1096</v>
      </c>
      <c r="E383" s="102" t="s">
        <v>1</v>
      </c>
      <c r="F383" s="102" t="s">
        <v>1088</v>
      </c>
      <c r="G383" s="106" t="s">
        <v>841</v>
      </c>
      <c r="H383" s="102" t="s">
        <v>14</v>
      </c>
      <c r="I383" s="75" t="s">
        <v>3</v>
      </c>
      <c r="J383" s="77" t="s">
        <v>1097</v>
      </c>
      <c r="K383" s="76" t="s">
        <v>384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ht="15.75" customHeight="1">
      <c r="A384" s="75">
        <f t="shared" si="33"/>
        <v>282</v>
      </c>
      <c r="B384" s="77" t="s">
        <v>1098</v>
      </c>
      <c r="C384" s="77" t="s">
        <v>1099</v>
      </c>
      <c r="D384" s="77" t="s">
        <v>1100</v>
      </c>
      <c r="E384" s="102" t="s">
        <v>1</v>
      </c>
      <c r="F384" s="102" t="s">
        <v>1088</v>
      </c>
      <c r="G384" s="75" t="s">
        <v>486</v>
      </c>
      <c r="H384" s="102" t="s">
        <v>14</v>
      </c>
      <c r="I384" s="75" t="s">
        <v>3</v>
      </c>
      <c r="J384" s="77" t="s">
        <v>1100</v>
      </c>
      <c r="K384" s="76" t="s">
        <v>384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ht="15.75" customHeight="1">
      <c r="A385" s="75">
        <f t="shared" si="33"/>
        <v>283</v>
      </c>
      <c r="B385" s="77" t="s">
        <v>1101</v>
      </c>
      <c r="C385" s="77" t="s">
        <v>1102</v>
      </c>
      <c r="D385" s="77" t="s">
        <v>1103</v>
      </c>
      <c r="E385" s="102" t="s">
        <v>1</v>
      </c>
      <c r="F385" s="102" t="s">
        <v>1088</v>
      </c>
      <c r="G385" s="106" t="s">
        <v>841</v>
      </c>
      <c r="H385" s="102" t="s">
        <v>14</v>
      </c>
      <c r="I385" s="75" t="s">
        <v>3</v>
      </c>
      <c r="J385" s="77" t="s">
        <v>1104</v>
      </c>
      <c r="K385" s="76" t="s">
        <v>384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ht="15.75" customHeight="1">
      <c r="A386" s="75">
        <f t="shared" si="33"/>
        <v>284</v>
      </c>
      <c r="B386" s="77" t="s">
        <v>1105</v>
      </c>
      <c r="C386" s="77" t="s">
        <v>1106</v>
      </c>
      <c r="D386" s="77" t="s">
        <v>1107</v>
      </c>
      <c r="E386" s="102" t="s">
        <v>1</v>
      </c>
      <c r="F386" s="102" t="s">
        <v>1088</v>
      </c>
      <c r="G386" s="75" t="s">
        <v>486</v>
      </c>
      <c r="H386" s="102" t="s">
        <v>14</v>
      </c>
      <c r="I386" s="75" t="s">
        <v>3</v>
      </c>
      <c r="J386" s="77" t="s">
        <v>1107</v>
      </c>
      <c r="K386" s="76" t="s">
        <v>384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ht="15.75" customHeight="1">
      <c r="A387" s="75">
        <f t="shared" si="33"/>
        <v>285</v>
      </c>
      <c r="B387" s="77" t="s">
        <v>1108</v>
      </c>
      <c r="C387" s="77" t="s">
        <v>1109</v>
      </c>
      <c r="D387" s="77" t="s">
        <v>1110</v>
      </c>
      <c r="E387" s="102" t="s">
        <v>1</v>
      </c>
      <c r="F387" s="102" t="s">
        <v>1088</v>
      </c>
      <c r="G387" s="106" t="s">
        <v>841</v>
      </c>
      <c r="H387" s="102" t="s">
        <v>14</v>
      </c>
      <c r="I387" s="75" t="s">
        <v>3</v>
      </c>
      <c r="J387" s="77" t="s">
        <v>1111</v>
      </c>
      <c r="K387" s="76" t="s">
        <v>384</v>
      </c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ht="15.75" customHeight="1">
      <c r="A388" s="50"/>
      <c r="B388" s="7"/>
      <c r="C388" s="51"/>
      <c r="D388" s="51"/>
      <c r="E388" s="50"/>
      <c r="F388" s="50"/>
      <c r="G388" s="50"/>
      <c r="H388" s="52"/>
      <c r="I388" s="50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ht="15.75" customHeight="1">
      <c r="A389" s="23" t="s">
        <v>70</v>
      </c>
      <c r="B389" s="53" t="s">
        <v>73</v>
      </c>
      <c r="C389" s="54" t="s">
        <v>74</v>
      </c>
      <c r="D389" s="54" t="s">
        <v>75</v>
      </c>
      <c r="E389" s="23" t="s">
        <v>76</v>
      </c>
      <c r="F389" s="23" t="s">
        <v>78</v>
      </c>
      <c r="G389" s="23" t="s">
        <v>79</v>
      </c>
      <c r="H389" s="25" t="s">
        <v>81</v>
      </c>
      <c r="I389" s="23" t="s">
        <v>84</v>
      </c>
      <c r="J389" s="53" t="s">
        <v>85</v>
      </c>
      <c r="K389" s="53" t="s">
        <v>86</v>
      </c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ht="15.75" customHeight="1">
      <c r="A390" s="29" t="s">
        <v>1112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6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ht="15.75" customHeight="1">
      <c r="A391" s="75">
        <f>A387+1</f>
        <v>286</v>
      </c>
      <c r="B391" s="77" t="s">
        <v>1113</v>
      </c>
      <c r="C391" s="77" t="s">
        <v>1114</v>
      </c>
      <c r="D391" s="77" t="s">
        <v>1115</v>
      </c>
      <c r="E391" s="102" t="s">
        <v>12</v>
      </c>
      <c r="F391" s="102" t="s">
        <v>862</v>
      </c>
      <c r="G391" s="75"/>
      <c r="H391" s="102" t="s">
        <v>14</v>
      </c>
      <c r="I391" s="75" t="s">
        <v>3</v>
      </c>
      <c r="J391" s="77" t="s">
        <v>1116</v>
      </c>
      <c r="K391" s="76" t="s">
        <v>384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ht="15.75" customHeight="1">
      <c r="A392" s="75">
        <f t="shared" ref="A392:A393" si="34">A391+1</f>
        <v>287</v>
      </c>
      <c r="B392" s="77" t="s">
        <v>1117</v>
      </c>
      <c r="C392" s="77" t="s">
        <v>1118</v>
      </c>
      <c r="D392" s="77" t="s">
        <v>1119</v>
      </c>
      <c r="E392" s="102" t="s">
        <v>1</v>
      </c>
      <c r="F392" s="102" t="s">
        <v>1113</v>
      </c>
      <c r="G392" s="102" t="s">
        <v>841</v>
      </c>
      <c r="H392" s="102" t="s">
        <v>4</v>
      </c>
      <c r="I392" s="102" t="s">
        <v>113</v>
      </c>
      <c r="J392" s="77" t="s">
        <v>1119</v>
      </c>
      <c r="K392" s="76" t="s">
        <v>384</v>
      </c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ht="15.75" customHeight="1">
      <c r="A393" s="75">
        <f t="shared" si="34"/>
        <v>288</v>
      </c>
      <c r="B393" s="77" t="s">
        <v>1120</v>
      </c>
      <c r="C393" s="77" t="s">
        <v>1121</v>
      </c>
      <c r="D393" s="77" t="s">
        <v>1122</v>
      </c>
      <c r="E393" s="102" t="s">
        <v>1</v>
      </c>
      <c r="F393" s="102" t="s">
        <v>1113</v>
      </c>
      <c r="G393" s="106" t="s">
        <v>841</v>
      </c>
      <c r="H393" s="102" t="s">
        <v>4</v>
      </c>
      <c r="I393" s="102" t="s">
        <v>113</v>
      </c>
      <c r="J393" s="76" t="s">
        <v>1122</v>
      </c>
      <c r="K393" s="76" t="s">
        <v>384</v>
      </c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ht="15.75" customHeight="1">
      <c r="A394" s="50"/>
      <c r="B394" s="7"/>
      <c r="C394" s="51"/>
      <c r="D394" s="51"/>
      <c r="E394" s="50"/>
      <c r="F394" s="50"/>
      <c r="G394" s="50"/>
      <c r="H394" s="52"/>
      <c r="I394" s="50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ht="14.25" customHeight="1">
      <c r="A395" s="29" t="s">
        <v>1123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16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ht="14.25" customHeight="1">
      <c r="A396" s="30">
        <f>A393+1</f>
        <v>289</v>
      </c>
      <c r="B396" s="31" t="s">
        <v>1124</v>
      </c>
      <c r="C396" s="33" t="s">
        <v>1125</v>
      </c>
      <c r="D396" s="33" t="s">
        <v>1126</v>
      </c>
      <c r="E396" s="30" t="s">
        <v>12</v>
      </c>
      <c r="F396" s="30" t="s">
        <v>99</v>
      </c>
      <c r="G396" s="30" t="s">
        <v>13</v>
      </c>
      <c r="H396" s="34" t="s">
        <v>14</v>
      </c>
      <c r="I396" s="30" t="s">
        <v>3</v>
      </c>
      <c r="J396" s="33"/>
      <c r="K396" s="31" t="s">
        <v>139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ht="14.25" customHeight="1">
      <c r="A397" s="30">
        <f t="shared" ref="A397:A402" si="35">A396+1</f>
        <v>290</v>
      </c>
      <c r="B397" s="31" t="s">
        <v>1127</v>
      </c>
      <c r="C397" s="33" t="s">
        <v>1128</v>
      </c>
      <c r="D397" s="33"/>
      <c r="E397" s="30" t="s">
        <v>12</v>
      </c>
      <c r="F397" s="30" t="s">
        <v>1129</v>
      </c>
      <c r="G397" s="30" t="s">
        <v>13</v>
      </c>
      <c r="H397" s="34" t="s">
        <v>391</v>
      </c>
      <c r="I397" s="30" t="s">
        <v>113</v>
      </c>
      <c r="J397" s="33"/>
      <c r="K397" s="31" t="s">
        <v>139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ht="14.25" customHeight="1">
      <c r="A398" s="30">
        <f t="shared" si="35"/>
        <v>291</v>
      </c>
      <c r="B398" s="31" t="s">
        <v>1130</v>
      </c>
      <c r="C398" s="33" t="s">
        <v>1131</v>
      </c>
      <c r="D398" s="33" t="s">
        <v>1132</v>
      </c>
      <c r="E398" s="30" t="s">
        <v>1</v>
      </c>
      <c r="F398" s="30" t="s">
        <v>1129</v>
      </c>
      <c r="G398" s="30" t="s">
        <v>1133</v>
      </c>
      <c r="H398" s="34" t="s">
        <v>4</v>
      </c>
      <c r="I398" s="30" t="s">
        <v>113</v>
      </c>
      <c r="J398" s="33" t="s">
        <v>1134</v>
      </c>
      <c r="K398" s="31" t="s">
        <v>139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ht="14.25" customHeight="1">
      <c r="A399" s="30">
        <f t="shared" si="35"/>
        <v>292</v>
      </c>
      <c r="B399" s="31" t="s">
        <v>1135</v>
      </c>
      <c r="C399" s="33" t="s">
        <v>1136</v>
      </c>
      <c r="D399" s="33" t="s">
        <v>1137</v>
      </c>
      <c r="E399" s="30" t="s">
        <v>1</v>
      </c>
      <c r="F399" s="30" t="s">
        <v>1129</v>
      </c>
      <c r="G399" s="30" t="s">
        <v>1138</v>
      </c>
      <c r="H399" s="34" t="s">
        <v>4</v>
      </c>
      <c r="I399" s="30" t="s">
        <v>113</v>
      </c>
      <c r="J399" s="33" t="s">
        <v>1139</v>
      </c>
      <c r="K399" s="31" t="s">
        <v>139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ht="14.25" customHeight="1">
      <c r="A400" s="30">
        <f t="shared" si="35"/>
        <v>293</v>
      </c>
      <c r="B400" s="31" t="s">
        <v>1140</v>
      </c>
      <c r="C400" s="33" t="s">
        <v>1141</v>
      </c>
      <c r="D400" s="33" t="s">
        <v>1142</v>
      </c>
      <c r="E400" s="30" t="s">
        <v>1</v>
      </c>
      <c r="F400" s="30" t="s">
        <v>1129</v>
      </c>
      <c r="G400" s="30" t="s">
        <v>193</v>
      </c>
      <c r="H400" s="34" t="s">
        <v>4</v>
      </c>
      <c r="I400" s="30" t="s">
        <v>113</v>
      </c>
      <c r="J400" s="33" t="s">
        <v>1143</v>
      </c>
      <c r="K400" s="31" t="s">
        <v>139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ht="14.25" customHeight="1">
      <c r="A401" s="30">
        <f t="shared" si="35"/>
        <v>294</v>
      </c>
      <c r="B401" s="31" t="s">
        <v>1144</v>
      </c>
      <c r="C401" s="33" t="s">
        <v>1145</v>
      </c>
      <c r="D401" s="33" t="s">
        <v>1146</v>
      </c>
      <c r="E401" s="30" t="s">
        <v>1</v>
      </c>
      <c r="F401" s="30" t="s">
        <v>1129</v>
      </c>
      <c r="G401" s="30" t="s">
        <v>408</v>
      </c>
      <c r="H401" s="34" t="s">
        <v>4</v>
      </c>
      <c r="I401" s="30" t="s">
        <v>113</v>
      </c>
      <c r="J401" s="33" t="s">
        <v>1147</v>
      </c>
      <c r="K401" s="31" t="s">
        <v>139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ht="14.25" customHeight="1">
      <c r="A402" s="30">
        <f t="shared" si="35"/>
        <v>295</v>
      </c>
      <c r="B402" s="31" t="s">
        <v>1148</v>
      </c>
      <c r="C402" s="33" t="s">
        <v>1149</v>
      </c>
      <c r="D402" s="33" t="s">
        <v>1150</v>
      </c>
      <c r="E402" s="30" t="s">
        <v>1</v>
      </c>
      <c r="F402" s="30" t="s">
        <v>1129</v>
      </c>
      <c r="G402" s="30" t="s">
        <v>461</v>
      </c>
      <c r="H402" s="34" t="s">
        <v>4</v>
      </c>
      <c r="I402" s="30" t="s">
        <v>113</v>
      </c>
      <c r="J402" s="33" t="s">
        <v>1151</v>
      </c>
      <c r="K402" s="31" t="s">
        <v>139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ht="15.75" customHeight="1">
      <c r="A403" s="50"/>
      <c r="B403" s="7"/>
      <c r="C403" s="51"/>
      <c r="D403" s="51"/>
      <c r="E403" s="50"/>
      <c r="F403" s="50"/>
      <c r="G403" s="50"/>
      <c r="H403" s="52"/>
      <c r="I403" s="50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ht="15.75" customHeight="1">
      <c r="A404" s="23" t="s">
        <v>70</v>
      </c>
      <c r="B404" s="53" t="s">
        <v>73</v>
      </c>
      <c r="C404" s="54" t="s">
        <v>74</v>
      </c>
      <c r="D404" s="54" t="s">
        <v>75</v>
      </c>
      <c r="E404" s="23" t="s">
        <v>76</v>
      </c>
      <c r="F404" s="23" t="s">
        <v>78</v>
      </c>
      <c r="G404" s="23" t="s">
        <v>79</v>
      </c>
      <c r="H404" s="25" t="s">
        <v>81</v>
      </c>
      <c r="I404" s="23" t="s">
        <v>84</v>
      </c>
      <c r="J404" s="53" t="s">
        <v>85</v>
      </c>
      <c r="K404" s="53" t="s">
        <v>86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ht="15.75" customHeight="1">
      <c r="A405" s="29" t="s">
        <v>1152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6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ht="14.25" customHeight="1">
      <c r="A406" s="30">
        <f>A402+1</f>
        <v>296</v>
      </c>
      <c r="B406" s="31" t="s">
        <v>1153</v>
      </c>
      <c r="C406" s="33" t="s">
        <v>1154</v>
      </c>
      <c r="D406" s="33" t="s">
        <v>1155</v>
      </c>
      <c r="E406" s="30" t="s">
        <v>1156</v>
      </c>
      <c r="F406" s="30" t="s">
        <v>99</v>
      </c>
      <c r="G406" s="30" t="s">
        <v>13</v>
      </c>
      <c r="H406" s="34" t="s">
        <v>4</v>
      </c>
      <c r="I406" s="30" t="s">
        <v>113</v>
      </c>
      <c r="J406" s="33"/>
      <c r="K406" s="31" t="s">
        <v>116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ht="14.25" customHeight="1">
      <c r="A407" s="30">
        <f t="shared" ref="A407:A411" si="36">A406+1</f>
        <v>297</v>
      </c>
      <c r="B407" s="31" t="s">
        <v>1157</v>
      </c>
      <c r="C407" s="33" t="s">
        <v>1158</v>
      </c>
      <c r="D407" s="33" t="s">
        <v>1159</v>
      </c>
      <c r="E407" s="30" t="s">
        <v>12</v>
      </c>
      <c r="F407" s="30" t="s">
        <v>1153</v>
      </c>
      <c r="G407" s="30" t="s">
        <v>13</v>
      </c>
      <c r="H407" s="34" t="s">
        <v>4</v>
      </c>
      <c r="I407" s="30" t="s">
        <v>113</v>
      </c>
      <c r="J407" s="33"/>
      <c r="K407" s="31" t="s">
        <v>116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ht="15.75" customHeight="1">
      <c r="A408" s="30">
        <f t="shared" si="36"/>
        <v>298</v>
      </c>
      <c r="B408" s="31" t="s">
        <v>1160</v>
      </c>
      <c r="C408" s="33" t="s">
        <v>1161</v>
      </c>
      <c r="D408" s="33" t="s">
        <v>1162</v>
      </c>
      <c r="E408" s="30" t="s">
        <v>1</v>
      </c>
      <c r="F408" s="30" t="s">
        <v>1157</v>
      </c>
      <c r="G408" s="30" t="s">
        <v>841</v>
      </c>
      <c r="H408" s="34" t="s">
        <v>14</v>
      </c>
      <c r="I408" s="30" t="s">
        <v>3</v>
      </c>
      <c r="J408" s="33" t="s">
        <v>1163</v>
      </c>
      <c r="K408" s="31" t="s">
        <v>116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ht="15.75" customHeight="1">
      <c r="A409" s="30">
        <f t="shared" si="36"/>
        <v>299</v>
      </c>
      <c r="B409" s="31" t="s">
        <v>1164</v>
      </c>
      <c r="C409" s="33" t="s">
        <v>1165</v>
      </c>
      <c r="D409" s="33" t="s">
        <v>1166</v>
      </c>
      <c r="E409" s="30" t="s">
        <v>1</v>
      </c>
      <c r="F409" s="30" t="s">
        <v>1157</v>
      </c>
      <c r="G409" s="30" t="s">
        <v>236</v>
      </c>
      <c r="H409" s="34" t="s">
        <v>4</v>
      </c>
      <c r="I409" s="30" t="s">
        <v>113</v>
      </c>
      <c r="J409" s="33" t="s">
        <v>1167</v>
      </c>
      <c r="K409" s="31" t="s">
        <v>116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ht="15.75" customHeight="1">
      <c r="A410" s="30">
        <f t="shared" si="36"/>
        <v>300</v>
      </c>
      <c r="B410" s="31" t="s">
        <v>1168</v>
      </c>
      <c r="C410" s="33" t="s">
        <v>1169</v>
      </c>
      <c r="D410" s="33" t="s">
        <v>1170</v>
      </c>
      <c r="E410" s="30" t="s">
        <v>1</v>
      </c>
      <c r="F410" s="30" t="s">
        <v>1157</v>
      </c>
      <c r="G410" s="30" t="s">
        <v>500</v>
      </c>
      <c r="H410" s="34" t="s">
        <v>14</v>
      </c>
      <c r="I410" s="30" t="s">
        <v>3</v>
      </c>
      <c r="J410" s="33" t="s">
        <v>1171</v>
      </c>
      <c r="K410" s="31" t="s">
        <v>116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ht="15.75" customHeight="1">
      <c r="A411" s="30">
        <f t="shared" si="36"/>
        <v>301</v>
      </c>
      <c r="B411" s="31" t="s">
        <v>1172</v>
      </c>
      <c r="C411" s="33" t="s">
        <v>1173</v>
      </c>
      <c r="D411" s="33" t="s">
        <v>1174</v>
      </c>
      <c r="E411" s="30" t="s">
        <v>1</v>
      </c>
      <c r="F411" s="30" t="s">
        <v>1157</v>
      </c>
      <c r="G411" s="30" t="s">
        <v>841</v>
      </c>
      <c r="H411" s="34" t="s">
        <v>14</v>
      </c>
      <c r="I411" s="30" t="s">
        <v>3</v>
      </c>
      <c r="J411" s="33" t="s">
        <v>1175</v>
      </c>
      <c r="K411" s="31" t="s">
        <v>139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ht="15.75" customHeight="1">
      <c r="A412" s="50"/>
      <c r="B412" s="7"/>
      <c r="C412" s="51"/>
      <c r="D412" s="51"/>
      <c r="E412" s="50"/>
      <c r="F412" s="50"/>
      <c r="G412" s="50"/>
      <c r="H412" s="52"/>
      <c r="I412" s="50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ht="15.75" customHeight="1">
      <c r="A413" s="23" t="s">
        <v>70</v>
      </c>
      <c r="B413" s="53" t="s">
        <v>73</v>
      </c>
      <c r="C413" s="54" t="s">
        <v>74</v>
      </c>
      <c r="D413" s="54" t="s">
        <v>75</v>
      </c>
      <c r="E413" s="23" t="s">
        <v>76</v>
      </c>
      <c r="F413" s="23" t="s">
        <v>78</v>
      </c>
      <c r="G413" s="23" t="s">
        <v>79</v>
      </c>
      <c r="H413" s="25" t="s">
        <v>81</v>
      </c>
      <c r="I413" s="23" t="s">
        <v>84</v>
      </c>
      <c r="J413" s="53" t="s">
        <v>85</v>
      </c>
      <c r="K413" s="53" t="s">
        <v>86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ht="15.75" customHeight="1">
      <c r="A414" s="29" t="s">
        <v>1176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6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ht="13.5" customHeight="1">
      <c r="A415" s="30">
        <f>A411+1</f>
        <v>302</v>
      </c>
      <c r="B415" s="31" t="s">
        <v>1177</v>
      </c>
      <c r="C415" s="33" t="s">
        <v>1178</v>
      </c>
      <c r="D415" s="33" t="s">
        <v>1179</v>
      </c>
      <c r="E415" s="30" t="s">
        <v>12</v>
      </c>
      <c r="F415" s="30" t="s">
        <v>1157</v>
      </c>
      <c r="G415" s="30" t="s">
        <v>13</v>
      </c>
      <c r="H415" s="34" t="s">
        <v>4</v>
      </c>
      <c r="I415" s="30" t="s">
        <v>113</v>
      </c>
      <c r="J415" s="33" t="s">
        <v>1180</v>
      </c>
      <c r="K415" s="31" t="s">
        <v>116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ht="15.75" customHeight="1">
      <c r="A416" s="30">
        <f t="shared" ref="A416:A419" si="37">A415+1</f>
        <v>303</v>
      </c>
      <c r="B416" s="31" t="s">
        <v>1181</v>
      </c>
      <c r="C416" s="33" t="s">
        <v>1182</v>
      </c>
      <c r="D416" s="33"/>
      <c r="E416" s="30" t="s">
        <v>12</v>
      </c>
      <c r="F416" s="30" t="s">
        <v>1177</v>
      </c>
      <c r="G416" s="30" t="s">
        <v>13</v>
      </c>
      <c r="H416" s="34" t="s">
        <v>540</v>
      </c>
      <c r="I416" s="30" t="s">
        <v>113</v>
      </c>
      <c r="J416" s="91" t="s">
        <v>392</v>
      </c>
      <c r="K416" s="31" t="s">
        <v>116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ht="15.75" customHeight="1">
      <c r="A417" s="30">
        <f t="shared" si="37"/>
        <v>304</v>
      </c>
      <c r="B417" s="31" t="s">
        <v>1183</v>
      </c>
      <c r="C417" s="33" t="s">
        <v>1184</v>
      </c>
      <c r="D417" s="33" t="s">
        <v>1185</v>
      </c>
      <c r="E417" s="30" t="s">
        <v>1</v>
      </c>
      <c r="F417" s="30" t="s">
        <v>1181</v>
      </c>
      <c r="G417" s="30" t="s">
        <v>330</v>
      </c>
      <c r="H417" s="34" t="s">
        <v>4</v>
      </c>
      <c r="I417" s="30" t="s">
        <v>113</v>
      </c>
      <c r="J417" s="33" t="s">
        <v>1186</v>
      </c>
      <c r="K417" s="31" t="s">
        <v>116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ht="15.75" customHeight="1">
      <c r="A418" s="30">
        <f t="shared" si="37"/>
        <v>305</v>
      </c>
      <c r="B418" s="31" t="s">
        <v>1187</v>
      </c>
      <c r="C418" s="33" t="s">
        <v>1188</v>
      </c>
      <c r="D418" s="33" t="s">
        <v>1189</v>
      </c>
      <c r="E418" s="30" t="s">
        <v>1</v>
      </c>
      <c r="F418" s="30" t="s">
        <v>1181</v>
      </c>
      <c r="G418" s="30" t="s">
        <v>505</v>
      </c>
      <c r="H418" s="34" t="s">
        <v>4</v>
      </c>
      <c r="I418" s="30" t="s">
        <v>113</v>
      </c>
      <c r="J418" s="33" t="s">
        <v>1190</v>
      </c>
      <c r="K418" s="31" t="s">
        <v>116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ht="15.75" customHeight="1">
      <c r="A419" s="30">
        <f t="shared" si="37"/>
        <v>306</v>
      </c>
      <c r="B419" s="31" t="s">
        <v>1191</v>
      </c>
      <c r="C419" s="33" t="s">
        <v>1192</v>
      </c>
      <c r="D419" s="33" t="s">
        <v>1193</v>
      </c>
      <c r="E419" s="30" t="s">
        <v>1</v>
      </c>
      <c r="F419" s="30" t="s">
        <v>1181</v>
      </c>
      <c r="G419" s="30" t="s">
        <v>1194</v>
      </c>
      <c r="H419" s="34" t="s">
        <v>4</v>
      </c>
      <c r="I419" s="30" t="s">
        <v>113</v>
      </c>
      <c r="J419" s="31" t="s">
        <v>1195</v>
      </c>
      <c r="K419" s="31" t="s">
        <v>116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ht="15.75" customHeight="1">
      <c r="A420" s="50"/>
      <c r="B420" s="7"/>
      <c r="C420" s="51"/>
      <c r="D420" s="51"/>
      <c r="E420" s="50"/>
      <c r="F420" s="50"/>
      <c r="G420" s="50"/>
      <c r="H420" s="52"/>
      <c r="I420" s="50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ht="15.75" customHeight="1">
      <c r="A421" s="23" t="s">
        <v>70</v>
      </c>
      <c r="B421" s="53" t="s">
        <v>73</v>
      </c>
      <c r="C421" s="54" t="s">
        <v>74</v>
      </c>
      <c r="D421" s="54" t="s">
        <v>75</v>
      </c>
      <c r="E421" s="23" t="s">
        <v>76</v>
      </c>
      <c r="F421" s="23" t="s">
        <v>78</v>
      </c>
      <c r="G421" s="23" t="s">
        <v>79</v>
      </c>
      <c r="H421" s="25" t="s">
        <v>81</v>
      </c>
      <c r="I421" s="23" t="s">
        <v>84</v>
      </c>
      <c r="J421" s="53" t="s">
        <v>85</v>
      </c>
      <c r="K421" s="53" t="s">
        <v>86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ht="13.5" customHeight="1">
      <c r="A422" s="29" t="s">
        <v>1196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6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ht="15.75" customHeight="1">
      <c r="A423" s="30">
        <f>A419+1</f>
        <v>307</v>
      </c>
      <c r="B423" s="31" t="s">
        <v>1197</v>
      </c>
      <c r="C423" s="33" t="s">
        <v>1198</v>
      </c>
      <c r="D423" s="33" t="s">
        <v>1199</v>
      </c>
      <c r="E423" s="30" t="s">
        <v>12</v>
      </c>
      <c r="F423" s="30" t="s">
        <v>1153</v>
      </c>
      <c r="G423" s="30" t="s">
        <v>13</v>
      </c>
      <c r="H423" s="34" t="s">
        <v>14</v>
      </c>
      <c r="I423" s="30" t="s">
        <v>3</v>
      </c>
      <c r="J423" s="33" t="s">
        <v>654</v>
      </c>
      <c r="K423" s="31" t="s">
        <v>116</v>
      </c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ht="14.25" customHeight="1">
      <c r="A424" s="30">
        <f t="shared" ref="A424:A450" si="38">A423+1</f>
        <v>308</v>
      </c>
      <c r="B424" s="31" t="s">
        <v>1200</v>
      </c>
      <c r="C424" s="33" t="s">
        <v>1201</v>
      </c>
      <c r="D424" s="33"/>
      <c r="E424" s="30" t="s">
        <v>12</v>
      </c>
      <c r="F424" s="30" t="s">
        <v>1197</v>
      </c>
      <c r="G424" s="30" t="s">
        <v>13</v>
      </c>
      <c r="H424" s="34" t="s">
        <v>540</v>
      </c>
      <c r="I424" s="30" t="s">
        <v>113</v>
      </c>
      <c r="J424" s="114" t="s">
        <v>392</v>
      </c>
      <c r="K424" s="31" t="s">
        <v>116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ht="15.75" customHeight="1">
      <c r="A425" s="30">
        <f t="shared" si="38"/>
        <v>309</v>
      </c>
      <c r="B425" s="31" t="s">
        <v>1202</v>
      </c>
      <c r="C425" s="33" t="s">
        <v>1203</v>
      </c>
      <c r="D425" s="33" t="s">
        <v>1204</v>
      </c>
      <c r="E425" s="30" t="s">
        <v>1</v>
      </c>
      <c r="F425" s="30" t="s">
        <v>1200</v>
      </c>
      <c r="G425" s="30" t="s">
        <v>283</v>
      </c>
      <c r="H425" s="34" t="s">
        <v>4</v>
      </c>
      <c r="I425" s="30" t="s">
        <v>113</v>
      </c>
      <c r="J425" s="105" t="s">
        <v>1205</v>
      </c>
      <c r="K425" s="31" t="s">
        <v>116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ht="15.75" customHeight="1">
      <c r="A426" s="30">
        <f t="shared" si="38"/>
        <v>310</v>
      </c>
      <c r="B426" s="31" t="s">
        <v>1206</v>
      </c>
      <c r="C426" s="33" t="s">
        <v>1207</v>
      </c>
      <c r="D426" s="33" t="s">
        <v>1208</v>
      </c>
      <c r="E426" s="30" t="s">
        <v>1</v>
      </c>
      <c r="F426" s="30" t="s">
        <v>1200</v>
      </c>
      <c r="G426" s="30" t="s">
        <v>505</v>
      </c>
      <c r="H426" s="34" t="s">
        <v>14</v>
      </c>
      <c r="I426" s="30" t="s">
        <v>3</v>
      </c>
      <c r="J426" s="104"/>
      <c r="K426" s="31" t="s">
        <v>116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ht="15.75" customHeight="1">
      <c r="A427" s="30">
        <f t="shared" si="38"/>
        <v>311</v>
      </c>
      <c r="B427" s="31" t="s">
        <v>1209</v>
      </c>
      <c r="C427" s="33" t="s">
        <v>1210</v>
      </c>
      <c r="D427" s="33" t="s">
        <v>1211</v>
      </c>
      <c r="E427" s="30" t="s">
        <v>1</v>
      </c>
      <c r="F427" s="30" t="s">
        <v>1200</v>
      </c>
      <c r="G427" s="30" t="s">
        <v>505</v>
      </c>
      <c r="H427" s="34" t="s">
        <v>14</v>
      </c>
      <c r="I427" s="30" t="s">
        <v>3</v>
      </c>
      <c r="J427" s="104"/>
      <c r="K427" s="31" t="s">
        <v>116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ht="15.75" customHeight="1">
      <c r="A428" s="30">
        <f t="shared" si="38"/>
        <v>312</v>
      </c>
      <c r="B428" s="31" t="s">
        <v>1212</v>
      </c>
      <c r="C428" s="33" t="s">
        <v>1213</v>
      </c>
      <c r="D428" s="33" t="s">
        <v>1214</v>
      </c>
      <c r="E428" s="30" t="s">
        <v>1</v>
      </c>
      <c r="F428" s="30" t="s">
        <v>1200</v>
      </c>
      <c r="G428" s="30" t="s">
        <v>330</v>
      </c>
      <c r="H428" s="34" t="s">
        <v>14</v>
      </c>
      <c r="I428" s="30" t="s">
        <v>3</v>
      </c>
      <c r="J428" s="105" t="s">
        <v>1215</v>
      </c>
      <c r="K428" s="31" t="s">
        <v>116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ht="15.75" customHeight="1">
      <c r="A429" s="30">
        <f t="shared" si="38"/>
        <v>313</v>
      </c>
      <c r="B429" s="31" t="s">
        <v>1216</v>
      </c>
      <c r="C429" s="33" t="s">
        <v>1217</v>
      </c>
      <c r="D429" s="33" t="s">
        <v>1218</v>
      </c>
      <c r="E429" s="30" t="s">
        <v>1</v>
      </c>
      <c r="F429" s="30" t="s">
        <v>1200</v>
      </c>
      <c r="G429" s="30" t="s">
        <v>257</v>
      </c>
      <c r="H429" s="34" t="s">
        <v>14</v>
      </c>
      <c r="I429" s="30" t="s">
        <v>3</v>
      </c>
      <c r="J429" s="115"/>
      <c r="K429" s="31" t="s">
        <v>116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ht="15.75" customHeight="1">
      <c r="A430" s="30">
        <f t="shared" si="38"/>
        <v>314</v>
      </c>
      <c r="B430" s="31" t="s">
        <v>1219</v>
      </c>
      <c r="C430" s="33" t="s">
        <v>1220</v>
      </c>
      <c r="D430" s="33" t="s">
        <v>443</v>
      </c>
      <c r="E430" s="30" t="s">
        <v>1</v>
      </c>
      <c r="F430" s="30" t="s">
        <v>1200</v>
      </c>
      <c r="G430" s="30" t="s">
        <v>505</v>
      </c>
      <c r="H430" s="34" t="s">
        <v>14</v>
      </c>
      <c r="I430" s="30" t="s">
        <v>3</v>
      </c>
      <c r="J430" s="115"/>
      <c r="K430" s="31" t="s">
        <v>116</v>
      </c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ht="15.75" customHeight="1">
      <c r="A431" s="30">
        <f t="shared" si="38"/>
        <v>315</v>
      </c>
      <c r="B431" s="31" t="s">
        <v>1221</v>
      </c>
      <c r="C431" s="33" t="s">
        <v>1222</v>
      </c>
      <c r="D431" s="33" t="s">
        <v>1223</v>
      </c>
      <c r="E431" s="30" t="s">
        <v>1</v>
      </c>
      <c r="F431" s="30" t="s">
        <v>1200</v>
      </c>
      <c r="G431" s="30" t="s">
        <v>272</v>
      </c>
      <c r="H431" s="34" t="s">
        <v>14</v>
      </c>
      <c r="I431" s="30" t="s">
        <v>3</v>
      </c>
      <c r="J431" s="115" t="s">
        <v>556</v>
      </c>
      <c r="K431" s="31" t="s">
        <v>116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ht="14.25" customHeight="1">
      <c r="A432" s="30">
        <f t="shared" si="38"/>
        <v>316</v>
      </c>
      <c r="B432" s="31" t="s">
        <v>1224</v>
      </c>
      <c r="C432" s="33" t="s">
        <v>1225</v>
      </c>
      <c r="D432" s="33" t="s">
        <v>884</v>
      </c>
      <c r="E432" s="30" t="s">
        <v>1</v>
      </c>
      <c r="F432" s="30" t="s">
        <v>1200</v>
      </c>
      <c r="G432" s="30" t="s">
        <v>841</v>
      </c>
      <c r="H432" s="34" t="s">
        <v>14</v>
      </c>
      <c r="I432" s="30" t="s">
        <v>3</v>
      </c>
      <c r="J432" s="115" t="s">
        <v>846</v>
      </c>
      <c r="K432" s="31" t="s">
        <v>116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ht="15.75" customHeight="1">
      <c r="A433" s="30">
        <f t="shared" si="38"/>
        <v>317</v>
      </c>
      <c r="B433" s="31" t="s">
        <v>1226</v>
      </c>
      <c r="C433" s="33" t="s">
        <v>1227</v>
      </c>
      <c r="D433" s="33" t="s">
        <v>1228</v>
      </c>
      <c r="E433" s="30" t="s">
        <v>1</v>
      </c>
      <c r="F433" s="30" t="s">
        <v>1200</v>
      </c>
      <c r="G433" s="30" t="s">
        <v>841</v>
      </c>
      <c r="H433" s="34" t="s">
        <v>14</v>
      </c>
      <c r="I433" s="30" t="s">
        <v>3</v>
      </c>
      <c r="J433" s="115" t="s">
        <v>846</v>
      </c>
      <c r="K433" s="31" t="s">
        <v>116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ht="15.75" customHeight="1">
      <c r="A434" s="30">
        <f t="shared" si="38"/>
        <v>318</v>
      </c>
      <c r="B434" s="31" t="s">
        <v>1229</v>
      </c>
      <c r="C434" s="33" t="s">
        <v>1230</v>
      </c>
      <c r="D434" s="33" t="s">
        <v>1231</v>
      </c>
      <c r="E434" s="30" t="s">
        <v>1</v>
      </c>
      <c r="F434" s="30" t="s">
        <v>1200</v>
      </c>
      <c r="G434" s="30" t="s">
        <v>841</v>
      </c>
      <c r="H434" s="34" t="s">
        <v>14</v>
      </c>
      <c r="I434" s="30" t="s">
        <v>3</v>
      </c>
      <c r="J434" s="115" t="s">
        <v>846</v>
      </c>
      <c r="K434" s="31" t="s">
        <v>116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ht="15.75" customHeight="1">
      <c r="A435" s="30">
        <f t="shared" si="38"/>
        <v>319</v>
      </c>
      <c r="B435" s="31" t="s">
        <v>1232</v>
      </c>
      <c r="C435" s="33" t="s">
        <v>1233</v>
      </c>
      <c r="D435" s="33" t="s">
        <v>1234</v>
      </c>
      <c r="E435" s="30" t="s">
        <v>1</v>
      </c>
      <c r="F435" s="30" t="s">
        <v>1200</v>
      </c>
      <c r="G435" s="30" t="s">
        <v>841</v>
      </c>
      <c r="H435" s="34" t="s">
        <v>14</v>
      </c>
      <c r="I435" s="30" t="s">
        <v>3</v>
      </c>
      <c r="J435" s="115" t="s">
        <v>846</v>
      </c>
      <c r="K435" s="31" t="s">
        <v>116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ht="15.75" customHeight="1">
      <c r="A436" s="30">
        <f t="shared" si="38"/>
        <v>320</v>
      </c>
      <c r="B436" s="31" t="s">
        <v>1235</v>
      </c>
      <c r="C436" s="33" t="s">
        <v>1236</v>
      </c>
      <c r="D436" s="33" t="s">
        <v>1237</v>
      </c>
      <c r="E436" s="30" t="s">
        <v>1</v>
      </c>
      <c r="F436" s="30" t="s">
        <v>1200</v>
      </c>
      <c r="G436" s="30" t="s">
        <v>841</v>
      </c>
      <c r="H436" s="34" t="s">
        <v>14</v>
      </c>
      <c r="I436" s="30" t="s">
        <v>3</v>
      </c>
      <c r="J436" s="115" t="s">
        <v>846</v>
      </c>
      <c r="K436" s="31" t="s">
        <v>116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ht="15.75" customHeight="1">
      <c r="A437" s="30">
        <f t="shared" si="38"/>
        <v>321</v>
      </c>
      <c r="B437" s="31" t="s">
        <v>1238</v>
      </c>
      <c r="C437" s="33" t="s">
        <v>1239</v>
      </c>
      <c r="D437" s="33" t="s">
        <v>1240</v>
      </c>
      <c r="E437" s="30" t="s">
        <v>1</v>
      </c>
      <c r="F437" s="30" t="s">
        <v>1200</v>
      </c>
      <c r="G437" s="30" t="s">
        <v>841</v>
      </c>
      <c r="H437" s="34" t="s">
        <v>14</v>
      </c>
      <c r="I437" s="30" t="s">
        <v>3</v>
      </c>
      <c r="J437" s="115" t="s">
        <v>846</v>
      </c>
      <c r="K437" s="31" t="s">
        <v>116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ht="15.75" customHeight="1">
      <c r="A438" s="30">
        <f t="shared" si="38"/>
        <v>322</v>
      </c>
      <c r="B438" s="31" t="s">
        <v>1241</v>
      </c>
      <c r="C438" s="33" t="s">
        <v>1242</v>
      </c>
      <c r="D438" s="33" t="s">
        <v>1243</v>
      </c>
      <c r="E438" s="30" t="s">
        <v>1</v>
      </c>
      <c r="F438" s="30" t="s">
        <v>1200</v>
      </c>
      <c r="G438" s="30" t="s">
        <v>242</v>
      </c>
      <c r="H438" s="34" t="s">
        <v>14</v>
      </c>
      <c r="I438" s="30" t="s">
        <v>3</v>
      </c>
      <c r="J438" s="86" t="s">
        <v>1244</v>
      </c>
      <c r="K438" s="31" t="s">
        <v>116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ht="15.75" customHeight="1">
      <c r="A439" s="30">
        <f t="shared" si="38"/>
        <v>323</v>
      </c>
      <c r="B439" s="31" t="s">
        <v>1245</v>
      </c>
      <c r="C439" s="33" t="s">
        <v>1246</v>
      </c>
      <c r="D439" s="33" t="s">
        <v>1247</v>
      </c>
      <c r="E439" s="30" t="s">
        <v>1</v>
      </c>
      <c r="F439" s="30" t="s">
        <v>1200</v>
      </c>
      <c r="G439" s="30" t="s">
        <v>841</v>
      </c>
      <c r="H439" s="34" t="s">
        <v>14</v>
      </c>
      <c r="I439" s="30" t="s">
        <v>3</v>
      </c>
      <c r="J439" s="115" t="s">
        <v>846</v>
      </c>
      <c r="K439" s="31" t="s">
        <v>116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ht="15.75" customHeight="1">
      <c r="A440" s="30">
        <f t="shared" si="38"/>
        <v>324</v>
      </c>
      <c r="B440" s="31" t="s">
        <v>1248</v>
      </c>
      <c r="C440" s="33" t="s">
        <v>1249</v>
      </c>
      <c r="D440" s="33" t="s">
        <v>1250</v>
      </c>
      <c r="E440" s="30" t="s">
        <v>1</v>
      </c>
      <c r="F440" s="30" t="s">
        <v>1200</v>
      </c>
      <c r="G440" s="30" t="s">
        <v>1251</v>
      </c>
      <c r="H440" s="34" t="s">
        <v>14</v>
      </c>
      <c r="I440" s="30" t="s">
        <v>3</v>
      </c>
      <c r="J440" s="115" t="s">
        <v>1252</v>
      </c>
      <c r="K440" s="31" t="s">
        <v>116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ht="15.75" customHeight="1">
      <c r="A441" s="30">
        <f t="shared" si="38"/>
        <v>325</v>
      </c>
      <c r="B441" s="31" t="s">
        <v>1253</v>
      </c>
      <c r="C441" s="33" t="s">
        <v>1254</v>
      </c>
      <c r="D441" s="33" t="s">
        <v>1255</v>
      </c>
      <c r="E441" s="30" t="s">
        <v>1</v>
      </c>
      <c r="F441" s="30" t="s">
        <v>1200</v>
      </c>
      <c r="G441" s="30" t="s">
        <v>272</v>
      </c>
      <c r="H441" s="34" t="s">
        <v>14</v>
      </c>
      <c r="I441" s="30" t="s">
        <v>3</v>
      </c>
      <c r="J441" s="115" t="s">
        <v>556</v>
      </c>
      <c r="K441" s="31" t="s">
        <v>116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ht="15.75" customHeight="1">
      <c r="A442" s="30">
        <f t="shared" si="38"/>
        <v>326</v>
      </c>
      <c r="B442" s="31" t="s">
        <v>1256</v>
      </c>
      <c r="C442" s="33" t="s">
        <v>1257</v>
      </c>
      <c r="D442" s="33" t="s">
        <v>1258</v>
      </c>
      <c r="E442" s="30" t="s">
        <v>1</v>
      </c>
      <c r="F442" s="30" t="s">
        <v>1200</v>
      </c>
      <c r="G442" s="30" t="s">
        <v>174</v>
      </c>
      <c r="H442" s="34" t="s">
        <v>14</v>
      </c>
      <c r="I442" s="30" t="s">
        <v>3</v>
      </c>
      <c r="J442" s="115"/>
      <c r="K442" s="31" t="s">
        <v>116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ht="15.75" customHeight="1">
      <c r="A443" s="30">
        <f t="shared" si="38"/>
        <v>327</v>
      </c>
      <c r="B443" s="31" t="s">
        <v>1259</v>
      </c>
      <c r="C443" s="33" t="s">
        <v>1260</v>
      </c>
      <c r="D443" s="33" t="s">
        <v>1250</v>
      </c>
      <c r="E443" s="30" t="s">
        <v>1</v>
      </c>
      <c r="F443" s="30" t="s">
        <v>1200</v>
      </c>
      <c r="G443" s="30" t="s">
        <v>1251</v>
      </c>
      <c r="H443" s="34" t="s">
        <v>14</v>
      </c>
      <c r="I443" s="30" t="s">
        <v>3</v>
      </c>
      <c r="J443" s="115" t="s">
        <v>1252</v>
      </c>
      <c r="K443" s="31" t="s">
        <v>116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ht="15.75" customHeight="1">
      <c r="A444" s="30">
        <f t="shared" si="38"/>
        <v>328</v>
      </c>
      <c r="B444" s="31" t="s">
        <v>1261</v>
      </c>
      <c r="C444" s="33" t="s">
        <v>1262</v>
      </c>
      <c r="D444" s="33" t="s">
        <v>1255</v>
      </c>
      <c r="E444" s="30" t="s">
        <v>1</v>
      </c>
      <c r="F444" s="30" t="s">
        <v>1200</v>
      </c>
      <c r="G444" s="30" t="s">
        <v>272</v>
      </c>
      <c r="H444" s="34" t="s">
        <v>14</v>
      </c>
      <c r="I444" s="30" t="s">
        <v>3</v>
      </c>
      <c r="J444" s="115" t="s">
        <v>556</v>
      </c>
      <c r="K444" s="31" t="s">
        <v>116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ht="45.75" customHeight="1">
      <c r="A445" s="30">
        <f t="shared" si="38"/>
        <v>329</v>
      </c>
      <c r="B445" s="31" t="s">
        <v>1263</v>
      </c>
      <c r="C445" s="33" t="s">
        <v>1264</v>
      </c>
      <c r="D445" s="33" t="s">
        <v>1265</v>
      </c>
      <c r="E445" s="30" t="s">
        <v>1</v>
      </c>
      <c r="F445" s="30" t="s">
        <v>1200</v>
      </c>
      <c r="G445" s="30" t="s">
        <v>330</v>
      </c>
      <c r="H445" s="34" t="s">
        <v>14</v>
      </c>
      <c r="I445" s="30" t="s">
        <v>3</v>
      </c>
      <c r="J445" s="86" t="s">
        <v>1266</v>
      </c>
      <c r="K445" s="31" t="s">
        <v>116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ht="15.75" customHeight="1">
      <c r="A446" s="30">
        <f t="shared" si="38"/>
        <v>330</v>
      </c>
      <c r="B446" s="31" t="s">
        <v>1267</v>
      </c>
      <c r="C446" s="33" t="s">
        <v>1268</v>
      </c>
      <c r="D446" s="33" t="s">
        <v>1269</v>
      </c>
      <c r="E446" s="30" t="s">
        <v>1</v>
      </c>
      <c r="F446" s="30" t="s">
        <v>1200</v>
      </c>
      <c r="G446" s="30" t="s">
        <v>1270</v>
      </c>
      <c r="H446" s="34" t="s">
        <v>14</v>
      </c>
      <c r="I446" s="30" t="s">
        <v>3</v>
      </c>
      <c r="J446" s="115"/>
      <c r="K446" s="31" t="s">
        <v>116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ht="15.75" customHeight="1">
      <c r="A447" s="30">
        <f t="shared" si="38"/>
        <v>331</v>
      </c>
      <c r="B447" s="31" t="s">
        <v>1271</v>
      </c>
      <c r="C447" s="33" t="s">
        <v>1272</v>
      </c>
      <c r="D447" s="33" t="s">
        <v>443</v>
      </c>
      <c r="E447" s="30" t="s">
        <v>1</v>
      </c>
      <c r="F447" s="30" t="s">
        <v>1200</v>
      </c>
      <c r="G447" s="30" t="s">
        <v>505</v>
      </c>
      <c r="H447" s="34" t="s">
        <v>14</v>
      </c>
      <c r="I447" s="30" t="s">
        <v>3</v>
      </c>
      <c r="J447" s="115"/>
      <c r="K447" s="31" t="s">
        <v>116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ht="15.75" customHeight="1">
      <c r="A448" s="30">
        <f t="shared" si="38"/>
        <v>332</v>
      </c>
      <c r="B448" s="31" t="s">
        <v>1273</v>
      </c>
      <c r="C448" s="33" t="s">
        <v>1274</v>
      </c>
      <c r="D448" s="33" t="s">
        <v>1223</v>
      </c>
      <c r="E448" s="30" t="s">
        <v>1</v>
      </c>
      <c r="F448" s="30" t="s">
        <v>1200</v>
      </c>
      <c r="G448" s="30" t="s">
        <v>272</v>
      </c>
      <c r="H448" s="34" t="s">
        <v>14</v>
      </c>
      <c r="I448" s="30" t="s">
        <v>3</v>
      </c>
      <c r="J448" s="115" t="s">
        <v>556</v>
      </c>
      <c r="K448" s="31" t="s">
        <v>116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ht="15.75" customHeight="1">
      <c r="A449" s="30">
        <f t="shared" si="38"/>
        <v>333</v>
      </c>
      <c r="B449" s="31" t="s">
        <v>1275</v>
      </c>
      <c r="C449" s="33" t="s">
        <v>1276</v>
      </c>
      <c r="D449" s="33" t="s">
        <v>1277</v>
      </c>
      <c r="E449" s="30" t="s">
        <v>1</v>
      </c>
      <c r="F449" s="30" t="s">
        <v>1200</v>
      </c>
      <c r="G449" s="30" t="s">
        <v>841</v>
      </c>
      <c r="H449" s="34" t="s">
        <v>14</v>
      </c>
      <c r="I449" s="30" t="s">
        <v>3</v>
      </c>
      <c r="J449" s="115" t="s">
        <v>846</v>
      </c>
      <c r="K449" s="31" t="s">
        <v>116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ht="15.75" customHeight="1">
      <c r="A450" s="30">
        <f t="shared" si="38"/>
        <v>334</v>
      </c>
      <c r="B450" s="31" t="s">
        <v>1278</v>
      </c>
      <c r="C450" s="33" t="s">
        <v>1279</v>
      </c>
      <c r="D450" s="33" t="s">
        <v>1255</v>
      </c>
      <c r="E450" s="30" t="s">
        <v>1</v>
      </c>
      <c r="F450" s="30" t="s">
        <v>1200</v>
      </c>
      <c r="G450" s="30" t="s">
        <v>272</v>
      </c>
      <c r="H450" s="34" t="s">
        <v>14</v>
      </c>
      <c r="I450" s="30" t="s">
        <v>3</v>
      </c>
      <c r="J450" s="115" t="s">
        <v>556</v>
      </c>
      <c r="K450" s="31" t="s">
        <v>116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ht="15.75" customHeight="1">
      <c r="A451" s="50"/>
      <c r="B451" s="7"/>
      <c r="C451" s="51"/>
      <c r="D451" s="51"/>
      <c r="E451" s="50"/>
      <c r="F451" s="50"/>
      <c r="G451" s="50"/>
      <c r="H451" s="52"/>
      <c r="I451" s="50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ht="15.75" customHeight="1">
      <c r="A452" s="23" t="s">
        <v>70</v>
      </c>
      <c r="B452" s="53" t="s">
        <v>73</v>
      </c>
      <c r="C452" s="54" t="s">
        <v>74</v>
      </c>
      <c r="D452" s="54" t="s">
        <v>75</v>
      </c>
      <c r="E452" s="23" t="s">
        <v>76</v>
      </c>
      <c r="F452" s="23" t="s">
        <v>78</v>
      </c>
      <c r="G452" s="23" t="s">
        <v>79</v>
      </c>
      <c r="H452" s="25" t="s">
        <v>81</v>
      </c>
      <c r="I452" s="23" t="s">
        <v>84</v>
      </c>
      <c r="J452" s="53" t="s">
        <v>85</v>
      </c>
      <c r="K452" s="53" t="s">
        <v>86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ht="15.75" customHeight="1">
      <c r="A453" s="29" t="s">
        <v>1280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6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ht="14.25" customHeight="1">
      <c r="A454" s="30">
        <f>A450+1</f>
        <v>335</v>
      </c>
      <c r="B454" s="31" t="s">
        <v>1281</v>
      </c>
      <c r="C454" s="33" t="s">
        <v>1282</v>
      </c>
      <c r="D454" s="33" t="s">
        <v>1283</v>
      </c>
      <c r="E454" s="30" t="s">
        <v>1156</v>
      </c>
      <c r="F454" s="30" t="s">
        <v>1200</v>
      </c>
      <c r="G454" s="30" t="s">
        <v>13</v>
      </c>
      <c r="H454" s="34" t="s">
        <v>14</v>
      </c>
      <c r="I454" s="30" t="s">
        <v>3</v>
      </c>
      <c r="J454" s="31" t="s">
        <v>1284</v>
      </c>
      <c r="K454" s="31" t="s">
        <v>116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ht="15.75" customHeight="1">
      <c r="A455" s="30">
        <f t="shared" ref="A455:A458" si="39">A454+1</f>
        <v>336</v>
      </c>
      <c r="B455" s="31" t="s">
        <v>1285</v>
      </c>
      <c r="C455" s="33" t="s">
        <v>1286</v>
      </c>
      <c r="D455" s="33"/>
      <c r="E455" s="30" t="s">
        <v>12</v>
      </c>
      <c r="F455" s="30" t="s">
        <v>1281</v>
      </c>
      <c r="G455" s="30" t="s">
        <v>1287</v>
      </c>
      <c r="H455" s="34" t="s">
        <v>540</v>
      </c>
      <c r="I455" s="30" t="s">
        <v>113</v>
      </c>
      <c r="J455" s="91" t="s">
        <v>392</v>
      </c>
      <c r="K455" s="31" t="s">
        <v>116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ht="15.75" customHeight="1">
      <c r="A456" s="30">
        <f t="shared" si="39"/>
        <v>337</v>
      </c>
      <c r="B456" s="31" t="s">
        <v>1288</v>
      </c>
      <c r="C456" s="33" t="s">
        <v>1289</v>
      </c>
      <c r="D456" s="33" t="s">
        <v>1290</v>
      </c>
      <c r="E456" s="30" t="s">
        <v>1</v>
      </c>
      <c r="F456" s="30" t="s">
        <v>1285</v>
      </c>
      <c r="G456" s="30" t="s">
        <v>283</v>
      </c>
      <c r="H456" s="34" t="s">
        <v>4</v>
      </c>
      <c r="I456" s="30" t="s">
        <v>113</v>
      </c>
      <c r="J456" s="33" t="s">
        <v>1291</v>
      </c>
      <c r="K456" s="31" t="s">
        <v>116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ht="15.75" customHeight="1">
      <c r="A457" s="30">
        <f t="shared" si="39"/>
        <v>338</v>
      </c>
      <c r="B457" s="31" t="s">
        <v>1292</v>
      </c>
      <c r="C457" s="33" t="s">
        <v>1293</v>
      </c>
      <c r="D457" s="33" t="s">
        <v>1294</v>
      </c>
      <c r="E457" s="30" t="s">
        <v>1</v>
      </c>
      <c r="F457" s="30" t="s">
        <v>1285</v>
      </c>
      <c r="G457" s="30" t="s">
        <v>505</v>
      </c>
      <c r="H457" s="34" t="s">
        <v>4</v>
      </c>
      <c r="I457" s="30" t="s">
        <v>113</v>
      </c>
      <c r="J457" s="33" t="s">
        <v>1295</v>
      </c>
      <c r="K457" s="31" t="s">
        <v>116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ht="15.75" customHeight="1">
      <c r="A458" s="30">
        <f t="shared" si="39"/>
        <v>339</v>
      </c>
      <c r="B458" s="31" t="s">
        <v>1296</v>
      </c>
      <c r="C458" s="33" t="s">
        <v>1297</v>
      </c>
      <c r="D458" s="33" t="s">
        <v>1298</v>
      </c>
      <c r="E458" s="30" t="s">
        <v>1</v>
      </c>
      <c r="F458" s="30" t="s">
        <v>1285</v>
      </c>
      <c r="G458" s="30" t="s">
        <v>1299</v>
      </c>
      <c r="H458" s="34" t="s">
        <v>14</v>
      </c>
      <c r="I458" s="30" t="s">
        <v>3</v>
      </c>
      <c r="J458" s="31"/>
      <c r="K458" s="31" t="s">
        <v>116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ht="15.75" customHeight="1">
      <c r="A459" s="50"/>
      <c r="B459" s="7"/>
      <c r="C459" s="51"/>
      <c r="D459" s="51"/>
      <c r="E459" s="50"/>
      <c r="F459" s="50"/>
      <c r="G459" s="50"/>
      <c r="H459" s="52"/>
      <c r="I459" s="50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ht="15.75" customHeight="1">
      <c r="A460" s="23" t="s">
        <v>70</v>
      </c>
      <c r="B460" s="53" t="s">
        <v>73</v>
      </c>
      <c r="C460" s="54" t="s">
        <v>74</v>
      </c>
      <c r="D460" s="54" t="s">
        <v>75</v>
      </c>
      <c r="E460" s="23" t="s">
        <v>76</v>
      </c>
      <c r="F460" s="23" t="s">
        <v>78</v>
      </c>
      <c r="G460" s="23" t="s">
        <v>79</v>
      </c>
      <c r="H460" s="25" t="s">
        <v>81</v>
      </c>
      <c r="I460" s="23" t="s">
        <v>84</v>
      </c>
      <c r="J460" s="53" t="s">
        <v>85</v>
      </c>
      <c r="K460" s="53" t="s">
        <v>86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ht="14.25" customHeight="1">
      <c r="A461" s="29" t="s">
        <v>1300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6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ht="14.25" customHeight="1">
      <c r="A462" s="30">
        <f>A458+1</f>
        <v>340</v>
      </c>
      <c r="B462" s="31" t="s">
        <v>1301</v>
      </c>
      <c r="C462" s="33" t="s">
        <v>1302</v>
      </c>
      <c r="D462" s="33" t="s">
        <v>1303</v>
      </c>
      <c r="E462" s="30" t="s">
        <v>12</v>
      </c>
      <c r="F462" s="30" t="s">
        <v>1285</v>
      </c>
      <c r="G462" s="30" t="s">
        <v>13</v>
      </c>
      <c r="H462" s="34" t="s">
        <v>14</v>
      </c>
      <c r="I462" s="30" t="s">
        <v>3</v>
      </c>
      <c r="J462" s="31"/>
      <c r="K462" s="31" t="s">
        <v>116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ht="15.75" customHeight="1">
      <c r="A463" s="30">
        <f t="shared" ref="A463:A464" si="40">A462+1</f>
        <v>341</v>
      </c>
      <c r="B463" s="31" t="s">
        <v>1304</v>
      </c>
      <c r="C463" s="33" t="s">
        <v>1305</v>
      </c>
      <c r="D463" s="33"/>
      <c r="E463" s="30" t="s">
        <v>12</v>
      </c>
      <c r="F463" s="30" t="s">
        <v>1301</v>
      </c>
      <c r="G463" s="30" t="s">
        <v>13</v>
      </c>
      <c r="H463" s="34" t="s">
        <v>540</v>
      </c>
      <c r="I463" s="30" t="s">
        <v>113</v>
      </c>
      <c r="J463" s="91" t="s">
        <v>392</v>
      </c>
      <c r="K463" s="31" t="s">
        <v>116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ht="15.75" customHeight="1">
      <c r="A464" s="30">
        <f t="shared" si="40"/>
        <v>342</v>
      </c>
      <c r="B464" s="31" t="s">
        <v>1306</v>
      </c>
      <c r="C464" s="33" t="s">
        <v>1307</v>
      </c>
      <c r="D464" s="33" t="s">
        <v>1308</v>
      </c>
      <c r="E464" s="30" t="s">
        <v>1</v>
      </c>
      <c r="F464" s="30" t="s">
        <v>1304</v>
      </c>
      <c r="G464" s="30" t="s">
        <v>505</v>
      </c>
      <c r="H464" s="34" t="s">
        <v>4</v>
      </c>
      <c r="I464" s="30" t="s">
        <v>113</v>
      </c>
      <c r="J464" s="31"/>
      <c r="K464" s="31" t="s">
        <v>116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ht="15.75" customHeight="1">
      <c r="A465" s="50"/>
      <c r="B465" s="7"/>
      <c r="C465" s="51"/>
      <c r="D465" s="51"/>
      <c r="E465" s="50"/>
      <c r="F465" s="50"/>
      <c r="G465" s="50"/>
      <c r="H465" s="52"/>
      <c r="I465" s="50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ht="15.75" customHeight="1">
      <c r="A466" s="23" t="s">
        <v>70</v>
      </c>
      <c r="B466" s="53" t="s">
        <v>73</v>
      </c>
      <c r="C466" s="54" t="s">
        <v>74</v>
      </c>
      <c r="D466" s="54" t="s">
        <v>75</v>
      </c>
      <c r="E466" s="23" t="s">
        <v>76</v>
      </c>
      <c r="F466" s="23" t="s">
        <v>78</v>
      </c>
      <c r="G466" s="23" t="s">
        <v>79</v>
      </c>
      <c r="H466" s="25" t="s">
        <v>81</v>
      </c>
      <c r="I466" s="23" t="s">
        <v>84</v>
      </c>
      <c r="J466" s="53" t="s">
        <v>85</v>
      </c>
      <c r="K466" s="53" t="s">
        <v>86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ht="15.75" customHeight="1">
      <c r="A467" s="29" t="s">
        <v>1309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6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ht="14.25" customHeight="1">
      <c r="A468" s="30">
        <f>A464+1</f>
        <v>343</v>
      </c>
      <c r="B468" s="31" t="s">
        <v>1310</v>
      </c>
      <c r="C468" s="33" t="s">
        <v>1311</v>
      </c>
      <c r="D468" s="33" t="s">
        <v>1312</v>
      </c>
      <c r="E468" s="30" t="s">
        <v>12</v>
      </c>
      <c r="F468" s="30" t="s">
        <v>1285</v>
      </c>
      <c r="G468" s="30" t="s">
        <v>13</v>
      </c>
      <c r="H468" s="34" t="s">
        <v>14</v>
      </c>
      <c r="I468" s="30" t="s">
        <v>3</v>
      </c>
      <c r="J468" s="33" t="s">
        <v>1313</v>
      </c>
      <c r="K468" s="31" t="s">
        <v>116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ht="15.75" customHeight="1">
      <c r="A469" s="30">
        <f t="shared" ref="A469:A472" si="41">A468+1</f>
        <v>344</v>
      </c>
      <c r="B469" s="31" t="s">
        <v>1314</v>
      </c>
      <c r="C469" s="33" t="s">
        <v>1315</v>
      </c>
      <c r="D469" s="33"/>
      <c r="E469" s="30" t="s">
        <v>12</v>
      </c>
      <c r="F469" s="30" t="s">
        <v>1310</v>
      </c>
      <c r="G469" s="30" t="s">
        <v>13</v>
      </c>
      <c r="H469" s="34" t="s">
        <v>540</v>
      </c>
      <c r="I469" s="30" t="s">
        <v>113</v>
      </c>
      <c r="J469" s="116" t="s">
        <v>392</v>
      </c>
      <c r="K469" s="31" t="s">
        <v>116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ht="15.75" customHeight="1">
      <c r="A470" s="30">
        <f t="shared" si="41"/>
        <v>345</v>
      </c>
      <c r="B470" s="31" t="s">
        <v>1316</v>
      </c>
      <c r="C470" s="33" t="s">
        <v>1317</v>
      </c>
      <c r="D470" s="33" t="s">
        <v>1318</v>
      </c>
      <c r="E470" s="30" t="s">
        <v>1</v>
      </c>
      <c r="F470" s="30" t="s">
        <v>1314</v>
      </c>
      <c r="G470" s="30" t="s">
        <v>283</v>
      </c>
      <c r="H470" s="34" t="s">
        <v>4</v>
      </c>
      <c r="I470" s="30" t="s">
        <v>113</v>
      </c>
      <c r="J470" s="105" t="s">
        <v>1319</v>
      </c>
      <c r="K470" s="31" t="s">
        <v>116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ht="14.25" customHeight="1">
      <c r="A471" s="30">
        <f t="shared" si="41"/>
        <v>346</v>
      </c>
      <c r="B471" s="31" t="s">
        <v>1320</v>
      </c>
      <c r="C471" s="33" t="s">
        <v>1321</v>
      </c>
      <c r="D471" s="33" t="s">
        <v>1322</v>
      </c>
      <c r="E471" s="30" t="s">
        <v>1</v>
      </c>
      <c r="F471" s="30" t="s">
        <v>1314</v>
      </c>
      <c r="G471" s="30" t="s">
        <v>505</v>
      </c>
      <c r="H471" s="34" t="s">
        <v>4</v>
      </c>
      <c r="I471" s="30" t="s">
        <v>113</v>
      </c>
      <c r="J471" s="105" t="s">
        <v>1323</v>
      </c>
      <c r="K471" s="31" t="s">
        <v>116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ht="15.75" customHeight="1">
      <c r="A472" s="30">
        <f t="shared" si="41"/>
        <v>347</v>
      </c>
      <c r="B472" s="31" t="s">
        <v>1324</v>
      </c>
      <c r="C472" s="33" t="s">
        <v>1325</v>
      </c>
      <c r="D472" s="33" t="s">
        <v>1298</v>
      </c>
      <c r="E472" s="30" t="s">
        <v>1</v>
      </c>
      <c r="F472" s="30" t="s">
        <v>1314</v>
      </c>
      <c r="G472" s="30" t="s">
        <v>1299</v>
      </c>
      <c r="H472" s="34" t="s">
        <v>14</v>
      </c>
      <c r="I472" s="30" t="s">
        <v>3</v>
      </c>
      <c r="J472" s="104"/>
      <c r="K472" s="31" t="s">
        <v>116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ht="15.75" customHeight="1">
      <c r="A473" s="50"/>
      <c r="B473" s="7"/>
      <c r="C473" s="51"/>
      <c r="D473" s="51"/>
      <c r="E473" s="50"/>
      <c r="F473" s="50"/>
      <c r="G473" s="50"/>
      <c r="H473" s="52"/>
      <c r="I473" s="50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ht="15.75" customHeight="1">
      <c r="A474" s="23" t="s">
        <v>70</v>
      </c>
      <c r="B474" s="53" t="s">
        <v>73</v>
      </c>
      <c r="C474" s="54" t="s">
        <v>74</v>
      </c>
      <c r="D474" s="54" t="s">
        <v>75</v>
      </c>
      <c r="E474" s="23" t="s">
        <v>76</v>
      </c>
      <c r="F474" s="23" t="s">
        <v>78</v>
      </c>
      <c r="G474" s="23" t="s">
        <v>79</v>
      </c>
      <c r="H474" s="25" t="s">
        <v>81</v>
      </c>
      <c r="I474" s="23" t="s">
        <v>84</v>
      </c>
      <c r="J474" s="53" t="s">
        <v>85</v>
      </c>
      <c r="K474" s="53" t="s">
        <v>86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ht="14.25" customHeight="1">
      <c r="A475" s="29" t="s">
        <v>1326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6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ht="14.25" customHeight="1">
      <c r="A476" s="30">
        <f>A472+1</f>
        <v>348</v>
      </c>
      <c r="B476" s="31" t="s">
        <v>1327</v>
      </c>
      <c r="C476" s="33" t="s">
        <v>1328</v>
      </c>
      <c r="D476" s="33" t="s">
        <v>1329</v>
      </c>
      <c r="E476" s="30" t="s">
        <v>12</v>
      </c>
      <c r="F476" s="30" t="s">
        <v>1314</v>
      </c>
      <c r="G476" s="30" t="s">
        <v>13</v>
      </c>
      <c r="H476" s="34" t="s">
        <v>14</v>
      </c>
      <c r="I476" s="30" t="s">
        <v>3</v>
      </c>
      <c r="J476" s="31"/>
      <c r="K476" s="31" t="s">
        <v>116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ht="15.75" customHeight="1">
      <c r="A477" s="30">
        <f t="shared" ref="A477:A478" si="42">A476+1</f>
        <v>349</v>
      </c>
      <c r="B477" s="31" t="s">
        <v>1330</v>
      </c>
      <c r="C477" s="33" t="s">
        <v>1331</v>
      </c>
      <c r="D477" s="33"/>
      <c r="E477" s="30" t="s">
        <v>12</v>
      </c>
      <c r="F477" s="30" t="s">
        <v>1327</v>
      </c>
      <c r="G477" s="30" t="s">
        <v>13</v>
      </c>
      <c r="H477" s="34" t="s">
        <v>540</v>
      </c>
      <c r="I477" s="30" t="s">
        <v>113</v>
      </c>
      <c r="J477" s="91" t="s">
        <v>392</v>
      </c>
      <c r="K477" s="31" t="s">
        <v>116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ht="15.75" customHeight="1">
      <c r="A478" s="30">
        <f t="shared" si="42"/>
        <v>350</v>
      </c>
      <c r="B478" s="31" t="s">
        <v>1332</v>
      </c>
      <c r="C478" s="33" t="s">
        <v>1333</v>
      </c>
      <c r="D478" s="33" t="s">
        <v>1308</v>
      </c>
      <c r="E478" s="30" t="s">
        <v>1</v>
      </c>
      <c r="F478" s="30" t="s">
        <v>1330</v>
      </c>
      <c r="G478" s="30" t="s">
        <v>505</v>
      </c>
      <c r="H478" s="34" t="s">
        <v>4</v>
      </c>
      <c r="I478" s="30" t="s">
        <v>113</v>
      </c>
      <c r="J478" s="31"/>
      <c r="K478" s="31" t="s">
        <v>116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ht="15.75" customHeight="1">
      <c r="A479" s="50"/>
      <c r="B479" s="7"/>
      <c r="C479" s="51"/>
      <c r="D479" s="51"/>
      <c r="E479" s="50"/>
      <c r="F479" s="50"/>
      <c r="G479" s="50"/>
      <c r="H479" s="52"/>
      <c r="I479" s="50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ht="15.75" customHeight="1">
      <c r="A480" s="23" t="s">
        <v>70</v>
      </c>
      <c r="B480" s="53" t="s">
        <v>73</v>
      </c>
      <c r="C480" s="54" t="s">
        <v>74</v>
      </c>
      <c r="D480" s="54" t="s">
        <v>75</v>
      </c>
      <c r="E480" s="23" t="s">
        <v>76</v>
      </c>
      <c r="F480" s="23" t="s">
        <v>78</v>
      </c>
      <c r="G480" s="23" t="s">
        <v>79</v>
      </c>
      <c r="H480" s="25" t="s">
        <v>81</v>
      </c>
      <c r="I480" s="23" t="s">
        <v>84</v>
      </c>
      <c r="J480" s="53" t="s">
        <v>85</v>
      </c>
      <c r="K480" s="53" t="s">
        <v>86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ht="15.75" customHeight="1">
      <c r="A481" s="29" t="s">
        <v>1334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6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ht="14.25" customHeight="1">
      <c r="A482" s="30">
        <f>A478+1</f>
        <v>351</v>
      </c>
      <c r="B482" s="31" t="s">
        <v>1335</v>
      </c>
      <c r="C482" s="33" t="s">
        <v>1336</v>
      </c>
      <c r="D482" s="33" t="s">
        <v>1337</v>
      </c>
      <c r="E482" s="30" t="s">
        <v>1156</v>
      </c>
      <c r="F482" s="30" t="s">
        <v>1200</v>
      </c>
      <c r="G482" s="30" t="s">
        <v>13</v>
      </c>
      <c r="H482" s="34" t="s">
        <v>14</v>
      </c>
      <c r="I482" s="30" t="s">
        <v>3</v>
      </c>
      <c r="J482" s="33" t="s">
        <v>1313</v>
      </c>
      <c r="K482" s="31" t="s">
        <v>116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ht="15.75" customHeight="1">
      <c r="A483" s="30">
        <f t="shared" ref="A483:A486" si="43">A482+1</f>
        <v>352</v>
      </c>
      <c r="B483" s="31" t="s">
        <v>1338</v>
      </c>
      <c r="C483" s="33" t="s">
        <v>1339</v>
      </c>
      <c r="D483" s="33"/>
      <c r="E483" s="30" t="s">
        <v>12</v>
      </c>
      <c r="F483" s="30" t="s">
        <v>1335</v>
      </c>
      <c r="G483" s="30" t="s">
        <v>13</v>
      </c>
      <c r="H483" s="34" t="s">
        <v>4</v>
      </c>
      <c r="I483" s="30" t="s">
        <v>113</v>
      </c>
      <c r="J483" s="116" t="s">
        <v>392</v>
      </c>
      <c r="K483" s="31" t="s">
        <v>116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ht="15.75" customHeight="1">
      <c r="A484" s="30">
        <f t="shared" si="43"/>
        <v>353</v>
      </c>
      <c r="B484" s="31" t="s">
        <v>1340</v>
      </c>
      <c r="C484" s="33" t="s">
        <v>1341</v>
      </c>
      <c r="D484" s="33" t="s">
        <v>1342</v>
      </c>
      <c r="E484" s="30" t="s">
        <v>1</v>
      </c>
      <c r="F484" s="30" t="s">
        <v>1338</v>
      </c>
      <c r="G484" s="30" t="s">
        <v>283</v>
      </c>
      <c r="H484" s="34" t="s">
        <v>4</v>
      </c>
      <c r="I484" s="30" t="s">
        <v>113</v>
      </c>
      <c r="J484" s="105" t="s">
        <v>1319</v>
      </c>
      <c r="K484" s="31" t="s">
        <v>116</v>
      </c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ht="15.75" customHeight="1">
      <c r="A485" s="30">
        <f t="shared" si="43"/>
        <v>354</v>
      </c>
      <c r="B485" s="31" t="s">
        <v>1343</v>
      </c>
      <c r="C485" s="33" t="s">
        <v>1344</v>
      </c>
      <c r="D485" s="33" t="s">
        <v>1345</v>
      </c>
      <c r="E485" s="30" t="s">
        <v>1</v>
      </c>
      <c r="F485" s="30" t="s">
        <v>1338</v>
      </c>
      <c r="G485" s="30" t="s">
        <v>505</v>
      </c>
      <c r="H485" s="34" t="s">
        <v>4</v>
      </c>
      <c r="I485" s="30" t="s">
        <v>113</v>
      </c>
      <c r="J485" s="105" t="s">
        <v>1346</v>
      </c>
      <c r="K485" s="31" t="s">
        <v>116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ht="15.75" customHeight="1">
      <c r="A486" s="30">
        <f t="shared" si="43"/>
        <v>355</v>
      </c>
      <c r="B486" s="31" t="s">
        <v>1347</v>
      </c>
      <c r="C486" s="33" t="s">
        <v>1348</v>
      </c>
      <c r="D486" s="33" t="s">
        <v>1298</v>
      </c>
      <c r="E486" s="30" t="s">
        <v>1</v>
      </c>
      <c r="F486" s="30" t="s">
        <v>1338</v>
      </c>
      <c r="G486" s="30" t="s">
        <v>1299</v>
      </c>
      <c r="H486" s="34" t="s">
        <v>14</v>
      </c>
      <c r="I486" s="30" t="s">
        <v>3</v>
      </c>
      <c r="J486" s="104"/>
      <c r="K486" s="31" t="s">
        <v>116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ht="15.75" customHeight="1">
      <c r="A487" s="50"/>
      <c r="B487" s="7"/>
      <c r="C487" s="51"/>
      <c r="D487" s="51"/>
      <c r="E487" s="50"/>
      <c r="F487" s="50"/>
      <c r="G487" s="50"/>
      <c r="H487" s="52"/>
      <c r="I487" s="50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ht="15.75" customHeight="1">
      <c r="A488" s="23" t="s">
        <v>70</v>
      </c>
      <c r="B488" s="53" t="s">
        <v>73</v>
      </c>
      <c r="C488" s="54" t="s">
        <v>74</v>
      </c>
      <c r="D488" s="54" t="s">
        <v>75</v>
      </c>
      <c r="E488" s="23" t="s">
        <v>76</v>
      </c>
      <c r="F488" s="23" t="s">
        <v>78</v>
      </c>
      <c r="G488" s="23" t="s">
        <v>79</v>
      </c>
      <c r="H488" s="25" t="s">
        <v>81</v>
      </c>
      <c r="I488" s="23" t="s">
        <v>84</v>
      </c>
      <c r="J488" s="53" t="s">
        <v>85</v>
      </c>
      <c r="K488" s="53" t="s">
        <v>86</v>
      </c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ht="14.25" customHeight="1">
      <c r="A489" s="29" t="s">
        <v>1349</v>
      </c>
      <c r="B489" s="15"/>
      <c r="C489" s="15"/>
      <c r="D489" s="15"/>
      <c r="E489" s="15"/>
      <c r="F489" s="15"/>
      <c r="G489" s="15"/>
      <c r="H489" s="15"/>
      <c r="I489" s="15"/>
      <c r="J489" s="15"/>
      <c r="K489" s="16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ht="15.75" customHeight="1">
      <c r="A490" s="30">
        <f>A486+1</f>
        <v>356</v>
      </c>
      <c r="B490" s="31" t="s">
        <v>1350</v>
      </c>
      <c r="C490" s="33" t="s">
        <v>1351</v>
      </c>
      <c r="D490" s="33" t="s">
        <v>1352</v>
      </c>
      <c r="E490" s="30" t="s">
        <v>12</v>
      </c>
      <c r="F490" s="30" t="s">
        <v>1338</v>
      </c>
      <c r="G490" s="30" t="s">
        <v>13</v>
      </c>
      <c r="H490" s="34" t="s">
        <v>14</v>
      </c>
      <c r="I490" s="30" t="s">
        <v>3</v>
      </c>
      <c r="J490" s="33"/>
      <c r="K490" s="31" t="s">
        <v>116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ht="15.75" customHeight="1">
      <c r="A491" s="30">
        <f t="shared" ref="A491:A492" si="44">A490+1</f>
        <v>357</v>
      </c>
      <c r="B491" s="31" t="s">
        <v>1353</v>
      </c>
      <c r="C491" s="33" t="s">
        <v>1354</v>
      </c>
      <c r="D491" s="33"/>
      <c r="E491" s="30" t="s">
        <v>12</v>
      </c>
      <c r="F491" s="30" t="s">
        <v>1350</v>
      </c>
      <c r="G491" s="30" t="s">
        <v>13</v>
      </c>
      <c r="H491" s="34" t="s">
        <v>4</v>
      </c>
      <c r="I491" s="30" t="s">
        <v>113</v>
      </c>
      <c r="J491" s="91" t="s">
        <v>392</v>
      </c>
      <c r="K491" s="31" t="s">
        <v>116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ht="15.75" customHeight="1">
      <c r="A492" s="30">
        <f t="shared" si="44"/>
        <v>358</v>
      </c>
      <c r="B492" s="31" t="s">
        <v>1355</v>
      </c>
      <c r="C492" s="33" t="s">
        <v>1356</v>
      </c>
      <c r="D492" s="33" t="s">
        <v>1308</v>
      </c>
      <c r="E492" s="30" t="s">
        <v>1</v>
      </c>
      <c r="F492" s="30" t="s">
        <v>1353</v>
      </c>
      <c r="G492" s="30" t="s">
        <v>505</v>
      </c>
      <c r="H492" s="34" t="s">
        <v>4</v>
      </c>
      <c r="I492" s="30" t="s">
        <v>113</v>
      </c>
      <c r="J492" s="31"/>
      <c r="K492" s="31" t="s">
        <v>116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ht="15.75" customHeight="1">
      <c r="A493" s="50"/>
      <c r="B493" s="7"/>
      <c r="C493" s="51"/>
      <c r="D493" s="51"/>
      <c r="E493" s="50"/>
      <c r="F493" s="50"/>
      <c r="G493" s="50"/>
      <c r="H493" s="52"/>
      <c r="I493" s="50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ht="15.75" customHeight="1">
      <c r="A494" s="23" t="s">
        <v>70</v>
      </c>
      <c r="B494" s="53" t="s">
        <v>73</v>
      </c>
      <c r="C494" s="54" t="s">
        <v>74</v>
      </c>
      <c r="D494" s="54" t="s">
        <v>75</v>
      </c>
      <c r="E494" s="23" t="s">
        <v>76</v>
      </c>
      <c r="F494" s="23" t="s">
        <v>78</v>
      </c>
      <c r="G494" s="23" t="s">
        <v>79</v>
      </c>
      <c r="H494" s="25" t="s">
        <v>81</v>
      </c>
      <c r="I494" s="23" t="s">
        <v>84</v>
      </c>
      <c r="J494" s="53" t="s">
        <v>85</v>
      </c>
      <c r="K494" s="53" t="s">
        <v>86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ht="15.75" customHeight="1">
      <c r="A495" s="29" t="s">
        <v>1357</v>
      </c>
      <c r="B495" s="15"/>
      <c r="C495" s="15"/>
      <c r="D495" s="15"/>
      <c r="E495" s="15"/>
      <c r="F495" s="15"/>
      <c r="G495" s="15"/>
      <c r="H495" s="15"/>
      <c r="I495" s="15"/>
      <c r="J495" s="15"/>
      <c r="K495" s="16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ht="14.25" customHeight="1">
      <c r="A496" s="30">
        <f>A492+1</f>
        <v>359</v>
      </c>
      <c r="B496" s="31" t="s">
        <v>1358</v>
      </c>
      <c r="C496" s="33" t="s">
        <v>1359</v>
      </c>
      <c r="D496" s="33" t="s">
        <v>1360</v>
      </c>
      <c r="E496" s="30" t="s">
        <v>12</v>
      </c>
      <c r="F496" s="30" t="s">
        <v>1153</v>
      </c>
      <c r="G496" s="30" t="s">
        <v>13</v>
      </c>
      <c r="H496" s="34" t="s">
        <v>14</v>
      </c>
      <c r="I496" s="30" t="s">
        <v>3</v>
      </c>
      <c r="J496" s="31"/>
      <c r="K496" s="31" t="s">
        <v>116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ht="15.75" customHeight="1">
      <c r="A497" s="30">
        <f t="shared" ref="A497:A502" si="45">A496+1</f>
        <v>360</v>
      </c>
      <c r="B497" s="31" t="s">
        <v>1361</v>
      </c>
      <c r="C497" s="33" t="s">
        <v>1362</v>
      </c>
      <c r="D497" s="33"/>
      <c r="E497" s="30" t="s">
        <v>12</v>
      </c>
      <c r="F497" s="30" t="s">
        <v>1358</v>
      </c>
      <c r="G497" s="30" t="s">
        <v>13</v>
      </c>
      <c r="H497" s="34" t="s">
        <v>851</v>
      </c>
      <c r="I497" s="30" t="s">
        <v>113</v>
      </c>
      <c r="J497" s="91" t="s">
        <v>392</v>
      </c>
      <c r="K497" s="31" t="s">
        <v>116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ht="15.75" customHeight="1">
      <c r="A498" s="30">
        <f t="shared" si="45"/>
        <v>361</v>
      </c>
      <c r="B498" s="31" t="s">
        <v>1363</v>
      </c>
      <c r="C498" s="33" t="s">
        <v>1364</v>
      </c>
      <c r="D498" s="33" t="s">
        <v>1365</v>
      </c>
      <c r="E498" s="30" t="s">
        <v>1</v>
      </c>
      <c r="F498" s="30" t="s">
        <v>1361</v>
      </c>
      <c r="G498" s="30" t="s">
        <v>236</v>
      </c>
      <c r="H498" s="34" t="s">
        <v>4</v>
      </c>
      <c r="I498" s="30" t="s">
        <v>113</v>
      </c>
      <c r="J498" s="31"/>
      <c r="K498" s="31" t="s">
        <v>116</v>
      </c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ht="15.75" customHeight="1">
      <c r="A499" s="30">
        <f t="shared" si="45"/>
        <v>362</v>
      </c>
      <c r="B499" s="31" t="s">
        <v>1366</v>
      </c>
      <c r="C499" s="33" t="s">
        <v>1367</v>
      </c>
      <c r="D499" s="33" t="s">
        <v>464</v>
      </c>
      <c r="E499" s="30" t="s">
        <v>1</v>
      </c>
      <c r="F499" s="30" t="s">
        <v>1361</v>
      </c>
      <c r="G499" s="30" t="s">
        <v>250</v>
      </c>
      <c r="H499" s="34" t="s">
        <v>4</v>
      </c>
      <c r="I499" s="30" t="s">
        <v>113</v>
      </c>
      <c r="J499" s="31" t="s">
        <v>739</v>
      </c>
      <c r="K499" s="31" t="s">
        <v>116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ht="15.75" customHeight="1">
      <c r="A500" s="30">
        <f t="shared" si="45"/>
        <v>363</v>
      </c>
      <c r="B500" s="31" t="s">
        <v>1368</v>
      </c>
      <c r="C500" s="33" t="s">
        <v>1369</v>
      </c>
      <c r="D500" s="33" t="s">
        <v>417</v>
      </c>
      <c r="E500" s="30" t="s">
        <v>1</v>
      </c>
      <c r="F500" s="30" t="s">
        <v>1361</v>
      </c>
      <c r="G500" s="30" t="s">
        <v>1370</v>
      </c>
      <c r="H500" s="34" t="s">
        <v>4</v>
      </c>
      <c r="I500" s="30" t="s">
        <v>113</v>
      </c>
      <c r="J500" s="31"/>
      <c r="K500" s="31" t="s">
        <v>116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ht="14.25" customHeight="1">
      <c r="A501" s="30">
        <f t="shared" si="45"/>
        <v>364</v>
      </c>
      <c r="B501" s="31" t="s">
        <v>1371</v>
      </c>
      <c r="C501" s="33" t="s">
        <v>1372</v>
      </c>
      <c r="D501" s="33" t="s">
        <v>412</v>
      </c>
      <c r="E501" s="30" t="s">
        <v>407</v>
      </c>
      <c r="F501" s="30" t="s">
        <v>1361</v>
      </c>
      <c r="G501" s="30" t="s">
        <v>413</v>
      </c>
      <c r="H501" s="34" t="s">
        <v>4</v>
      </c>
      <c r="I501" s="30" t="s">
        <v>113</v>
      </c>
      <c r="J501" s="31" t="s">
        <v>660</v>
      </c>
      <c r="K501" s="31" t="s">
        <v>116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ht="14.25" customHeight="1">
      <c r="A502" s="30">
        <f t="shared" si="45"/>
        <v>365</v>
      </c>
      <c r="B502" s="31" t="s">
        <v>1373</v>
      </c>
      <c r="C502" s="33" t="s">
        <v>1374</v>
      </c>
      <c r="D502" s="33" t="s">
        <v>406</v>
      </c>
      <c r="E502" s="30" t="s">
        <v>407</v>
      </c>
      <c r="F502" s="30" t="s">
        <v>1361</v>
      </c>
      <c r="G502" s="30" t="s">
        <v>408</v>
      </c>
      <c r="H502" s="34" t="s">
        <v>4</v>
      </c>
      <c r="I502" s="30" t="s">
        <v>113</v>
      </c>
      <c r="J502" s="33" t="s">
        <v>1375</v>
      </c>
      <c r="K502" s="31" t="s">
        <v>116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ht="15.75" customHeight="1">
      <c r="A503" s="50"/>
      <c r="B503" s="7"/>
      <c r="C503" s="51"/>
      <c r="D503" s="51"/>
      <c r="E503" s="50"/>
      <c r="F503" s="50"/>
      <c r="G503" s="50"/>
      <c r="H503" s="52"/>
      <c r="I503" s="50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ht="15.75" customHeight="1">
      <c r="A504" s="23" t="s">
        <v>70</v>
      </c>
      <c r="B504" s="53" t="s">
        <v>73</v>
      </c>
      <c r="C504" s="54" t="s">
        <v>74</v>
      </c>
      <c r="D504" s="54" t="s">
        <v>75</v>
      </c>
      <c r="E504" s="23" t="s">
        <v>76</v>
      </c>
      <c r="F504" s="23" t="s">
        <v>78</v>
      </c>
      <c r="G504" s="23" t="s">
        <v>79</v>
      </c>
      <c r="H504" s="25" t="s">
        <v>81</v>
      </c>
      <c r="I504" s="23" t="s">
        <v>84</v>
      </c>
      <c r="J504" s="53" t="s">
        <v>85</v>
      </c>
      <c r="K504" s="53" t="s">
        <v>86</v>
      </c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ht="15.75" customHeight="1">
      <c r="A505" s="29" t="s">
        <v>1376</v>
      </c>
      <c r="B505" s="15"/>
      <c r="C505" s="15"/>
      <c r="D505" s="15"/>
      <c r="E505" s="15"/>
      <c r="F505" s="15"/>
      <c r="G505" s="15"/>
      <c r="H505" s="15"/>
      <c r="I505" s="15"/>
      <c r="J505" s="15"/>
      <c r="K505" s="16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ht="14.25" customHeight="1">
      <c r="A506" s="30">
        <f>A502+1</f>
        <v>366</v>
      </c>
      <c r="B506" s="31" t="s">
        <v>1377</v>
      </c>
      <c r="C506" s="33" t="s">
        <v>1378</v>
      </c>
      <c r="D506" s="33" t="s">
        <v>1379</v>
      </c>
      <c r="E506" s="30" t="s">
        <v>12</v>
      </c>
      <c r="F506" s="30" t="s">
        <v>1361</v>
      </c>
      <c r="G506" s="30" t="s">
        <v>13</v>
      </c>
      <c r="H506" s="34" t="s">
        <v>1380</v>
      </c>
      <c r="I506" s="30" t="s">
        <v>113</v>
      </c>
      <c r="J506" s="31"/>
      <c r="K506" s="31" t="s">
        <v>116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ht="14.25" customHeight="1">
      <c r="A507" s="30">
        <f t="shared" ref="A507:A514" si="46">A506+1</f>
        <v>367</v>
      </c>
      <c r="B507" s="31" t="s">
        <v>1381</v>
      </c>
      <c r="C507" s="33" t="s">
        <v>1382</v>
      </c>
      <c r="D507" s="33"/>
      <c r="E507" s="30" t="s">
        <v>12</v>
      </c>
      <c r="F507" s="30" t="s">
        <v>1377</v>
      </c>
      <c r="G507" s="30" t="s">
        <v>13</v>
      </c>
      <c r="H507" s="34" t="s">
        <v>4</v>
      </c>
      <c r="I507" s="30" t="s">
        <v>113</v>
      </c>
      <c r="J507" s="91" t="s">
        <v>392</v>
      </c>
      <c r="K507" s="31" t="s">
        <v>116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ht="14.25" customHeight="1">
      <c r="A508" s="30">
        <f t="shared" si="46"/>
        <v>368</v>
      </c>
      <c r="B508" s="31" t="s">
        <v>1383</v>
      </c>
      <c r="C508" s="33" t="s">
        <v>1384</v>
      </c>
      <c r="D508" s="33" t="s">
        <v>1385</v>
      </c>
      <c r="E508" s="30" t="s">
        <v>1156</v>
      </c>
      <c r="F508" s="30" t="s">
        <v>1381</v>
      </c>
      <c r="G508" s="30" t="s">
        <v>13</v>
      </c>
      <c r="H508" s="34" t="s">
        <v>4</v>
      </c>
      <c r="I508" s="30" t="s">
        <v>113</v>
      </c>
      <c r="J508" s="33"/>
      <c r="K508" s="31" t="s">
        <v>116</v>
      </c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ht="15.75" customHeight="1">
      <c r="A509" s="30">
        <f t="shared" si="46"/>
        <v>369</v>
      </c>
      <c r="B509" s="31" t="s">
        <v>1386</v>
      </c>
      <c r="C509" s="33" t="s">
        <v>1387</v>
      </c>
      <c r="D509" s="33"/>
      <c r="E509" s="30" t="s">
        <v>12</v>
      </c>
      <c r="F509" s="30" t="s">
        <v>1383</v>
      </c>
      <c r="G509" s="30" t="s">
        <v>13</v>
      </c>
      <c r="H509" s="34" t="s">
        <v>540</v>
      </c>
      <c r="I509" s="30" t="s">
        <v>113</v>
      </c>
      <c r="J509" s="114" t="s">
        <v>392</v>
      </c>
      <c r="K509" s="31" t="s">
        <v>116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ht="15.75" customHeight="1">
      <c r="A510" s="30">
        <f t="shared" si="46"/>
        <v>370</v>
      </c>
      <c r="B510" s="31" t="s">
        <v>1388</v>
      </c>
      <c r="C510" s="33" t="s">
        <v>1389</v>
      </c>
      <c r="D510" s="33" t="s">
        <v>1390</v>
      </c>
      <c r="E510" s="30" t="s">
        <v>1</v>
      </c>
      <c r="F510" s="30" t="s">
        <v>1386</v>
      </c>
      <c r="G510" s="30" t="s">
        <v>330</v>
      </c>
      <c r="H510" s="34" t="s">
        <v>4</v>
      </c>
      <c r="I510" s="30" t="s">
        <v>113</v>
      </c>
      <c r="J510" s="33" t="s">
        <v>1391</v>
      </c>
      <c r="K510" s="31" t="s">
        <v>116</v>
      </c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ht="15.75" customHeight="1">
      <c r="A511" s="30">
        <f t="shared" si="46"/>
        <v>371</v>
      </c>
      <c r="B511" s="31" t="s">
        <v>1392</v>
      </c>
      <c r="C511" s="33" t="s">
        <v>1393</v>
      </c>
      <c r="D511" s="33" t="s">
        <v>1394</v>
      </c>
      <c r="E511" s="30" t="s">
        <v>1</v>
      </c>
      <c r="F511" s="30" t="s">
        <v>1386</v>
      </c>
      <c r="G511" s="30" t="s">
        <v>257</v>
      </c>
      <c r="H511" s="34" t="s">
        <v>4</v>
      </c>
      <c r="I511" s="30" t="s">
        <v>113</v>
      </c>
      <c r="J511" s="33"/>
      <c r="K511" s="31" t="s">
        <v>116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ht="15.75" customHeight="1">
      <c r="A512" s="30">
        <f t="shared" si="46"/>
        <v>372</v>
      </c>
      <c r="B512" s="31" t="s">
        <v>1395</v>
      </c>
      <c r="C512" s="33" t="s">
        <v>1396</v>
      </c>
      <c r="D512" s="33" t="s">
        <v>1394</v>
      </c>
      <c r="E512" s="30" t="s">
        <v>1</v>
      </c>
      <c r="F512" s="30" t="s">
        <v>1386</v>
      </c>
      <c r="G512" s="30" t="s">
        <v>1397</v>
      </c>
      <c r="H512" s="34" t="s">
        <v>14</v>
      </c>
      <c r="I512" s="30" t="s">
        <v>3</v>
      </c>
      <c r="J512" s="33"/>
      <c r="K512" s="31" t="s">
        <v>116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ht="15.75" customHeight="1">
      <c r="A513" s="30">
        <f t="shared" si="46"/>
        <v>373</v>
      </c>
      <c r="B513" s="31" t="s">
        <v>1398</v>
      </c>
      <c r="C513" s="33" t="s">
        <v>1399</v>
      </c>
      <c r="D513" s="33" t="s">
        <v>1400</v>
      </c>
      <c r="E513" s="30" t="s">
        <v>1</v>
      </c>
      <c r="F513" s="30" t="s">
        <v>1386</v>
      </c>
      <c r="G513" s="30" t="s">
        <v>505</v>
      </c>
      <c r="H513" s="34" t="s">
        <v>4</v>
      </c>
      <c r="I513" s="30" t="s">
        <v>113</v>
      </c>
      <c r="J513" s="33"/>
      <c r="K513" s="31" t="s">
        <v>116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ht="15.75" customHeight="1">
      <c r="A514" s="30">
        <f t="shared" si="46"/>
        <v>374</v>
      </c>
      <c r="B514" s="31" t="s">
        <v>1401</v>
      </c>
      <c r="C514" s="33" t="s">
        <v>1402</v>
      </c>
      <c r="D514" s="33" t="s">
        <v>1403</v>
      </c>
      <c r="E514" s="30" t="s">
        <v>1</v>
      </c>
      <c r="F514" s="30" t="s">
        <v>1386</v>
      </c>
      <c r="G514" s="30" t="s">
        <v>272</v>
      </c>
      <c r="H514" s="34" t="s">
        <v>4</v>
      </c>
      <c r="I514" s="30" t="s">
        <v>113</v>
      </c>
      <c r="J514" s="31" t="s">
        <v>556</v>
      </c>
      <c r="K514" s="31" t="s">
        <v>116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ht="15.75" customHeight="1">
      <c r="A515" s="50"/>
      <c r="B515" s="7"/>
      <c r="C515" s="51"/>
      <c r="D515" s="51"/>
      <c r="E515" s="50"/>
      <c r="F515" s="50"/>
      <c r="G515" s="50"/>
      <c r="H515" s="52"/>
      <c r="I515" s="50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ht="15.75" customHeight="1">
      <c r="A516" s="23" t="s">
        <v>70</v>
      </c>
      <c r="B516" s="53" t="s">
        <v>73</v>
      </c>
      <c r="C516" s="54" t="s">
        <v>74</v>
      </c>
      <c r="D516" s="54" t="s">
        <v>75</v>
      </c>
      <c r="E516" s="23" t="s">
        <v>76</v>
      </c>
      <c r="F516" s="23" t="s">
        <v>78</v>
      </c>
      <c r="G516" s="23" t="s">
        <v>79</v>
      </c>
      <c r="H516" s="25" t="s">
        <v>81</v>
      </c>
      <c r="I516" s="23" t="s">
        <v>84</v>
      </c>
      <c r="J516" s="53" t="s">
        <v>85</v>
      </c>
      <c r="K516" s="53" t="s">
        <v>86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ht="14.25" customHeight="1">
      <c r="A517" s="29" t="s">
        <v>1404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16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ht="14.25" customHeight="1">
      <c r="A518" s="30">
        <f>A514+1</f>
        <v>375</v>
      </c>
      <c r="B518" s="31" t="s">
        <v>1405</v>
      </c>
      <c r="C518" s="33" t="s">
        <v>1406</v>
      </c>
      <c r="D518" s="33" t="s">
        <v>1407</v>
      </c>
      <c r="E518" s="30" t="s">
        <v>1156</v>
      </c>
      <c r="F518" s="30" t="s">
        <v>1381</v>
      </c>
      <c r="G518" s="30" t="s">
        <v>13</v>
      </c>
      <c r="H518" s="34" t="s">
        <v>4</v>
      </c>
      <c r="I518" s="30" t="s">
        <v>113</v>
      </c>
      <c r="J518" s="31"/>
      <c r="K518" s="31" t="s">
        <v>116</v>
      </c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ht="15.75" customHeight="1">
      <c r="A519" s="30">
        <f t="shared" ref="A519:A520" si="47">A518+1</f>
        <v>376</v>
      </c>
      <c r="B519" s="31" t="s">
        <v>1408</v>
      </c>
      <c r="C519" s="33" t="s">
        <v>1409</v>
      </c>
      <c r="D519" s="33"/>
      <c r="E519" s="30" t="s">
        <v>12</v>
      </c>
      <c r="F519" s="30" t="s">
        <v>1405</v>
      </c>
      <c r="G519" s="30" t="s">
        <v>13</v>
      </c>
      <c r="H519" s="34" t="s">
        <v>540</v>
      </c>
      <c r="I519" s="30" t="s">
        <v>113</v>
      </c>
      <c r="J519" s="116" t="s">
        <v>392</v>
      </c>
      <c r="K519" s="31" t="s">
        <v>116</v>
      </c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ht="15.75" customHeight="1">
      <c r="A520" s="30">
        <f t="shared" si="47"/>
        <v>377</v>
      </c>
      <c r="B520" s="31" t="s">
        <v>1410</v>
      </c>
      <c r="C520" s="33" t="s">
        <v>1411</v>
      </c>
      <c r="D520" s="33" t="s">
        <v>1412</v>
      </c>
      <c r="E520" s="30" t="s">
        <v>1</v>
      </c>
      <c r="F520" s="30" t="s">
        <v>1408</v>
      </c>
      <c r="G520" s="30" t="s">
        <v>174</v>
      </c>
      <c r="H520" s="34" t="s">
        <v>4</v>
      </c>
      <c r="I520" s="30" t="s">
        <v>113</v>
      </c>
      <c r="J520" s="104"/>
      <c r="K520" s="31" t="s">
        <v>116</v>
      </c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ht="15.75" customHeight="1">
      <c r="A521" s="50"/>
      <c r="B521" s="7"/>
      <c r="C521" s="51"/>
      <c r="D521" s="51"/>
      <c r="E521" s="50"/>
      <c r="F521" s="50"/>
      <c r="G521" s="50"/>
      <c r="H521" s="52"/>
      <c r="I521" s="50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ht="15.75" customHeight="1">
      <c r="A522" s="23" t="s">
        <v>70</v>
      </c>
      <c r="B522" s="53" t="s">
        <v>73</v>
      </c>
      <c r="C522" s="54" t="s">
        <v>74</v>
      </c>
      <c r="D522" s="54" t="s">
        <v>75</v>
      </c>
      <c r="E522" s="23" t="s">
        <v>76</v>
      </c>
      <c r="F522" s="23" t="s">
        <v>78</v>
      </c>
      <c r="G522" s="23" t="s">
        <v>79</v>
      </c>
      <c r="H522" s="25" t="s">
        <v>81</v>
      </c>
      <c r="I522" s="23" t="s">
        <v>84</v>
      </c>
      <c r="J522" s="53" t="s">
        <v>85</v>
      </c>
      <c r="K522" s="53" t="s">
        <v>86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ht="15.75" customHeight="1">
      <c r="A523" s="29" t="s">
        <v>1413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16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ht="14.25" customHeight="1">
      <c r="A524" s="30">
        <f>A520+1</f>
        <v>378</v>
      </c>
      <c r="B524" s="31" t="s">
        <v>1414</v>
      </c>
      <c r="C524" s="33" t="s">
        <v>1415</v>
      </c>
      <c r="D524" s="33" t="s">
        <v>1416</v>
      </c>
      <c r="E524" s="30" t="s">
        <v>12</v>
      </c>
      <c r="F524" s="30" t="s">
        <v>1153</v>
      </c>
      <c r="G524" s="30" t="s">
        <v>13</v>
      </c>
      <c r="H524" s="34" t="s">
        <v>14</v>
      </c>
      <c r="I524" s="30" t="s">
        <v>3</v>
      </c>
      <c r="J524" s="31"/>
      <c r="K524" s="31" t="s">
        <v>384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ht="15.75" customHeight="1">
      <c r="A525" s="30">
        <f t="shared" ref="A525:A530" si="48">A524+1</f>
        <v>379</v>
      </c>
      <c r="B525" s="31" t="s">
        <v>1417</v>
      </c>
      <c r="C525" s="33" t="s">
        <v>1418</v>
      </c>
      <c r="D525" s="33"/>
      <c r="E525" s="30" t="s">
        <v>12</v>
      </c>
      <c r="F525" s="30" t="s">
        <v>1414</v>
      </c>
      <c r="G525" s="30" t="s">
        <v>13</v>
      </c>
      <c r="H525" s="34" t="s">
        <v>540</v>
      </c>
      <c r="I525" s="30" t="s">
        <v>113</v>
      </c>
      <c r="J525" s="91" t="s">
        <v>392</v>
      </c>
      <c r="K525" s="31" t="s">
        <v>384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ht="15.75" customHeight="1">
      <c r="A526" s="30">
        <f t="shared" si="48"/>
        <v>380</v>
      </c>
      <c r="B526" s="31" t="s">
        <v>1419</v>
      </c>
      <c r="C526" s="33" t="s">
        <v>1420</v>
      </c>
      <c r="D526" s="117" t="s">
        <v>1421</v>
      </c>
      <c r="E526" s="30" t="s">
        <v>1</v>
      </c>
      <c r="F526" s="30" t="s">
        <v>1417</v>
      </c>
      <c r="G526" s="30" t="s">
        <v>178</v>
      </c>
      <c r="H526" s="34" t="s">
        <v>4</v>
      </c>
      <c r="I526" s="30" t="s">
        <v>113</v>
      </c>
      <c r="J526" s="33" t="s">
        <v>1422</v>
      </c>
      <c r="K526" s="31" t="s">
        <v>384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ht="15.75" customHeight="1">
      <c r="A527" s="30">
        <f t="shared" si="48"/>
        <v>381</v>
      </c>
      <c r="B527" s="31" t="s">
        <v>1423</v>
      </c>
      <c r="C527" s="33" t="s">
        <v>1424</v>
      </c>
      <c r="D527" s="33" t="s">
        <v>1425</v>
      </c>
      <c r="E527" s="30" t="s">
        <v>1</v>
      </c>
      <c r="F527" s="30" t="s">
        <v>1417</v>
      </c>
      <c r="G527" s="30" t="s">
        <v>1426</v>
      </c>
      <c r="H527" s="34" t="s">
        <v>4</v>
      </c>
      <c r="I527" s="30" t="s">
        <v>113</v>
      </c>
      <c r="J527" s="31"/>
      <c r="K527" s="31" t="s">
        <v>384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ht="15.75" customHeight="1">
      <c r="A528" s="30">
        <f t="shared" si="48"/>
        <v>382</v>
      </c>
      <c r="B528" s="31" t="s">
        <v>1427</v>
      </c>
      <c r="C528" s="33" t="s">
        <v>1428</v>
      </c>
      <c r="D528" s="33" t="s">
        <v>1429</v>
      </c>
      <c r="E528" s="30" t="s">
        <v>1</v>
      </c>
      <c r="F528" s="30" t="s">
        <v>1417</v>
      </c>
      <c r="G528" s="30" t="s">
        <v>1430</v>
      </c>
      <c r="H528" s="34" t="s">
        <v>4</v>
      </c>
      <c r="I528" s="30" t="s">
        <v>113</v>
      </c>
      <c r="J528" s="31"/>
      <c r="K528" s="31" t="s">
        <v>384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ht="15.75" customHeight="1">
      <c r="A529" s="30">
        <f t="shared" si="48"/>
        <v>383</v>
      </c>
      <c r="B529" s="31" t="s">
        <v>1431</v>
      </c>
      <c r="C529" s="33" t="s">
        <v>1432</v>
      </c>
      <c r="D529" s="33" t="s">
        <v>1433</v>
      </c>
      <c r="E529" s="30" t="s">
        <v>1</v>
      </c>
      <c r="F529" s="30" t="s">
        <v>1417</v>
      </c>
      <c r="G529" s="30" t="s">
        <v>1430</v>
      </c>
      <c r="H529" s="34" t="s">
        <v>4</v>
      </c>
      <c r="I529" s="30" t="s">
        <v>113</v>
      </c>
      <c r="J529" s="31"/>
      <c r="K529" s="31" t="s">
        <v>384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ht="14.25" customHeight="1">
      <c r="A530" s="30">
        <f t="shared" si="48"/>
        <v>384</v>
      </c>
      <c r="B530" s="31" t="s">
        <v>1434</v>
      </c>
      <c r="C530" s="33" t="s">
        <v>1435</v>
      </c>
      <c r="D530" s="33" t="s">
        <v>1436</v>
      </c>
      <c r="E530" s="30" t="s">
        <v>1</v>
      </c>
      <c r="F530" s="30" t="s">
        <v>1417</v>
      </c>
      <c r="G530" s="30" t="s">
        <v>841</v>
      </c>
      <c r="H530" s="34" t="s">
        <v>4</v>
      </c>
      <c r="I530" s="30" t="s">
        <v>113</v>
      </c>
      <c r="J530" s="33" t="s">
        <v>1437</v>
      </c>
      <c r="K530" s="31" t="s">
        <v>384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ht="15.75" customHeight="1">
      <c r="A531" s="23" t="s">
        <v>70</v>
      </c>
      <c r="B531" s="53" t="s">
        <v>73</v>
      </c>
      <c r="C531" s="54" t="s">
        <v>74</v>
      </c>
      <c r="D531" s="54" t="s">
        <v>75</v>
      </c>
      <c r="E531" s="23" t="s">
        <v>76</v>
      </c>
      <c r="F531" s="23" t="s">
        <v>78</v>
      </c>
      <c r="G531" s="23" t="s">
        <v>79</v>
      </c>
      <c r="H531" s="25" t="s">
        <v>81</v>
      </c>
      <c r="I531" s="23" t="s">
        <v>84</v>
      </c>
      <c r="J531" s="53" t="s">
        <v>85</v>
      </c>
      <c r="K531" s="53" t="s">
        <v>86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ht="15.75" customHeight="1">
      <c r="A532" s="29" t="s">
        <v>1438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16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ht="15.75" customHeight="1">
      <c r="A533" s="30">
        <f>A530+1</f>
        <v>385</v>
      </c>
      <c r="B533" s="31" t="s">
        <v>1439</v>
      </c>
      <c r="C533" s="33" t="s">
        <v>1440</v>
      </c>
      <c r="D533" s="33" t="s">
        <v>1441</v>
      </c>
      <c r="E533" s="30" t="s">
        <v>12</v>
      </c>
      <c r="F533" s="30" t="s">
        <v>1124</v>
      </c>
      <c r="G533" s="30" t="s">
        <v>13</v>
      </c>
      <c r="H533" s="34" t="s">
        <v>4</v>
      </c>
      <c r="I533" s="30" t="s">
        <v>113</v>
      </c>
      <c r="J533" s="31"/>
      <c r="K533" s="31" t="s">
        <v>116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ht="15.75" customHeight="1">
      <c r="A534" s="30">
        <f>A533+1</f>
        <v>386</v>
      </c>
      <c r="B534" s="31" t="s">
        <v>1442</v>
      </c>
      <c r="C534" s="33" t="s">
        <v>1443</v>
      </c>
      <c r="D534" s="33" t="s">
        <v>1444</v>
      </c>
      <c r="E534" s="30" t="s">
        <v>1445</v>
      </c>
      <c r="F534" s="30" t="s">
        <v>1446</v>
      </c>
      <c r="G534" s="30" t="s">
        <v>135</v>
      </c>
      <c r="H534" s="34" t="s">
        <v>4</v>
      </c>
      <c r="I534" s="30" t="s">
        <v>113</v>
      </c>
      <c r="J534" s="33" t="s">
        <v>1447</v>
      </c>
      <c r="K534" s="31" t="s">
        <v>116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ht="15.75" customHeight="1">
      <c r="A535" s="50"/>
      <c r="B535" s="7"/>
      <c r="C535" s="51"/>
      <c r="D535" s="51"/>
      <c r="E535" s="50"/>
      <c r="F535" s="50"/>
      <c r="G535" s="50"/>
      <c r="H535" s="52"/>
      <c r="I535" s="50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ht="15.75" customHeight="1">
      <c r="A536" s="23" t="s">
        <v>70</v>
      </c>
      <c r="B536" s="53" t="s">
        <v>73</v>
      </c>
      <c r="C536" s="54" t="s">
        <v>74</v>
      </c>
      <c r="D536" s="54" t="s">
        <v>75</v>
      </c>
      <c r="E536" s="23" t="s">
        <v>76</v>
      </c>
      <c r="F536" s="23" t="s">
        <v>78</v>
      </c>
      <c r="G536" s="23" t="s">
        <v>79</v>
      </c>
      <c r="H536" s="25" t="s">
        <v>81</v>
      </c>
      <c r="I536" s="23" t="s">
        <v>84</v>
      </c>
      <c r="J536" s="53" t="s">
        <v>85</v>
      </c>
      <c r="K536" s="53" t="s">
        <v>86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ht="15.75" customHeight="1">
      <c r="A537" s="29" t="s">
        <v>1448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16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ht="14.25" customHeight="1">
      <c r="A538" s="30">
        <f>A534+1</f>
        <v>387</v>
      </c>
      <c r="B538" s="31" t="str">
        <f>LEFT(A537,SEARCH(" ",A537)-1)&amp;TEXT(ROWS($A$537:A537),"00")</f>
        <v>LF01</v>
      </c>
      <c r="C538" s="33" t="s">
        <v>1449</v>
      </c>
      <c r="D538" s="33" t="s">
        <v>1450</v>
      </c>
      <c r="E538" s="30" t="s">
        <v>1156</v>
      </c>
      <c r="F538" s="30" t="s">
        <v>1439</v>
      </c>
      <c r="G538" s="30" t="s">
        <v>13</v>
      </c>
      <c r="H538" s="34" t="s">
        <v>4</v>
      </c>
      <c r="I538" s="30" t="s">
        <v>113</v>
      </c>
      <c r="J538" s="31"/>
      <c r="K538" s="31" t="s">
        <v>116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ht="14.25" customHeight="1">
      <c r="A539" s="30">
        <f>A538+1</f>
        <v>388</v>
      </c>
      <c r="B539" s="118" t="s">
        <v>1451</v>
      </c>
      <c r="C539" s="33" t="s">
        <v>1452</v>
      </c>
      <c r="D539" s="33" t="s">
        <v>1453</v>
      </c>
      <c r="E539" s="30" t="s">
        <v>1</v>
      </c>
      <c r="F539" s="30" t="s">
        <v>1454</v>
      </c>
      <c r="G539" s="30" t="s">
        <v>461</v>
      </c>
      <c r="H539" s="34" t="s">
        <v>4</v>
      </c>
      <c r="I539" s="30" t="s">
        <v>113</v>
      </c>
      <c r="J539" s="33" t="s">
        <v>1455</v>
      </c>
      <c r="K539" s="31" t="s">
        <v>116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ht="15.75" customHeight="1">
      <c r="A540" s="50"/>
      <c r="B540" s="7"/>
      <c r="C540" s="51"/>
      <c r="D540" s="51"/>
      <c r="E540" s="50"/>
      <c r="F540" s="50"/>
      <c r="G540" s="50"/>
      <c r="H540" s="52"/>
      <c r="I540" s="50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ht="15.75" customHeight="1">
      <c r="A541" s="23" t="s">
        <v>70</v>
      </c>
      <c r="B541" s="53" t="s">
        <v>73</v>
      </c>
      <c r="C541" s="54" t="s">
        <v>74</v>
      </c>
      <c r="D541" s="54" t="s">
        <v>75</v>
      </c>
      <c r="E541" s="23" t="s">
        <v>76</v>
      </c>
      <c r="F541" s="23" t="s">
        <v>78</v>
      </c>
      <c r="G541" s="23" t="s">
        <v>79</v>
      </c>
      <c r="H541" s="25" t="s">
        <v>81</v>
      </c>
      <c r="I541" s="23" t="s">
        <v>84</v>
      </c>
      <c r="J541" s="53" t="s">
        <v>85</v>
      </c>
      <c r="K541" s="53" t="s">
        <v>86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ht="15.75" customHeight="1">
      <c r="A542" s="29" t="s">
        <v>1456</v>
      </c>
      <c r="B542" s="15"/>
      <c r="C542" s="15"/>
      <c r="D542" s="15"/>
      <c r="E542" s="15"/>
      <c r="F542" s="15"/>
      <c r="G542" s="15"/>
      <c r="H542" s="15"/>
      <c r="I542" s="15"/>
      <c r="J542" s="15"/>
      <c r="K542" s="16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ht="18.0" customHeight="1">
      <c r="A543" s="30">
        <f>A539+1</f>
        <v>389</v>
      </c>
      <c r="B543" s="31" t="str">
        <f>LEFT(A542,SEARCH(" ",A542)-1)&amp;TEXT(ROWS($A$542:A542),"00")</f>
        <v>Lfa01</v>
      </c>
      <c r="C543" s="33" t="s">
        <v>1457</v>
      </c>
      <c r="D543" s="33" t="s">
        <v>1458</v>
      </c>
      <c r="E543" s="30" t="s">
        <v>12</v>
      </c>
      <c r="F543" s="30" t="s">
        <v>1454</v>
      </c>
      <c r="G543" s="30" t="s">
        <v>13</v>
      </c>
      <c r="H543" s="34" t="s">
        <v>14</v>
      </c>
      <c r="I543" s="30" t="s">
        <v>3</v>
      </c>
      <c r="J543" s="31"/>
      <c r="K543" s="31" t="s">
        <v>116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ht="15.75" customHeight="1">
      <c r="A544" s="30">
        <f t="shared" ref="A544:A547" si="49">A543+1</f>
        <v>390</v>
      </c>
      <c r="B544" s="31" t="s">
        <v>1459</v>
      </c>
      <c r="C544" s="33" t="s">
        <v>1460</v>
      </c>
      <c r="D544" s="33"/>
      <c r="E544" s="30" t="s">
        <v>12</v>
      </c>
      <c r="F544" s="30" t="s">
        <v>1461</v>
      </c>
      <c r="G544" s="30" t="s">
        <v>13</v>
      </c>
      <c r="H544" s="34" t="s">
        <v>585</v>
      </c>
      <c r="I544" s="30" t="s">
        <v>113</v>
      </c>
      <c r="J544" s="91" t="s">
        <v>392</v>
      </c>
      <c r="K544" s="31" t="s">
        <v>116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ht="21.0" customHeight="1">
      <c r="A545" s="30">
        <f t="shared" si="49"/>
        <v>391</v>
      </c>
      <c r="B545" s="31" t="s">
        <v>1462</v>
      </c>
      <c r="C545" s="33" t="s">
        <v>1463</v>
      </c>
      <c r="D545" s="33" t="s">
        <v>1464</v>
      </c>
      <c r="E545" s="30" t="s">
        <v>1</v>
      </c>
      <c r="F545" s="30" t="s">
        <v>1459</v>
      </c>
      <c r="G545" s="30" t="s">
        <v>257</v>
      </c>
      <c r="H545" s="34" t="s">
        <v>14</v>
      </c>
      <c r="I545" s="30" t="s">
        <v>3</v>
      </c>
      <c r="J545" s="31"/>
      <c r="K545" s="31" t="s">
        <v>116</v>
      </c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ht="14.25" customHeight="1">
      <c r="A546" s="30">
        <f t="shared" si="49"/>
        <v>392</v>
      </c>
      <c r="B546" s="31" t="s">
        <v>1465</v>
      </c>
      <c r="C546" s="33" t="s">
        <v>1466</v>
      </c>
      <c r="D546" s="33" t="s">
        <v>1467</v>
      </c>
      <c r="E546" s="30" t="s">
        <v>1</v>
      </c>
      <c r="F546" s="30" t="s">
        <v>1459</v>
      </c>
      <c r="G546" s="30" t="s">
        <v>1468</v>
      </c>
      <c r="H546" s="34" t="s">
        <v>4</v>
      </c>
      <c r="I546" s="30" t="s">
        <v>113</v>
      </c>
      <c r="J546" s="31"/>
      <c r="K546" s="31" t="s">
        <v>116</v>
      </c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ht="15.75" customHeight="1">
      <c r="A547" s="30">
        <f t="shared" si="49"/>
        <v>393</v>
      </c>
      <c r="B547" s="31" t="s">
        <v>1469</v>
      </c>
      <c r="C547" s="33" t="s">
        <v>1470</v>
      </c>
      <c r="D547" s="33" t="s">
        <v>1471</v>
      </c>
      <c r="E547" s="30" t="s">
        <v>1</v>
      </c>
      <c r="F547" s="30" t="s">
        <v>1459</v>
      </c>
      <c r="G547" s="30" t="s">
        <v>272</v>
      </c>
      <c r="H547" s="34" t="s">
        <v>4</v>
      </c>
      <c r="I547" s="30" t="s">
        <v>113</v>
      </c>
      <c r="J547" s="31" t="s">
        <v>556</v>
      </c>
      <c r="K547" s="31" t="s">
        <v>116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ht="15.75" customHeight="1">
      <c r="A548" s="50"/>
      <c r="B548" s="7"/>
      <c r="C548" s="51"/>
      <c r="D548" s="51"/>
      <c r="E548" s="50"/>
      <c r="F548" s="50"/>
      <c r="G548" s="50"/>
      <c r="H548" s="52"/>
      <c r="I548" s="50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ht="15.75" customHeight="1">
      <c r="A549" s="23" t="s">
        <v>70</v>
      </c>
      <c r="B549" s="53" t="s">
        <v>73</v>
      </c>
      <c r="C549" s="54" t="s">
        <v>74</v>
      </c>
      <c r="D549" s="54" t="s">
        <v>75</v>
      </c>
      <c r="E549" s="23" t="s">
        <v>76</v>
      </c>
      <c r="F549" s="23" t="s">
        <v>78</v>
      </c>
      <c r="G549" s="23" t="s">
        <v>79</v>
      </c>
      <c r="H549" s="25" t="s">
        <v>81</v>
      </c>
      <c r="I549" s="23" t="s">
        <v>84</v>
      </c>
      <c r="J549" s="53" t="s">
        <v>85</v>
      </c>
      <c r="K549" s="53" t="s">
        <v>86</v>
      </c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ht="15.75" customHeight="1">
      <c r="A550" s="29" t="s">
        <v>1472</v>
      </c>
      <c r="B550" s="15"/>
      <c r="C550" s="15"/>
      <c r="D550" s="15"/>
      <c r="E550" s="15"/>
      <c r="F550" s="15"/>
      <c r="G550" s="15"/>
      <c r="H550" s="15"/>
      <c r="I550" s="15"/>
      <c r="J550" s="15"/>
      <c r="K550" s="16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ht="15.75" customHeight="1">
      <c r="A551" s="30">
        <f>A547+1</f>
        <v>394</v>
      </c>
      <c r="B551" s="31" t="s">
        <v>1473</v>
      </c>
      <c r="C551" s="33" t="s">
        <v>1474</v>
      </c>
      <c r="D551" s="33" t="s">
        <v>1475</v>
      </c>
      <c r="E551" s="30" t="s">
        <v>12</v>
      </c>
      <c r="F551" s="31" t="s">
        <v>1459</v>
      </c>
      <c r="G551" s="30" t="s">
        <v>13</v>
      </c>
      <c r="H551" s="34" t="s">
        <v>4</v>
      </c>
      <c r="I551" s="30" t="s">
        <v>113</v>
      </c>
      <c r="J551" s="31"/>
      <c r="K551" s="31" t="s">
        <v>1476</v>
      </c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ht="15.75" customHeight="1">
      <c r="A552" s="30">
        <f t="shared" ref="A552:A556" si="50">A551+1</f>
        <v>395</v>
      </c>
      <c r="B552" s="31" t="s">
        <v>1477</v>
      </c>
      <c r="C552" s="33" t="s">
        <v>1478</v>
      </c>
      <c r="D552" s="33" t="s">
        <v>406</v>
      </c>
      <c r="E552" s="30" t="s">
        <v>1</v>
      </c>
      <c r="F552" s="31" t="s">
        <v>1473</v>
      </c>
      <c r="G552" s="30" t="s">
        <v>408</v>
      </c>
      <c r="H552" s="34" t="s">
        <v>4</v>
      </c>
      <c r="I552" s="30" t="s">
        <v>113</v>
      </c>
      <c r="J552" s="33" t="s">
        <v>660</v>
      </c>
      <c r="K552" s="31" t="s">
        <v>1476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ht="15.75" customHeight="1">
      <c r="A553" s="30">
        <f t="shared" si="50"/>
        <v>396</v>
      </c>
      <c r="B553" s="31" t="s">
        <v>1479</v>
      </c>
      <c r="C553" s="33" t="s">
        <v>1480</v>
      </c>
      <c r="D553" s="33" t="s">
        <v>1481</v>
      </c>
      <c r="E553" s="30" t="s">
        <v>1</v>
      </c>
      <c r="F553" s="31" t="s">
        <v>1473</v>
      </c>
      <c r="G553" s="30" t="s">
        <v>533</v>
      </c>
      <c r="H553" s="34" t="s">
        <v>14</v>
      </c>
      <c r="I553" s="30" t="s">
        <v>3</v>
      </c>
      <c r="J553" s="31" t="s">
        <v>1482</v>
      </c>
      <c r="K553" s="31" t="s">
        <v>1476</v>
      </c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ht="15.75" customHeight="1">
      <c r="A554" s="30">
        <f t="shared" si="50"/>
        <v>397</v>
      </c>
      <c r="B554" s="31" t="s">
        <v>1483</v>
      </c>
      <c r="C554" s="33" t="s">
        <v>1484</v>
      </c>
      <c r="D554" s="31" t="s">
        <v>417</v>
      </c>
      <c r="E554" s="30" t="s">
        <v>1</v>
      </c>
      <c r="F554" s="31" t="s">
        <v>1473</v>
      </c>
      <c r="G554" s="30" t="s">
        <v>1370</v>
      </c>
      <c r="H554" s="34" t="s">
        <v>4</v>
      </c>
      <c r="I554" s="30" t="s">
        <v>113</v>
      </c>
      <c r="J554" s="31"/>
      <c r="K554" s="31" t="s">
        <v>1476</v>
      </c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ht="15.75" customHeight="1">
      <c r="A555" s="30">
        <f t="shared" si="50"/>
        <v>398</v>
      </c>
      <c r="B555" s="31" t="s">
        <v>1485</v>
      </c>
      <c r="C555" s="33" t="s">
        <v>1486</v>
      </c>
      <c r="D555" s="31" t="s">
        <v>464</v>
      </c>
      <c r="E555" s="30" t="s">
        <v>1</v>
      </c>
      <c r="F555" s="31" t="s">
        <v>1473</v>
      </c>
      <c r="G555" s="30" t="s">
        <v>330</v>
      </c>
      <c r="H555" s="34" t="s">
        <v>4</v>
      </c>
      <c r="I555" s="30" t="s">
        <v>113</v>
      </c>
      <c r="J555" s="31" t="s">
        <v>739</v>
      </c>
      <c r="K555" s="31" t="s">
        <v>1476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ht="15.75" customHeight="1">
      <c r="A556" s="30">
        <f t="shared" si="50"/>
        <v>399</v>
      </c>
      <c r="B556" s="31" t="s">
        <v>1487</v>
      </c>
      <c r="C556" s="33" t="s">
        <v>1488</v>
      </c>
      <c r="D556" s="31" t="s">
        <v>429</v>
      </c>
      <c r="E556" s="30" t="s">
        <v>1</v>
      </c>
      <c r="F556" s="31" t="s">
        <v>1473</v>
      </c>
      <c r="G556" s="30" t="s">
        <v>430</v>
      </c>
      <c r="H556" s="34" t="s">
        <v>14</v>
      </c>
      <c r="I556" s="30" t="s">
        <v>3</v>
      </c>
      <c r="J556" s="31"/>
      <c r="K556" s="31" t="s">
        <v>1476</v>
      </c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ht="15.75" customHeight="1">
      <c r="A557" s="50"/>
      <c r="B557" s="7"/>
      <c r="C557" s="51"/>
      <c r="D557" s="51"/>
      <c r="E557" s="50"/>
      <c r="F557" s="50"/>
      <c r="G557" s="50"/>
      <c r="H557" s="52"/>
      <c r="I557" s="50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ht="15.75" customHeight="1">
      <c r="A558" s="23" t="s">
        <v>70</v>
      </c>
      <c r="B558" s="53" t="s">
        <v>73</v>
      </c>
      <c r="C558" s="54" t="s">
        <v>74</v>
      </c>
      <c r="D558" s="54" t="s">
        <v>75</v>
      </c>
      <c r="E558" s="23" t="s">
        <v>76</v>
      </c>
      <c r="F558" s="23" t="s">
        <v>78</v>
      </c>
      <c r="G558" s="23" t="s">
        <v>79</v>
      </c>
      <c r="H558" s="25" t="s">
        <v>81</v>
      </c>
      <c r="I558" s="23" t="s">
        <v>84</v>
      </c>
      <c r="J558" s="53" t="s">
        <v>85</v>
      </c>
      <c r="K558" s="53" t="s">
        <v>86</v>
      </c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ht="15.75" customHeight="1">
      <c r="A559" s="29" t="s">
        <v>1489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16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ht="15.75" customHeight="1">
      <c r="A560" s="30">
        <f>A556+1</f>
        <v>400</v>
      </c>
      <c r="B560" s="31" t="s">
        <v>1490</v>
      </c>
      <c r="C560" s="33" t="s">
        <v>1491</v>
      </c>
      <c r="D560" s="33" t="s">
        <v>1492</v>
      </c>
      <c r="E560" s="30" t="s">
        <v>1156</v>
      </c>
      <c r="F560" s="31" t="s">
        <v>1439</v>
      </c>
      <c r="G560" s="30" t="s">
        <v>13</v>
      </c>
      <c r="H560" s="34" t="s">
        <v>4</v>
      </c>
      <c r="I560" s="30" t="s">
        <v>113</v>
      </c>
      <c r="J560" s="31"/>
      <c r="K560" s="31" t="s">
        <v>116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ht="15.75" customHeight="1">
      <c r="A561" s="30">
        <f t="shared" ref="A561:A563" si="51">A560+1</f>
        <v>401</v>
      </c>
      <c r="B561" s="31" t="s">
        <v>1493</v>
      </c>
      <c r="C561" s="33" t="s">
        <v>1494</v>
      </c>
      <c r="D561" s="33" t="s">
        <v>1495</v>
      </c>
      <c r="E561" s="30" t="s">
        <v>1</v>
      </c>
      <c r="F561" s="31" t="s">
        <v>1490</v>
      </c>
      <c r="G561" s="30" t="s">
        <v>140</v>
      </c>
      <c r="H561" s="34" t="s">
        <v>14</v>
      </c>
      <c r="I561" s="30" t="s">
        <v>3</v>
      </c>
      <c r="J561" s="31" t="s">
        <v>1496</v>
      </c>
      <c r="K561" s="31" t="s">
        <v>116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ht="15.75" customHeight="1">
      <c r="A562" s="30">
        <f t="shared" si="51"/>
        <v>402</v>
      </c>
      <c r="B562" s="31" t="s">
        <v>1497</v>
      </c>
      <c r="C562" s="33" t="s">
        <v>1498</v>
      </c>
      <c r="D562" s="33" t="s">
        <v>1499</v>
      </c>
      <c r="E562" s="30" t="s">
        <v>1</v>
      </c>
      <c r="F562" s="31" t="s">
        <v>1490</v>
      </c>
      <c r="G562" s="30" t="s">
        <v>1500</v>
      </c>
      <c r="H562" s="34" t="s">
        <v>14</v>
      </c>
      <c r="I562" s="30" t="s">
        <v>3</v>
      </c>
      <c r="J562" s="33" t="s">
        <v>1501</v>
      </c>
      <c r="K562" s="31" t="s">
        <v>116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ht="15.75" customHeight="1">
      <c r="A563" s="30">
        <f t="shared" si="51"/>
        <v>403</v>
      </c>
      <c r="B563" s="31" t="s">
        <v>1502</v>
      </c>
      <c r="C563" s="33" t="s">
        <v>1503</v>
      </c>
      <c r="D563" s="33" t="s">
        <v>1504</v>
      </c>
      <c r="E563" s="30" t="s">
        <v>1</v>
      </c>
      <c r="F563" s="31" t="s">
        <v>1490</v>
      </c>
      <c r="G563" s="30" t="s">
        <v>272</v>
      </c>
      <c r="H563" s="34" t="s">
        <v>4</v>
      </c>
      <c r="I563" s="30" t="s">
        <v>113</v>
      </c>
      <c r="J563" s="31" t="s">
        <v>556</v>
      </c>
      <c r="K563" s="31" t="s">
        <v>116</v>
      </c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ht="15.75" customHeight="1">
      <c r="A564" s="50"/>
      <c r="B564" s="7"/>
      <c r="C564" s="51"/>
      <c r="D564" s="51"/>
      <c r="E564" s="50"/>
      <c r="F564" s="50"/>
      <c r="G564" s="50"/>
      <c r="H564" s="52"/>
      <c r="I564" s="50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ht="15.75" customHeight="1">
      <c r="A565" s="23" t="s">
        <v>70</v>
      </c>
      <c r="B565" s="53" t="s">
        <v>73</v>
      </c>
      <c r="C565" s="54" t="s">
        <v>74</v>
      </c>
      <c r="D565" s="54" t="s">
        <v>75</v>
      </c>
      <c r="E565" s="23" t="s">
        <v>76</v>
      </c>
      <c r="F565" s="23" t="s">
        <v>78</v>
      </c>
      <c r="G565" s="23" t="s">
        <v>79</v>
      </c>
      <c r="H565" s="25" t="s">
        <v>81</v>
      </c>
      <c r="I565" s="23" t="s">
        <v>84</v>
      </c>
      <c r="J565" s="53" t="s">
        <v>85</v>
      </c>
      <c r="K565" s="53" t="s">
        <v>86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ht="15.75" customHeight="1">
      <c r="A566" s="29" t="s">
        <v>1505</v>
      </c>
      <c r="B566" s="15"/>
      <c r="C566" s="15"/>
      <c r="D566" s="15"/>
      <c r="E566" s="15"/>
      <c r="F566" s="15"/>
      <c r="G566" s="15"/>
      <c r="H566" s="15"/>
      <c r="I566" s="15"/>
      <c r="J566" s="15"/>
      <c r="K566" s="16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ht="15.75" customHeight="1">
      <c r="A567" s="30">
        <f>A563+1</f>
        <v>404</v>
      </c>
      <c r="B567" s="31" t="s">
        <v>1506</v>
      </c>
      <c r="C567" s="33" t="s">
        <v>1507</v>
      </c>
      <c r="D567" s="33" t="s">
        <v>1508</v>
      </c>
      <c r="E567" s="30" t="s">
        <v>12</v>
      </c>
      <c r="F567" s="31" t="s">
        <v>1490</v>
      </c>
      <c r="G567" s="30" t="s">
        <v>13</v>
      </c>
      <c r="H567" s="34" t="s">
        <v>4</v>
      </c>
      <c r="I567" s="30" t="s">
        <v>113</v>
      </c>
      <c r="J567" s="33"/>
      <c r="K567" s="31" t="s">
        <v>116</v>
      </c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ht="15.75" customHeight="1">
      <c r="A568" s="30">
        <f t="shared" ref="A568:A570" si="52">A567+1</f>
        <v>405</v>
      </c>
      <c r="B568" s="31" t="s">
        <v>1509</v>
      </c>
      <c r="C568" s="33" t="s">
        <v>1510</v>
      </c>
      <c r="D568" s="33" t="s">
        <v>1511</v>
      </c>
      <c r="E568" s="30" t="s">
        <v>1</v>
      </c>
      <c r="F568" s="31" t="s">
        <v>1506</v>
      </c>
      <c r="G568" s="30" t="s">
        <v>178</v>
      </c>
      <c r="H568" s="34" t="s">
        <v>4</v>
      </c>
      <c r="I568" s="30" t="s">
        <v>113</v>
      </c>
      <c r="J568" s="33" t="s">
        <v>1512</v>
      </c>
      <c r="K568" s="31" t="s">
        <v>116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ht="15.75" customHeight="1">
      <c r="A569" s="30">
        <f t="shared" si="52"/>
        <v>406</v>
      </c>
      <c r="B569" s="31" t="s">
        <v>1513</v>
      </c>
      <c r="C569" s="33" t="s">
        <v>1514</v>
      </c>
      <c r="D569" s="33" t="s">
        <v>1515</v>
      </c>
      <c r="E569" s="30" t="s">
        <v>1</v>
      </c>
      <c r="F569" s="31" t="s">
        <v>1506</v>
      </c>
      <c r="G569" s="30" t="s">
        <v>1516</v>
      </c>
      <c r="H569" s="34" t="s">
        <v>14</v>
      </c>
      <c r="I569" s="30" t="s">
        <v>3</v>
      </c>
      <c r="J569" s="31" t="s">
        <v>1517</v>
      </c>
      <c r="K569" s="31" t="s">
        <v>116</v>
      </c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ht="15.75" customHeight="1">
      <c r="A570" s="30">
        <f t="shared" si="52"/>
        <v>407</v>
      </c>
      <c r="B570" s="31" t="s">
        <v>1518</v>
      </c>
      <c r="C570" s="33" t="s">
        <v>1519</v>
      </c>
      <c r="D570" s="33" t="s">
        <v>1520</v>
      </c>
      <c r="E570" s="30" t="s">
        <v>1</v>
      </c>
      <c r="F570" s="31" t="s">
        <v>1506</v>
      </c>
      <c r="G570" s="30" t="s">
        <v>841</v>
      </c>
      <c r="H570" s="34" t="s">
        <v>4</v>
      </c>
      <c r="I570" s="30" t="s">
        <v>113</v>
      </c>
      <c r="J570" s="31" t="s">
        <v>1521</v>
      </c>
      <c r="K570" s="31" t="s">
        <v>116</v>
      </c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ht="15.75" customHeight="1">
      <c r="A571" s="50"/>
      <c r="B571" s="7"/>
      <c r="C571" s="51"/>
      <c r="D571" s="51"/>
      <c r="E571" s="50"/>
      <c r="F571" s="50"/>
      <c r="G571" s="50"/>
      <c r="H571" s="52"/>
      <c r="I571" s="50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ht="15.75" customHeight="1">
      <c r="A572" s="23" t="s">
        <v>70</v>
      </c>
      <c r="B572" s="53" t="s">
        <v>73</v>
      </c>
      <c r="C572" s="54" t="s">
        <v>74</v>
      </c>
      <c r="D572" s="54" t="s">
        <v>75</v>
      </c>
      <c r="E572" s="23" t="s">
        <v>76</v>
      </c>
      <c r="F572" s="23" t="s">
        <v>78</v>
      </c>
      <c r="G572" s="23" t="s">
        <v>79</v>
      </c>
      <c r="H572" s="25" t="s">
        <v>81</v>
      </c>
      <c r="I572" s="23" t="s">
        <v>84</v>
      </c>
      <c r="J572" s="53" t="s">
        <v>85</v>
      </c>
      <c r="K572" s="53" t="s">
        <v>86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ht="15.75" customHeight="1">
      <c r="A573" s="29" t="s">
        <v>1522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16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ht="14.25" customHeight="1">
      <c r="A574" s="30">
        <f>A570+1</f>
        <v>408</v>
      </c>
      <c r="B574" s="31" t="s">
        <v>1523</v>
      </c>
      <c r="C574" s="33" t="s">
        <v>1524</v>
      </c>
      <c r="D574" s="33" t="s">
        <v>1525</v>
      </c>
      <c r="E574" s="30" t="s">
        <v>12</v>
      </c>
      <c r="F574" s="31" t="s">
        <v>1490</v>
      </c>
      <c r="G574" s="30" t="s">
        <v>13</v>
      </c>
      <c r="H574" s="34" t="s">
        <v>4</v>
      </c>
      <c r="I574" s="30" t="s">
        <v>113</v>
      </c>
      <c r="J574" s="31"/>
      <c r="K574" s="31" t="s">
        <v>116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ht="57.75" customHeight="1">
      <c r="A575" s="30">
        <f>A574+1</f>
        <v>409</v>
      </c>
      <c r="B575" s="31" t="s">
        <v>1526</v>
      </c>
      <c r="C575" s="33" t="s">
        <v>1527</v>
      </c>
      <c r="D575" s="33" t="s">
        <v>1528</v>
      </c>
      <c r="E575" s="30" t="s">
        <v>1</v>
      </c>
      <c r="F575" s="31" t="s">
        <v>1523</v>
      </c>
      <c r="G575" s="30" t="s">
        <v>1529</v>
      </c>
      <c r="H575" s="34" t="s">
        <v>14</v>
      </c>
      <c r="I575" s="30" t="s">
        <v>3</v>
      </c>
      <c r="J575" s="33" t="s">
        <v>1530</v>
      </c>
      <c r="K575" s="31" t="s">
        <v>116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ht="14.25" customHeight="1">
      <c r="A576" s="50"/>
      <c r="B576" s="7"/>
      <c r="C576" s="51"/>
      <c r="D576" s="51"/>
      <c r="E576" s="50"/>
      <c r="F576" s="50"/>
      <c r="G576" s="50"/>
      <c r="H576" s="52"/>
      <c r="I576" s="50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ht="15.75" customHeight="1">
      <c r="A577" s="23" t="s">
        <v>70</v>
      </c>
      <c r="B577" s="53" t="s">
        <v>73</v>
      </c>
      <c r="C577" s="54" t="s">
        <v>74</v>
      </c>
      <c r="D577" s="54" t="s">
        <v>75</v>
      </c>
      <c r="E577" s="23" t="s">
        <v>76</v>
      </c>
      <c r="F577" s="23" t="s">
        <v>78</v>
      </c>
      <c r="G577" s="23" t="s">
        <v>79</v>
      </c>
      <c r="H577" s="25" t="s">
        <v>81</v>
      </c>
      <c r="I577" s="23" t="s">
        <v>84</v>
      </c>
      <c r="J577" s="53" t="s">
        <v>85</v>
      </c>
      <c r="K577" s="53" t="s">
        <v>86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ht="15.75" customHeight="1">
      <c r="A578" s="29" t="s">
        <v>1531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16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ht="15.75" customHeight="1">
      <c r="A579" s="30">
        <f>A575+1</f>
        <v>410</v>
      </c>
      <c r="B579" s="31" t="s">
        <v>1532</v>
      </c>
      <c r="C579" s="33" t="s">
        <v>1533</v>
      </c>
      <c r="D579" s="33" t="s">
        <v>1534</v>
      </c>
      <c r="E579" s="30" t="s">
        <v>12</v>
      </c>
      <c r="F579" s="31" t="s">
        <v>1523</v>
      </c>
      <c r="G579" s="30" t="s">
        <v>13</v>
      </c>
      <c r="H579" s="34" t="s">
        <v>14</v>
      </c>
      <c r="I579" s="30" t="s">
        <v>3</v>
      </c>
      <c r="J579" s="31"/>
      <c r="K579" s="31" t="s">
        <v>116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ht="15.75" customHeight="1">
      <c r="A580" s="30">
        <f t="shared" ref="A580:A581" si="53">A579+1</f>
        <v>411</v>
      </c>
      <c r="B580" s="31" t="s">
        <v>1535</v>
      </c>
      <c r="C580" s="33" t="s">
        <v>1536</v>
      </c>
      <c r="D580" s="33"/>
      <c r="E580" s="30" t="s">
        <v>12</v>
      </c>
      <c r="F580" s="31" t="s">
        <v>1532</v>
      </c>
      <c r="G580" s="30" t="s">
        <v>13</v>
      </c>
      <c r="H580" s="34" t="s">
        <v>540</v>
      </c>
      <c r="I580" s="30" t="s">
        <v>113</v>
      </c>
      <c r="J580" s="91" t="s">
        <v>392</v>
      </c>
      <c r="K580" s="31" t="s">
        <v>116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ht="14.25" customHeight="1">
      <c r="A581" s="30">
        <f t="shared" si="53"/>
        <v>412</v>
      </c>
      <c r="B581" s="31" t="s">
        <v>1537</v>
      </c>
      <c r="C581" s="33" t="s">
        <v>1538</v>
      </c>
      <c r="D581" s="33" t="s">
        <v>1539</v>
      </c>
      <c r="E581" s="30" t="s">
        <v>1</v>
      </c>
      <c r="F581" s="31" t="s">
        <v>1535</v>
      </c>
      <c r="G581" s="30" t="s">
        <v>330</v>
      </c>
      <c r="H581" s="34" t="s">
        <v>14</v>
      </c>
      <c r="I581" s="30" t="s">
        <v>3</v>
      </c>
      <c r="J581" s="33" t="s">
        <v>1540</v>
      </c>
      <c r="K581" s="31" t="s">
        <v>116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ht="15.75" customHeight="1">
      <c r="A582" s="50"/>
      <c r="B582" s="7"/>
      <c r="C582" s="51"/>
      <c r="D582" s="51"/>
      <c r="E582" s="50"/>
      <c r="F582" s="50"/>
      <c r="G582" s="50"/>
      <c r="H582" s="52"/>
      <c r="I582" s="50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ht="15.75" customHeight="1">
      <c r="A583" s="23" t="s">
        <v>70</v>
      </c>
      <c r="B583" s="53" t="s">
        <v>73</v>
      </c>
      <c r="C583" s="54" t="s">
        <v>74</v>
      </c>
      <c r="D583" s="54" t="s">
        <v>75</v>
      </c>
      <c r="E583" s="23" t="s">
        <v>76</v>
      </c>
      <c r="F583" s="23" t="s">
        <v>78</v>
      </c>
      <c r="G583" s="23" t="s">
        <v>79</v>
      </c>
      <c r="H583" s="25" t="s">
        <v>81</v>
      </c>
      <c r="I583" s="23" t="s">
        <v>84</v>
      </c>
      <c r="J583" s="53" t="s">
        <v>85</v>
      </c>
      <c r="K583" s="53" t="s">
        <v>86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ht="15.75" customHeight="1">
      <c r="A584" s="29" t="s">
        <v>1541</v>
      </c>
      <c r="B584" s="15"/>
      <c r="C584" s="15"/>
      <c r="D584" s="15"/>
      <c r="E584" s="15"/>
      <c r="F584" s="15"/>
      <c r="G584" s="15"/>
      <c r="H584" s="15"/>
      <c r="I584" s="15"/>
      <c r="J584" s="15"/>
      <c r="K584" s="16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ht="15.75" customHeight="1">
      <c r="A585" s="30">
        <f>A581+1</f>
        <v>413</v>
      </c>
      <c r="B585" s="31" t="s">
        <v>1542</v>
      </c>
      <c r="C585" s="33" t="s">
        <v>1543</v>
      </c>
      <c r="D585" s="33" t="s">
        <v>1544</v>
      </c>
      <c r="E585" s="30" t="s">
        <v>12</v>
      </c>
      <c r="F585" s="31" t="s">
        <v>1490</v>
      </c>
      <c r="G585" s="30" t="s">
        <v>13</v>
      </c>
      <c r="H585" s="34" t="s">
        <v>14</v>
      </c>
      <c r="I585" s="30" t="s">
        <v>3</v>
      </c>
      <c r="J585" s="33" t="s">
        <v>1545</v>
      </c>
      <c r="K585" s="31" t="s">
        <v>139</v>
      </c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ht="15.75" customHeight="1">
      <c r="A586" s="30">
        <f t="shared" ref="A586:A588" si="54">A585+1</f>
        <v>414</v>
      </c>
      <c r="B586" s="31" t="s">
        <v>1546</v>
      </c>
      <c r="C586" s="33" t="s">
        <v>1547</v>
      </c>
      <c r="D586" s="33"/>
      <c r="E586" s="30" t="s">
        <v>12</v>
      </c>
      <c r="F586" s="31" t="s">
        <v>1542</v>
      </c>
      <c r="G586" s="30" t="s">
        <v>13</v>
      </c>
      <c r="H586" s="34" t="s">
        <v>540</v>
      </c>
      <c r="I586" s="30" t="s">
        <v>113</v>
      </c>
      <c r="J586" s="114" t="s">
        <v>392</v>
      </c>
      <c r="K586" s="31" t="s">
        <v>139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ht="15.75" customHeight="1">
      <c r="A587" s="30">
        <f t="shared" si="54"/>
        <v>415</v>
      </c>
      <c r="B587" s="31" t="s">
        <v>1548</v>
      </c>
      <c r="C587" s="33" t="s">
        <v>1549</v>
      </c>
      <c r="D587" s="33" t="s">
        <v>1550</v>
      </c>
      <c r="E587" s="30" t="s">
        <v>1</v>
      </c>
      <c r="F587" s="31" t="s">
        <v>1546</v>
      </c>
      <c r="G587" s="30" t="s">
        <v>1551</v>
      </c>
      <c r="H587" s="34" t="s">
        <v>4</v>
      </c>
      <c r="I587" s="30" t="s">
        <v>113</v>
      </c>
      <c r="J587" s="31" t="s">
        <v>1552</v>
      </c>
      <c r="K587" s="31" t="s">
        <v>139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ht="14.25" customHeight="1">
      <c r="A588" s="30">
        <f t="shared" si="54"/>
        <v>416</v>
      </c>
      <c r="B588" s="31" t="s">
        <v>1553</v>
      </c>
      <c r="C588" s="33" t="s">
        <v>1554</v>
      </c>
      <c r="D588" s="33" t="s">
        <v>1555</v>
      </c>
      <c r="E588" s="30" t="s">
        <v>1</v>
      </c>
      <c r="F588" s="31" t="s">
        <v>1546</v>
      </c>
      <c r="G588" s="30" t="s">
        <v>183</v>
      </c>
      <c r="H588" s="34" t="s">
        <v>4</v>
      </c>
      <c r="I588" s="30" t="s">
        <v>113</v>
      </c>
      <c r="J588" s="33" t="s">
        <v>1556</v>
      </c>
      <c r="K588" s="31" t="s">
        <v>139</v>
      </c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ht="15.75" customHeight="1">
      <c r="A589" s="119"/>
      <c r="B589" s="120"/>
      <c r="C589" s="121"/>
      <c r="D589" s="121"/>
      <c r="E589" s="119"/>
      <c r="F589" s="119"/>
      <c r="G589" s="119"/>
      <c r="H589" s="122"/>
      <c r="I589" s="119"/>
      <c r="J589" s="121"/>
      <c r="K589" s="120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ht="15.75" customHeight="1">
      <c r="A590" s="23" t="s">
        <v>70</v>
      </c>
      <c r="B590" s="53" t="s">
        <v>73</v>
      </c>
      <c r="C590" s="54" t="s">
        <v>74</v>
      </c>
      <c r="D590" s="54" t="s">
        <v>75</v>
      </c>
      <c r="E590" s="23" t="s">
        <v>76</v>
      </c>
      <c r="F590" s="23" t="s">
        <v>78</v>
      </c>
      <c r="G590" s="23" t="s">
        <v>79</v>
      </c>
      <c r="H590" s="25" t="s">
        <v>81</v>
      </c>
      <c r="I590" s="23" t="s">
        <v>84</v>
      </c>
      <c r="J590" s="53" t="s">
        <v>85</v>
      </c>
      <c r="K590" s="53" t="s">
        <v>86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ht="15.75" customHeight="1">
      <c r="A591" s="29" t="s">
        <v>1557</v>
      </c>
      <c r="B591" s="15"/>
      <c r="C591" s="15"/>
      <c r="D591" s="15"/>
      <c r="E591" s="15"/>
      <c r="F591" s="15"/>
      <c r="G591" s="15"/>
      <c r="H591" s="15"/>
      <c r="I591" s="15"/>
      <c r="J591" s="15"/>
      <c r="K591" s="16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ht="15.75" customHeight="1">
      <c r="A592" s="30">
        <f>A588+1</f>
        <v>417</v>
      </c>
      <c r="B592" s="31" t="s">
        <v>1558</v>
      </c>
      <c r="C592" s="33" t="s">
        <v>1559</v>
      </c>
      <c r="D592" s="33" t="s">
        <v>1560</v>
      </c>
      <c r="E592" s="30" t="s">
        <v>12</v>
      </c>
      <c r="F592" s="30" t="s">
        <v>1546</v>
      </c>
      <c r="G592" s="30" t="s">
        <v>13</v>
      </c>
      <c r="H592" s="34" t="s">
        <v>4</v>
      </c>
      <c r="I592" s="30" t="s">
        <v>113</v>
      </c>
      <c r="J592" s="33" t="s">
        <v>1561</v>
      </c>
      <c r="K592" s="31" t="s">
        <v>139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ht="15.75" customHeight="1">
      <c r="A593" s="30">
        <f t="shared" ref="A593:A594" si="55">A592+1</f>
        <v>418</v>
      </c>
      <c r="B593" s="31" t="s">
        <v>1562</v>
      </c>
      <c r="C593" s="33" t="s">
        <v>1563</v>
      </c>
      <c r="D593" s="33" t="s">
        <v>1564</v>
      </c>
      <c r="E593" s="30" t="s">
        <v>1</v>
      </c>
      <c r="F593" s="31" t="s">
        <v>1558</v>
      </c>
      <c r="G593" s="30" t="s">
        <v>1194</v>
      </c>
      <c r="H593" s="34" t="s">
        <v>4</v>
      </c>
      <c r="I593" s="30" t="s">
        <v>113</v>
      </c>
      <c r="J593" s="33" t="s">
        <v>1565</v>
      </c>
      <c r="K593" s="31" t="s">
        <v>139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ht="15.75" customHeight="1">
      <c r="A594" s="30">
        <f t="shared" si="55"/>
        <v>419</v>
      </c>
      <c r="B594" s="31" t="s">
        <v>1566</v>
      </c>
      <c r="C594" s="33" t="s">
        <v>1567</v>
      </c>
      <c r="D594" s="33" t="s">
        <v>1568</v>
      </c>
      <c r="E594" s="30" t="s">
        <v>1</v>
      </c>
      <c r="F594" s="31" t="s">
        <v>1558</v>
      </c>
      <c r="G594" s="30" t="s">
        <v>283</v>
      </c>
      <c r="H594" s="34" t="s">
        <v>4</v>
      </c>
      <c r="I594" s="30" t="s">
        <v>113</v>
      </c>
      <c r="J594" s="33" t="s">
        <v>1569</v>
      </c>
      <c r="K594" s="31" t="s">
        <v>139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ht="15.75" customHeight="1">
      <c r="A595" s="50"/>
      <c r="B595" s="7"/>
      <c r="C595" s="51"/>
      <c r="D595" s="51"/>
      <c r="E595" s="50"/>
      <c r="F595" s="50"/>
      <c r="G595" s="50"/>
      <c r="H595" s="52"/>
      <c r="I595" s="50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ht="15.75" customHeight="1">
      <c r="A596" s="23" t="s">
        <v>70</v>
      </c>
      <c r="B596" s="53" t="s">
        <v>73</v>
      </c>
      <c r="C596" s="54" t="s">
        <v>74</v>
      </c>
      <c r="D596" s="54" t="s">
        <v>75</v>
      </c>
      <c r="E596" s="23" t="s">
        <v>76</v>
      </c>
      <c r="F596" s="23" t="s">
        <v>78</v>
      </c>
      <c r="G596" s="23" t="s">
        <v>79</v>
      </c>
      <c r="H596" s="25" t="s">
        <v>81</v>
      </c>
      <c r="I596" s="23" t="s">
        <v>84</v>
      </c>
      <c r="J596" s="53" t="s">
        <v>85</v>
      </c>
      <c r="K596" s="53" t="s">
        <v>86</v>
      </c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  <c r="AD596" s="120"/>
      <c r="AE596" s="120"/>
    </row>
    <row r="597" ht="15.75" customHeight="1">
      <c r="A597" s="29" t="s">
        <v>1570</v>
      </c>
      <c r="B597" s="15"/>
      <c r="C597" s="15"/>
      <c r="D597" s="15"/>
      <c r="E597" s="15"/>
      <c r="F597" s="15"/>
      <c r="G597" s="15"/>
      <c r="H597" s="15"/>
      <c r="I597" s="15"/>
      <c r="J597" s="15"/>
      <c r="K597" s="16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ht="15.75" customHeight="1">
      <c r="A598" s="30">
        <f>A594+1</f>
        <v>420</v>
      </c>
      <c r="B598" s="31" t="s">
        <v>1571</v>
      </c>
      <c r="C598" s="33" t="s">
        <v>1572</v>
      </c>
      <c r="D598" s="33" t="s">
        <v>1573</v>
      </c>
      <c r="E598" s="30" t="s">
        <v>1156</v>
      </c>
      <c r="F598" s="30" t="s">
        <v>1439</v>
      </c>
      <c r="G598" s="30" t="s">
        <v>13</v>
      </c>
      <c r="H598" s="34" t="s">
        <v>4</v>
      </c>
      <c r="I598" s="30" t="s">
        <v>113</v>
      </c>
      <c r="J598" s="31"/>
      <c r="K598" s="31" t="s">
        <v>116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ht="15.75" customHeight="1">
      <c r="A599" s="30">
        <f t="shared" ref="A599:A604" si="56">A598+1</f>
        <v>421</v>
      </c>
      <c r="B599" s="31" t="s">
        <v>1574</v>
      </c>
      <c r="C599" s="33" t="s">
        <v>1575</v>
      </c>
      <c r="D599" s="33" t="s">
        <v>1576</v>
      </c>
      <c r="E599" s="30" t="s">
        <v>1</v>
      </c>
      <c r="F599" s="30" t="s">
        <v>1571</v>
      </c>
      <c r="G599" s="30" t="s">
        <v>841</v>
      </c>
      <c r="H599" s="34" t="s">
        <v>4</v>
      </c>
      <c r="I599" s="30" t="s">
        <v>113</v>
      </c>
      <c r="J599" s="31"/>
      <c r="K599" s="31" t="s">
        <v>116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ht="92.25" customHeight="1">
      <c r="A600" s="30">
        <f t="shared" si="56"/>
        <v>422</v>
      </c>
      <c r="B600" s="31" t="s">
        <v>1577</v>
      </c>
      <c r="C600" s="33" t="s">
        <v>1578</v>
      </c>
      <c r="D600" s="33" t="s">
        <v>1579</v>
      </c>
      <c r="E600" s="30" t="s">
        <v>1</v>
      </c>
      <c r="F600" s="30" t="s">
        <v>1571</v>
      </c>
      <c r="G600" s="30" t="s">
        <v>841</v>
      </c>
      <c r="H600" s="34" t="s">
        <v>4</v>
      </c>
      <c r="I600" s="30" t="s">
        <v>113</v>
      </c>
      <c r="J600" s="31"/>
      <c r="K600" s="31" t="s">
        <v>116</v>
      </c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ht="15.75" customHeight="1">
      <c r="A601" s="30">
        <f t="shared" si="56"/>
        <v>423</v>
      </c>
      <c r="B601" s="31" t="s">
        <v>1580</v>
      </c>
      <c r="C601" s="33" t="s">
        <v>1581</v>
      </c>
      <c r="D601" s="33" t="s">
        <v>1582</v>
      </c>
      <c r="E601" s="30" t="s">
        <v>1</v>
      </c>
      <c r="F601" s="30" t="s">
        <v>1571</v>
      </c>
      <c r="G601" s="30" t="s">
        <v>236</v>
      </c>
      <c r="H601" s="34" t="s">
        <v>4</v>
      </c>
      <c r="I601" s="30" t="s">
        <v>113</v>
      </c>
      <c r="J601" s="31"/>
      <c r="K601" s="31" t="s">
        <v>116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ht="15.75" customHeight="1">
      <c r="A602" s="30">
        <f t="shared" si="56"/>
        <v>424</v>
      </c>
      <c r="B602" s="31" t="s">
        <v>1583</v>
      </c>
      <c r="C602" s="33" t="s">
        <v>1584</v>
      </c>
      <c r="D602" s="33" t="s">
        <v>1585</v>
      </c>
      <c r="E602" s="30" t="s">
        <v>1</v>
      </c>
      <c r="F602" s="30" t="s">
        <v>1571</v>
      </c>
      <c r="G602" s="30" t="s">
        <v>533</v>
      </c>
      <c r="H602" s="34" t="s">
        <v>14</v>
      </c>
      <c r="I602" s="30" t="s">
        <v>3</v>
      </c>
      <c r="J602" s="31"/>
      <c r="K602" s="31" t="s">
        <v>116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ht="15.75" customHeight="1">
      <c r="A603" s="30">
        <f t="shared" si="56"/>
        <v>425</v>
      </c>
      <c r="B603" s="31" t="s">
        <v>1586</v>
      </c>
      <c r="C603" s="33" t="s">
        <v>1587</v>
      </c>
      <c r="D603" s="33" t="s">
        <v>1588</v>
      </c>
      <c r="E603" s="30" t="s">
        <v>1</v>
      </c>
      <c r="F603" s="30" t="s">
        <v>1571</v>
      </c>
      <c r="G603" s="30" t="s">
        <v>178</v>
      </c>
      <c r="H603" s="34" t="s">
        <v>4</v>
      </c>
      <c r="I603" s="30" t="s">
        <v>113</v>
      </c>
      <c r="J603" s="31" t="s">
        <v>1589</v>
      </c>
      <c r="K603" s="31" t="s">
        <v>116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ht="15.75" customHeight="1">
      <c r="A604" s="30">
        <f t="shared" si="56"/>
        <v>426</v>
      </c>
      <c r="B604" s="31" t="s">
        <v>1590</v>
      </c>
      <c r="C604" s="33" t="s">
        <v>1591</v>
      </c>
      <c r="D604" s="33" t="s">
        <v>1592</v>
      </c>
      <c r="E604" s="30" t="s">
        <v>1</v>
      </c>
      <c r="F604" s="30" t="s">
        <v>1571</v>
      </c>
      <c r="G604" s="30" t="s">
        <v>533</v>
      </c>
      <c r="H604" s="34" t="s">
        <v>4</v>
      </c>
      <c r="I604" s="30" t="s">
        <v>113</v>
      </c>
      <c r="J604" s="31"/>
      <c r="K604" s="31" t="s">
        <v>116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15.75" customHeight="1">
      <c r="A605" s="50"/>
      <c r="B605" s="7"/>
      <c r="C605" s="51"/>
      <c r="D605" s="51"/>
      <c r="E605" s="50"/>
      <c r="F605" s="50"/>
      <c r="G605" s="50"/>
      <c r="H605" s="52"/>
      <c r="I605" s="50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15.75" customHeight="1">
      <c r="A606" s="23" t="s">
        <v>70</v>
      </c>
      <c r="B606" s="53" t="s">
        <v>73</v>
      </c>
      <c r="C606" s="54" t="s">
        <v>74</v>
      </c>
      <c r="D606" s="54" t="s">
        <v>75</v>
      </c>
      <c r="E606" s="23" t="s">
        <v>76</v>
      </c>
      <c r="F606" s="23" t="s">
        <v>78</v>
      </c>
      <c r="G606" s="23" t="s">
        <v>79</v>
      </c>
      <c r="H606" s="25" t="s">
        <v>81</v>
      </c>
      <c r="I606" s="23" t="s">
        <v>84</v>
      </c>
      <c r="J606" s="53" t="s">
        <v>85</v>
      </c>
      <c r="K606" s="53" t="s">
        <v>86</v>
      </c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15.75" customHeight="1">
      <c r="A607" s="29" t="s">
        <v>1593</v>
      </c>
      <c r="B607" s="15"/>
      <c r="C607" s="15"/>
      <c r="D607" s="15"/>
      <c r="E607" s="15"/>
      <c r="F607" s="15"/>
      <c r="G607" s="15"/>
      <c r="H607" s="15"/>
      <c r="I607" s="15"/>
      <c r="J607" s="15"/>
      <c r="K607" s="16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15.75" customHeight="1">
      <c r="A608" s="30">
        <f>A604+1</f>
        <v>427</v>
      </c>
      <c r="B608" s="31" t="s">
        <v>1594</v>
      </c>
      <c r="C608" s="33" t="s">
        <v>1595</v>
      </c>
      <c r="D608" s="33" t="s">
        <v>1596</v>
      </c>
      <c r="E608" s="30" t="s">
        <v>12</v>
      </c>
      <c r="F608" s="30" t="s">
        <v>1597</v>
      </c>
      <c r="G608" s="30" t="s">
        <v>13</v>
      </c>
      <c r="H608" s="34" t="s">
        <v>851</v>
      </c>
      <c r="I608" s="30" t="s">
        <v>3</v>
      </c>
      <c r="J608" s="31" t="s">
        <v>1598</v>
      </c>
      <c r="K608" s="31" t="s">
        <v>116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15.75" customHeight="1">
      <c r="A609" s="30">
        <f t="shared" ref="A609:A610" si="57">A608+1</f>
        <v>428</v>
      </c>
      <c r="B609" s="31" t="s">
        <v>1599</v>
      </c>
      <c r="C609" s="32" t="s">
        <v>1600</v>
      </c>
      <c r="D609" s="33"/>
      <c r="E609" s="30" t="s">
        <v>12</v>
      </c>
      <c r="F609" s="31" t="s">
        <v>1594</v>
      </c>
      <c r="G609" s="30" t="s">
        <v>13</v>
      </c>
      <c r="H609" s="34" t="s">
        <v>540</v>
      </c>
      <c r="I609" s="30" t="s">
        <v>113</v>
      </c>
      <c r="J609" s="91" t="s">
        <v>392</v>
      </c>
      <c r="K609" s="31" t="s">
        <v>116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15.75" customHeight="1">
      <c r="A610" s="30">
        <f t="shared" si="57"/>
        <v>429</v>
      </c>
      <c r="B610" s="31" t="s">
        <v>1601</v>
      </c>
      <c r="C610" s="33" t="s">
        <v>1602</v>
      </c>
      <c r="D610" s="33" t="s">
        <v>1603</v>
      </c>
      <c r="E610" s="30" t="s">
        <v>1</v>
      </c>
      <c r="F610" s="31" t="s">
        <v>1599</v>
      </c>
      <c r="G610" s="30" t="s">
        <v>505</v>
      </c>
      <c r="H610" s="34" t="s">
        <v>4</v>
      </c>
      <c r="I610" s="30" t="s">
        <v>113</v>
      </c>
      <c r="J610" s="31"/>
      <c r="K610" s="31" t="s">
        <v>116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15.75" customHeight="1">
      <c r="A611" s="50"/>
      <c r="B611" s="7"/>
      <c r="C611" s="51"/>
      <c r="D611" s="51"/>
      <c r="E611" s="50"/>
      <c r="F611" s="50"/>
      <c r="G611" s="50"/>
      <c r="H611" s="52"/>
      <c r="I611" s="50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15.75" customHeight="1">
      <c r="A612" s="23" t="s">
        <v>70</v>
      </c>
      <c r="B612" s="53" t="s">
        <v>73</v>
      </c>
      <c r="C612" s="54" t="s">
        <v>74</v>
      </c>
      <c r="D612" s="54" t="s">
        <v>75</v>
      </c>
      <c r="E612" s="23" t="s">
        <v>76</v>
      </c>
      <c r="F612" s="23" t="s">
        <v>78</v>
      </c>
      <c r="G612" s="23" t="s">
        <v>79</v>
      </c>
      <c r="H612" s="25" t="s">
        <v>81</v>
      </c>
      <c r="I612" s="23" t="s">
        <v>84</v>
      </c>
      <c r="J612" s="53" t="s">
        <v>85</v>
      </c>
      <c r="K612" s="53" t="s">
        <v>86</v>
      </c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15.75" customHeight="1">
      <c r="A613" s="29" t="s">
        <v>1604</v>
      </c>
      <c r="B613" s="15"/>
      <c r="C613" s="15"/>
      <c r="D613" s="15"/>
      <c r="E613" s="15"/>
      <c r="F613" s="15"/>
      <c r="G613" s="15"/>
      <c r="H613" s="15"/>
      <c r="I613" s="15"/>
      <c r="J613" s="15"/>
      <c r="K613" s="16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</row>
    <row r="614" ht="14.25" customHeight="1">
      <c r="A614" s="30">
        <f>A610+1</f>
        <v>430</v>
      </c>
      <c r="B614" s="31" t="s">
        <v>1605</v>
      </c>
      <c r="C614" s="33" t="s">
        <v>1606</v>
      </c>
      <c r="D614" s="33" t="s">
        <v>1607</v>
      </c>
      <c r="E614" s="30" t="s">
        <v>12</v>
      </c>
      <c r="F614" s="30" t="s">
        <v>1608</v>
      </c>
      <c r="G614" s="30" t="s">
        <v>13</v>
      </c>
      <c r="H614" s="52" t="s">
        <v>14</v>
      </c>
      <c r="I614" s="30" t="s">
        <v>3</v>
      </c>
      <c r="J614" s="31"/>
      <c r="K614" s="31" t="s">
        <v>116</v>
      </c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23.25" customHeight="1">
      <c r="A615" s="30">
        <f t="shared" ref="A615:A616" si="58">A614+1</f>
        <v>431</v>
      </c>
      <c r="B615" s="31" t="s">
        <v>1609</v>
      </c>
      <c r="C615" s="33" t="s">
        <v>1610</v>
      </c>
      <c r="D615" s="33"/>
      <c r="E615" s="30" t="s">
        <v>12</v>
      </c>
      <c r="F615" s="30" t="s">
        <v>1605</v>
      </c>
      <c r="G615" s="30" t="s">
        <v>13</v>
      </c>
      <c r="H615" s="34" t="s">
        <v>1611</v>
      </c>
      <c r="I615" s="30" t="s">
        <v>113</v>
      </c>
      <c r="J615" s="91" t="s">
        <v>392</v>
      </c>
      <c r="K615" s="31" t="s">
        <v>116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15.75" customHeight="1">
      <c r="A616" s="30">
        <f t="shared" si="58"/>
        <v>432</v>
      </c>
      <c r="B616" s="31" t="s">
        <v>1612</v>
      </c>
      <c r="C616" s="33" t="s">
        <v>1613</v>
      </c>
      <c r="D616" s="33" t="s">
        <v>1606</v>
      </c>
      <c r="E616" s="30" t="s">
        <v>1</v>
      </c>
      <c r="F616" s="30" t="s">
        <v>1609</v>
      </c>
      <c r="G616" s="30" t="s">
        <v>1430</v>
      </c>
      <c r="H616" s="34" t="s">
        <v>4</v>
      </c>
      <c r="I616" s="30" t="s">
        <v>113</v>
      </c>
      <c r="J616" s="31"/>
      <c r="K616" s="31" t="s">
        <v>116</v>
      </c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15.75" customHeight="1">
      <c r="A617" s="50"/>
      <c r="B617" s="7"/>
      <c r="C617" s="51"/>
      <c r="D617" s="51"/>
      <c r="E617" s="50"/>
      <c r="F617" s="50"/>
      <c r="G617" s="50"/>
      <c r="H617" s="52"/>
      <c r="I617" s="50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15.75" customHeight="1">
      <c r="A618" s="23" t="s">
        <v>70</v>
      </c>
      <c r="B618" s="53" t="s">
        <v>73</v>
      </c>
      <c r="C618" s="54" t="s">
        <v>74</v>
      </c>
      <c r="D618" s="54" t="s">
        <v>75</v>
      </c>
      <c r="E618" s="23" t="s">
        <v>76</v>
      </c>
      <c r="F618" s="23" t="s">
        <v>78</v>
      </c>
      <c r="G618" s="23" t="s">
        <v>79</v>
      </c>
      <c r="H618" s="25" t="s">
        <v>81</v>
      </c>
      <c r="I618" s="23" t="s">
        <v>84</v>
      </c>
      <c r="J618" s="53" t="s">
        <v>85</v>
      </c>
      <c r="K618" s="53" t="s">
        <v>86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15.75" customHeight="1">
      <c r="A619" s="29" t="s">
        <v>1614</v>
      </c>
      <c r="B619" s="15"/>
      <c r="C619" s="15"/>
      <c r="D619" s="15"/>
      <c r="E619" s="15"/>
      <c r="F619" s="15"/>
      <c r="G619" s="15"/>
      <c r="H619" s="15"/>
      <c r="I619" s="15"/>
      <c r="J619" s="15"/>
      <c r="K619" s="16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</row>
    <row r="620" ht="14.25" customHeight="1">
      <c r="A620" s="30">
        <f>A616+1</f>
        <v>433</v>
      </c>
      <c r="B620" s="31" t="s">
        <v>1615</v>
      </c>
      <c r="C620" s="33" t="s">
        <v>1616</v>
      </c>
      <c r="D620" s="33" t="s">
        <v>1617</v>
      </c>
      <c r="E620" s="30" t="s">
        <v>12</v>
      </c>
      <c r="F620" s="30" t="s">
        <v>1608</v>
      </c>
      <c r="G620" s="30" t="s">
        <v>13</v>
      </c>
      <c r="H620" s="34" t="s">
        <v>14</v>
      </c>
      <c r="I620" s="30" t="s">
        <v>3</v>
      </c>
      <c r="J620" s="31"/>
      <c r="K620" s="31" t="s">
        <v>116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15.75" customHeight="1">
      <c r="A621" s="30">
        <f t="shared" ref="A621:A625" si="59">A620+1</f>
        <v>434</v>
      </c>
      <c r="B621" s="31" t="s">
        <v>1618</v>
      </c>
      <c r="C621" s="33" t="s">
        <v>1619</v>
      </c>
      <c r="D621" s="33" t="s">
        <v>1620</v>
      </c>
      <c r="E621" s="30" t="s">
        <v>1156</v>
      </c>
      <c r="F621" s="30" t="s">
        <v>1615</v>
      </c>
      <c r="G621" s="30" t="s">
        <v>13</v>
      </c>
      <c r="H621" s="34" t="s">
        <v>14</v>
      </c>
      <c r="I621" s="30" t="s">
        <v>3</v>
      </c>
      <c r="J621" s="31"/>
      <c r="K621" s="31" t="s">
        <v>116</v>
      </c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15.75" customHeight="1">
      <c r="A622" s="30">
        <f t="shared" si="59"/>
        <v>435</v>
      </c>
      <c r="B622" s="31" t="s">
        <v>1621</v>
      </c>
      <c r="C622" s="33" t="s">
        <v>1622</v>
      </c>
      <c r="D622" s="33"/>
      <c r="E622" s="30" t="s">
        <v>12</v>
      </c>
      <c r="F622" s="30" t="s">
        <v>1618</v>
      </c>
      <c r="G622" s="30" t="s">
        <v>13</v>
      </c>
      <c r="H622" s="34" t="s">
        <v>540</v>
      </c>
      <c r="I622" s="30" t="s">
        <v>113</v>
      </c>
      <c r="J622" s="91" t="s">
        <v>392</v>
      </c>
      <c r="K622" s="31" t="s">
        <v>116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15.75" customHeight="1">
      <c r="A623" s="30">
        <f t="shared" si="59"/>
        <v>436</v>
      </c>
      <c r="B623" s="31" t="s">
        <v>1623</v>
      </c>
      <c r="C623" s="33" t="s">
        <v>1624</v>
      </c>
      <c r="D623" s="33" t="s">
        <v>1218</v>
      </c>
      <c r="E623" s="30" t="s">
        <v>1</v>
      </c>
      <c r="F623" s="30" t="s">
        <v>1621</v>
      </c>
      <c r="G623" s="30" t="s">
        <v>1625</v>
      </c>
      <c r="H623" s="34" t="s">
        <v>4</v>
      </c>
      <c r="I623" s="30" t="s">
        <v>113</v>
      </c>
      <c r="J623" s="31"/>
      <c r="K623" s="31" t="s">
        <v>116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15.75" customHeight="1">
      <c r="A624" s="30">
        <f t="shared" si="59"/>
        <v>437</v>
      </c>
      <c r="B624" s="31" t="s">
        <v>1626</v>
      </c>
      <c r="C624" s="33" t="s">
        <v>1627</v>
      </c>
      <c r="D624" s="33" t="s">
        <v>443</v>
      </c>
      <c r="E624" s="30" t="s">
        <v>1</v>
      </c>
      <c r="F624" s="30" t="s">
        <v>1621</v>
      </c>
      <c r="G624" s="30" t="s">
        <v>505</v>
      </c>
      <c r="H624" s="34" t="s">
        <v>4</v>
      </c>
      <c r="I624" s="30" t="s">
        <v>113</v>
      </c>
      <c r="J624" s="31"/>
      <c r="K624" s="31" t="s">
        <v>116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15.75" customHeight="1">
      <c r="A625" s="30">
        <f t="shared" si="59"/>
        <v>438</v>
      </c>
      <c r="B625" s="31" t="s">
        <v>1628</v>
      </c>
      <c r="C625" s="33" t="s">
        <v>1629</v>
      </c>
      <c r="D625" s="33" t="s">
        <v>1630</v>
      </c>
      <c r="E625" s="30" t="s">
        <v>1</v>
      </c>
      <c r="F625" s="30" t="s">
        <v>1621</v>
      </c>
      <c r="G625" s="30" t="s">
        <v>135</v>
      </c>
      <c r="H625" s="34" t="s">
        <v>14</v>
      </c>
      <c r="I625" s="30" t="s">
        <v>3</v>
      </c>
      <c r="J625" s="31"/>
      <c r="K625" s="31" t="s">
        <v>116</v>
      </c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</row>
    <row r="626" ht="15.75" customHeight="1">
      <c r="A626" s="50"/>
      <c r="B626" s="7"/>
      <c r="C626" s="51"/>
      <c r="D626" s="51"/>
      <c r="E626" s="50"/>
      <c r="F626" s="50"/>
      <c r="G626" s="50"/>
      <c r="H626" s="52"/>
      <c r="I626" s="50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15.75" customHeight="1">
      <c r="A627" s="23" t="s">
        <v>70</v>
      </c>
      <c r="B627" s="53" t="s">
        <v>73</v>
      </c>
      <c r="C627" s="54" t="s">
        <v>74</v>
      </c>
      <c r="D627" s="54" t="s">
        <v>75</v>
      </c>
      <c r="E627" s="23" t="s">
        <v>76</v>
      </c>
      <c r="F627" s="23" t="s">
        <v>78</v>
      </c>
      <c r="G627" s="23" t="s">
        <v>79</v>
      </c>
      <c r="H627" s="25" t="s">
        <v>81</v>
      </c>
      <c r="I627" s="23" t="s">
        <v>84</v>
      </c>
      <c r="J627" s="53" t="s">
        <v>85</v>
      </c>
      <c r="K627" s="53" t="s">
        <v>86</v>
      </c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15.75" customHeight="1">
      <c r="A628" s="29" t="s">
        <v>1631</v>
      </c>
      <c r="B628" s="15"/>
      <c r="C628" s="15"/>
      <c r="D628" s="15"/>
      <c r="E628" s="15"/>
      <c r="F628" s="15"/>
      <c r="G628" s="15"/>
      <c r="H628" s="15"/>
      <c r="I628" s="15"/>
      <c r="J628" s="15"/>
      <c r="K628" s="16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15.75" customHeight="1">
      <c r="A629" s="30">
        <f>A625+1</f>
        <v>439</v>
      </c>
      <c r="B629" s="31" t="s">
        <v>1632</v>
      </c>
      <c r="C629" s="33" t="s">
        <v>1633</v>
      </c>
      <c r="D629" s="33" t="s">
        <v>1634</v>
      </c>
      <c r="E629" s="30" t="s">
        <v>1156</v>
      </c>
      <c r="F629" s="30" t="s">
        <v>1615</v>
      </c>
      <c r="G629" s="30" t="s">
        <v>13</v>
      </c>
      <c r="H629" s="34" t="s">
        <v>14</v>
      </c>
      <c r="I629" s="30" t="s">
        <v>3</v>
      </c>
      <c r="J629" s="31"/>
      <c r="K629" s="31" t="s">
        <v>116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15.75" customHeight="1">
      <c r="A630" s="30">
        <f t="shared" ref="A630:A632" si="60">A629+1</f>
        <v>440</v>
      </c>
      <c r="B630" s="31" t="s">
        <v>1635</v>
      </c>
      <c r="C630" s="33" t="s">
        <v>1636</v>
      </c>
      <c r="D630" s="33"/>
      <c r="E630" s="30" t="s">
        <v>12</v>
      </c>
      <c r="F630" s="30" t="s">
        <v>1632</v>
      </c>
      <c r="G630" s="30" t="s">
        <v>13</v>
      </c>
      <c r="H630" s="34" t="s">
        <v>540</v>
      </c>
      <c r="I630" s="30" t="s">
        <v>113</v>
      </c>
      <c r="J630" s="91" t="s">
        <v>392</v>
      </c>
      <c r="K630" s="31" t="s">
        <v>116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15.75" customHeight="1">
      <c r="A631" s="30">
        <f t="shared" si="60"/>
        <v>441</v>
      </c>
      <c r="B631" s="31" t="s">
        <v>1637</v>
      </c>
      <c r="C631" s="33" t="s">
        <v>1638</v>
      </c>
      <c r="D631" s="33" t="s">
        <v>1258</v>
      </c>
      <c r="E631" s="30" t="s">
        <v>1</v>
      </c>
      <c r="F631" s="30" t="s">
        <v>1635</v>
      </c>
      <c r="G631" s="30" t="s">
        <v>174</v>
      </c>
      <c r="H631" s="34" t="s">
        <v>4</v>
      </c>
      <c r="I631" s="30" t="s">
        <v>113</v>
      </c>
      <c r="J631" s="31"/>
      <c r="K631" s="31" t="s">
        <v>116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15.75" customHeight="1">
      <c r="A632" s="30">
        <f t="shared" si="60"/>
        <v>442</v>
      </c>
      <c r="B632" s="31" t="s">
        <v>1639</v>
      </c>
      <c r="C632" s="33" t="s">
        <v>1640</v>
      </c>
      <c r="D632" s="33" t="s">
        <v>1630</v>
      </c>
      <c r="E632" s="30" t="s">
        <v>1</v>
      </c>
      <c r="F632" s="30" t="s">
        <v>1635</v>
      </c>
      <c r="G632" s="30" t="s">
        <v>135</v>
      </c>
      <c r="H632" s="34" t="s">
        <v>14</v>
      </c>
      <c r="I632" s="30" t="s">
        <v>3</v>
      </c>
      <c r="J632" s="31"/>
      <c r="K632" s="31" t="s">
        <v>116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15.75" customHeight="1">
      <c r="A633" s="50"/>
      <c r="B633" s="7"/>
      <c r="C633" s="51"/>
      <c r="D633" s="51"/>
      <c r="E633" s="50"/>
      <c r="F633" s="50"/>
      <c r="G633" s="50"/>
      <c r="H633" s="52"/>
      <c r="I633" s="50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15.75" customHeight="1">
      <c r="A634" s="23" t="s">
        <v>70</v>
      </c>
      <c r="B634" s="53" t="s">
        <v>73</v>
      </c>
      <c r="C634" s="54" t="s">
        <v>74</v>
      </c>
      <c r="D634" s="54" t="s">
        <v>75</v>
      </c>
      <c r="E634" s="23" t="s">
        <v>76</v>
      </c>
      <c r="F634" s="23" t="s">
        <v>78</v>
      </c>
      <c r="G634" s="23" t="s">
        <v>79</v>
      </c>
      <c r="H634" s="25" t="s">
        <v>81</v>
      </c>
      <c r="I634" s="23" t="s">
        <v>84</v>
      </c>
      <c r="J634" s="53" t="s">
        <v>85</v>
      </c>
      <c r="K634" s="53" t="s">
        <v>86</v>
      </c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</row>
    <row r="635" ht="15.75" customHeight="1">
      <c r="A635" s="29" t="s">
        <v>1641</v>
      </c>
      <c r="B635" s="15"/>
      <c r="C635" s="15"/>
      <c r="D635" s="15"/>
      <c r="E635" s="15"/>
      <c r="F635" s="15"/>
      <c r="G635" s="15"/>
      <c r="H635" s="15"/>
      <c r="I635" s="15"/>
      <c r="J635" s="15"/>
      <c r="K635" s="16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15.75" customHeight="1">
      <c r="A636" s="30">
        <f>A632+1</f>
        <v>443</v>
      </c>
      <c r="B636" s="31" t="s">
        <v>1642</v>
      </c>
      <c r="C636" s="33" t="s">
        <v>1643</v>
      </c>
      <c r="D636" s="33" t="s">
        <v>1644</v>
      </c>
      <c r="E636" s="30" t="s">
        <v>12</v>
      </c>
      <c r="F636" s="30" t="s">
        <v>1571</v>
      </c>
      <c r="G636" s="30" t="s">
        <v>13</v>
      </c>
      <c r="H636" s="34" t="s">
        <v>1645</v>
      </c>
      <c r="I636" s="30" t="s">
        <v>3</v>
      </c>
      <c r="J636" s="31"/>
      <c r="K636" s="31" t="s">
        <v>116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15.75" customHeight="1">
      <c r="A637" s="30">
        <f t="shared" ref="A637:A638" si="61">A636+1</f>
        <v>444</v>
      </c>
      <c r="B637" s="31" t="s">
        <v>1646</v>
      </c>
      <c r="C637" s="33" t="s">
        <v>1647</v>
      </c>
      <c r="D637" s="33"/>
      <c r="E637" s="30" t="s">
        <v>12</v>
      </c>
      <c r="F637" s="30" t="s">
        <v>1642</v>
      </c>
      <c r="G637" s="30" t="s">
        <v>13</v>
      </c>
      <c r="H637" s="34" t="s">
        <v>1611</v>
      </c>
      <c r="I637" s="30" t="s">
        <v>113</v>
      </c>
      <c r="J637" s="91" t="s">
        <v>392</v>
      </c>
      <c r="K637" s="31" t="s">
        <v>116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15.75" customHeight="1">
      <c r="A638" s="30">
        <f t="shared" si="61"/>
        <v>445</v>
      </c>
      <c r="B638" s="31" t="s">
        <v>1648</v>
      </c>
      <c r="C638" s="33" t="s">
        <v>1649</v>
      </c>
      <c r="D638" s="33" t="s">
        <v>1650</v>
      </c>
      <c r="E638" s="30" t="s">
        <v>1</v>
      </c>
      <c r="F638" s="30" t="s">
        <v>1646</v>
      </c>
      <c r="G638" s="30" t="s">
        <v>236</v>
      </c>
      <c r="H638" s="34" t="s">
        <v>4</v>
      </c>
      <c r="I638" s="30" t="s">
        <v>113</v>
      </c>
      <c r="J638" s="31"/>
      <c r="K638" s="31" t="s">
        <v>116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15.75" customHeight="1">
      <c r="A639" s="50"/>
      <c r="B639" s="7"/>
      <c r="C639" s="51"/>
      <c r="D639" s="51"/>
      <c r="E639" s="50"/>
      <c r="F639" s="50"/>
      <c r="G639" s="50"/>
      <c r="H639" s="52"/>
      <c r="I639" s="50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15.75" customHeight="1">
      <c r="A640" s="23" t="s">
        <v>70</v>
      </c>
      <c r="B640" s="53" t="s">
        <v>73</v>
      </c>
      <c r="C640" s="54" t="s">
        <v>74</v>
      </c>
      <c r="D640" s="54" t="s">
        <v>75</v>
      </c>
      <c r="E640" s="23" t="s">
        <v>76</v>
      </c>
      <c r="F640" s="23" t="s">
        <v>78</v>
      </c>
      <c r="G640" s="23" t="s">
        <v>79</v>
      </c>
      <c r="H640" s="25" t="s">
        <v>81</v>
      </c>
      <c r="I640" s="23" t="s">
        <v>84</v>
      </c>
      <c r="J640" s="53" t="s">
        <v>85</v>
      </c>
      <c r="K640" s="53" t="s">
        <v>86</v>
      </c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15.75" customHeight="1">
      <c r="A641" s="29" t="s">
        <v>1651</v>
      </c>
      <c r="B641" s="15"/>
      <c r="C641" s="15"/>
      <c r="D641" s="15"/>
      <c r="E641" s="15"/>
      <c r="F641" s="15"/>
      <c r="G641" s="15"/>
      <c r="H641" s="15"/>
      <c r="I641" s="15"/>
      <c r="J641" s="15"/>
      <c r="K641" s="16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</row>
    <row r="642" ht="14.25" customHeight="1">
      <c r="A642" s="30">
        <f>A638+1</f>
        <v>446</v>
      </c>
      <c r="B642" s="31" t="s">
        <v>1652</v>
      </c>
      <c r="C642" s="33" t="s">
        <v>1653</v>
      </c>
      <c r="D642" s="33" t="s">
        <v>1654</v>
      </c>
      <c r="E642" s="30" t="s">
        <v>1156</v>
      </c>
      <c r="F642" s="30" t="s">
        <v>1439</v>
      </c>
      <c r="G642" s="30" t="s">
        <v>13</v>
      </c>
      <c r="H642" s="34" t="s">
        <v>4</v>
      </c>
      <c r="I642" s="30" t="s">
        <v>113</v>
      </c>
      <c r="J642" s="31"/>
      <c r="K642" s="31" t="s">
        <v>116</v>
      </c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15.75" customHeight="1">
      <c r="A643" s="30">
        <f t="shared" ref="A643:A644" si="62">A642+1</f>
        <v>447</v>
      </c>
      <c r="B643" s="31" t="s">
        <v>1655</v>
      </c>
      <c r="C643" s="33" t="s">
        <v>1656</v>
      </c>
      <c r="D643" s="33" t="s">
        <v>1657</v>
      </c>
      <c r="E643" s="30" t="s">
        <v>1</v>
      </c>
      <c r="F643" s="30" t="s">
        <v>1652</v>
      </c>
      <c r="G643" s="30" t="s">
        <v>283</v>
      </c>
      <c r="H643" s="34" t="s">
        <v>4</v>
      </c>
      <c r="I643" s="30" t="s">
        <v>113</v>
      </c>
      <c r="J643" s="33" t="s">
        <v>1658</v>
      </c>
      <c r="K643" s="31" t="s">
        <v>116</v>
      </c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15.75" customHeight="1">
      <c r="A644" s="30">
        <f t="shared" si="62"/>
        <v>448</v>
      </c>
      <c r="B644" s="31" t="s">
        <v>1659</v>
      </c>
      <c r="C644" s="33" t="s">
        <v>1660</v>
      </c>
      <c r="D644" s="33" t="s">
        <v>1661</v>
      </c>
      <c r="E644" s="30" t="s">
        <v>1</v>
      </c>
      <c r="F644" s="30" t="s">
        <v>1652</v>
      </c>
      <c r="G644" s="30" t="s">
        <v>533</v>
      </c>
      <c r="H644" s="34" t="s">
        <v>4</v>
      </c>
      <c r="I644" s="30" t="s">
        <v>113</v>
      </c>
      <c r="J644" s="31" t="s">
        <v>1662</v>
      </c>
      <c r="K644" s="31" t="s">
        <v>116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15.75" customHeight="1">
      <c r="A645" s="50"/>
      <c r="B645" s="7"/>
      <c r="C645" s="51"/>
      <c r="D645" s="51"/>
      <c r="E645" s="50"/>
      <c r="F645" s="50"/>
      <c r="G645" s="50"/>
      <c r="H645" s="52"/>
      <c r="I645" s="50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15.75" customHeight="1">
      <c r="A646" s="23" t="s">
        <v>70</v>
      </c>
      <c r="B646" s="53" t="s">
        <v>73</v>
      </c>
      <c r="C646" s="54" t="s">
        <v>74</v>
      </c>
      <c r="D646" s="54" t="s">
        <v>75</v>
      </c>
      <c r="E646" s="23" t="s">
        <v>76</v>
      </c>
      <c r="F646" s="23" t="s">
        <v>78</v>
      </c>
      <c r="G646" s="23" t="s">
        <v>79</v>
      </c>
      <c r="H646" s="25" t="s">
        <v>81</v>
      </c>
      <c r="I646" s="23" t="s">
        <v>84</v>
      </c>
      <c r="J646" s="53" t="s">
        <v>85</v>
      </c>
      <c r="K646" s="53" t="s">
        <v>86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15.75" customHeight="1">
      <c r="A647" s="29" t="s">
        <v>1663</v>
      </c>
      <c r="B647" s="15"/>
      <c r="C647" s="15"/>
      <c r="D647" s="15"/>
      <c r="E647" s="15"/>
      <c r="F647" s="15"/>
      <c r="G647" s="15"/>
      <c r="H647" s="15"/>
      <c r="I647" s="15"/>
      <c r="J647" s="15"/>
      <c r="K647" s="16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</row>
    <row r="648" ht="14.25" customHeight="1">
      <c r="A648" s="30">
        <f>A644+1</f>
        <v>449</v>
      </c>
      <c r="B648" s="31" t="s">
        <v>1664</v>
      </c>
      <c r="C648" s="33" t="s">
        <v>1665</v>
      </c>
      <c r="D648" s="33" t="s">
        <v>1666</v>
      </c>
      <c r="E648" s="30" t="s">
        <v>12</v>
      </c>
      <c r="F648" s="30" t="s">
        <v>1652</v>
      </c>
      <c r="G648" s="30" t="s">
        <v>13</v>
      </c>
      <c r="H648" s="34" t="s">
        <v>14</v>
      </c>
      <c r="I648" s="30" t="s">
        <v>3</v>
      </c>
      <c r="J648" s="31"/>
      <c r="K648" s="31" t="s">
        <v>116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15.75" customHeight="1">
      <c r="A649" s="30">
        <f t="shared" ref="A649:A652" si="63">A648+1</f>
        <v>450</v>
      </c>
      <c r="B649" s="31" t="s">
        <v>1667</v>
      </c>
      <c r="C649" s="33" t="s">
        <v>1668</v>
      </c>
      <c r="D649" s="33" t="s">
        <v>1669</v>
      </c>
      <c r="E649" s="30" t="s">
        <v>1</v>
      </c>
      <c r="F649" s="30" t="s">
        <v>1664</v>
      </c>
      <c r="G649" s="30" t="s">
        <v>283</v>
      </c>
      <c r="H649" s="34" t="s">
        <v>4</v>
      </c>
      <c r="I649" s="30" t="s">
        <v>113</v>
      </c>
      <c r="J649" s="33" t="s">
        <v>1670</v>
      </c>
      <c r="K649" s="31" t="s">
        <v>116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15.75" customHeight="1">
      <c r="A650" s="30">
        <f t="shared" si="63"/>
        <v>451</v>
      </c>
      <c r="B650" s="31" t="s">
        <v>1671</v>
      </c>
      <c r="C650" s="33" t="s">
        <v>1672</v>
      </c>
      <c r="D650" s="33" t="s">
        <v>1673</v>
      </c>
      <c r="E650" s="30" t="s">
        <v>1</v>
      </c>
      <c r="F650" s="30" t="s">
        <v>1664</v>
      </c>
      <c r="G650" s="30" t="s">
        <v>283</v>
      </c>
      <c r="H650" s="34" t="s">
        <v>4</v>
      </c>
      <c r="I650" s="30" t="s">
        <v>113</v>
      </c>
      <c r="J650" s="33" t="s">
        <v>1670</v>
      </c>
      <c r="K650" s="31" t="s">
        <v>116</v>
      </c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15.75" customHeight="1">
      <c r="A651" s="30">
        <f t="shared" si="63"/>
        <v>452</v>
      </c>
      <c r="B651" s="31" t="s">
        <v>1674</v>
      </c>
      <c r="C651" s="33" t="s">
        <v>1675</v>
      </c>
      <c r="D651" s="33" t="s">
        <v>1676</v>
      </c>
      <c r="E651" s="30" t="s">
        <v>1</v>
      </c>
      <c r="F651" s="30" t="s">
        <v>1664</v>
      </c>
      <c r="G651" s="30" t="s">
        <v>841</v>
      </c>
      <c r="H651" s="34" t="s">
        <v>4</v>
      </c>
      <c r="I651" s="30" t="s">
        <v>113</v>
      </c>
      <c r="J651" s="33" t="s">
        <v>902</v>
      </c>
      <c r="K651" s="31" t="s">
        <v>139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14.25" customHeight="1">
      <c r="A652" s="30">
        <f t="shared" si="63"/>
        <v>453</v>
      </c>
      <c r="B652" s="31" t="s">
        <v>1677</v>
      </c>
      <c r="C652" s="33" t="s">
        <v>1678</v>
      </c>
      <c r="D652" s="33" t="s">
        <v>1679</v>
      </c>
      <c r="E652" s="30" t="s">
        <v>1</v>
      </c>
      <c r="F652" s="30" t="s">
        <v>1664</v>
      </c>
      <c r="G652" s="30" t="s">
        <v>174</v>
      </c>
      <c r="H652" s="34" t="s">
        <v>14</v>
      </c>
      <c r="I652" s="30" t="s">
        <v>3</v>
      </c>
      <c r="J652" s="33"/>
      <c r="K652" s="31" t="s">
        <v>139</v>
      </c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15.75" customHeight="1">
      <c r="A653" s="50"/>
      <c r="B653" s="7"/>
      <c r="C653" s="51"/>
      <c r="D653" s="51"/>
      <c r="E653" s="50"/>
      <c r="F653" s="50"/>
      <c r="G653" s="50"/>
      <c r="H653" s="52"/>
      <c r="I653" s="50"/>
      <c r="J653" s="7"/>
      <c r="K653" s="7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</row>
    <row r="654" ht="15.75" customHeight="1">
      <c r="A654" s="23" t="s">
        <v>70</v>
      </c>
      <c r="B654" s="53" t="s">
        <v>73</v>
      </c>
      <c r="C654" s="54" t="s">
        <v>74</v>
      </c>
      <c r="D654" s="54" t="s">
        <v>75</v>
      </c>
      <c r="E654" s="23" t="s">
        <v>76</v>
      </c>
      <c r="F654" s="23" t="s">
        <v>78</v>
      </c>
      <c r="G654" s="23" t="s">
        <v>79</v>
      </c>
      <c r="H654" s="25" t="s">
        <v>81</v>
      </c>
      <c r="I654" s="23" t="s">
        <v>84</v>
      </c>
      <c r="J654" s="53" t="s">
        <v>85</v>
      </c>
      <c r="K654" s="53" t="s">
        <v>86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15.75" customHeight="1">
      <c r="A655" s="29" t="s">
        <v>1680</v>
      </c>
      <c r="B655" s="15"/>
      <c r="C655" s="15"/>
      <c r="D655" s="15"/>
      <c r="E655" s="15"/>
      <c r="F655" s="15"/>
      <c r="G655" s="15"/>
      <c r="H655" s="15"/>
      <c r="I655" s="15"/>
      <c r="J655" s="15"/>
      <c r="K655" s="16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38.25" customHeight="1">
      <c r="A656" s="30">
        <f>A652+1</f>
        <v>454</v>
      </c>
      <c r="B656" s="31" t="s">
        <v>1681</v>
      </c>
      <c r="C656" s="33" t="s">
        <v>1682</v>
      </c>
      <c r="D656" s="33" t="s">
        <v>1683</v>
      </c>
      <c r="E656" s="30" t="s">
        <v>12</v>
      </c>
      <c r="F656" s="30" t="s">
        <v>1652</v>
      </c>
      <c r="G656" s="30" t="s">
        <v>13</v>
      </c>
      <c r="H656" s="34" t="s">
        <v>14</v>
      </c>
      <c r="I656" s="30" t="s">
        <v>3</v>
      </c>
      <c r="J656" s="31"/>
      <c r="K656" s="31" t="s">
        <v>116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50.25" customHeight="1">
      <c r="A657" s="30">
        <f t="shared" ref="A657:A669" si="64">A656+1</f>
        <v>455</v>
      </c>
      <c r="B657" s="31" t="s">
        <v>1684</v>
      </c>
      <c r="C657" s="33" t="s">
        <v>1685</v>
      </c>
      <c r="D657" s="33"/>
      <c r="E657" s="30" t="s">
        <v>12</v>
      </c>
      <c r="F657" s="30" t="s">
        <v>1681</v>
      </c>
      <c r="G657" s="30" t="s">
        <v>13</v>
      </c>
      <c r="H657" s="34" t="s">
        <v>851</v>
      </c>
      <c r="I657" s="30" t="s">
        <v>3</v>
      </c>
      <c r="J657" s="114" t="s">
        <v>392</v>
      </c>
      <c r="K657" s="31" t="s">
        <v>116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15.75" customHeight="1">
      <c r="A658" s="30">
        <f t="shared" si="64"/>
        <v>456</v>
      </c>
      <c r="B658" s="31" t="s">
        <v>1686</v>
      </c>
      <c r="C658" s="33" t="s">
        <v>1687</v>
      </c>
      <c r="D658" s="33" t="s">
        <v>406</v>
      </c>
      <c r="E658" s="30" t="s">
        <v>1</v>
      </c>
      <c r="F658" s="30" t="s">
        <v>1684</v>
      </c>
      <c r="G658" s="30" t="s">
        <v>408</v>
      </c>
      <c r="H658" s="34" t="s">
        <v>4</v>
      </c>
      <c r="I658" s="30" t="s">
        <v>113</v>
      </c>
      <c r="J658" s="33" t="s">
        <v>1688</v>
      </c>
      <c r="K658" s="31" t="s">
        <v>116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15.75" customHeight="1">
      <c r="A659" s="30">
        <f t="shared" si="64"/>
        <v>457</v>
      </c>
      <c r="B659" s="31" t="s">
        <v>1689</v>
      </c>
      <c r="C659" s="33" t="s">
        <v>1690</v>
      </c>
      <c r="D659" s="33" t="s">
        <v>1691</v>
      </c>
      <c r="E659" s="30" t="s">
        <v>1</v>
      </c>
      <c r="F659" s="30" t="s">
        <v>1684</v>
      </c>
      <c r="G659" s="30" t="s">
        <v>533</v>
      </c>
      <c r="H659" s="34" t="s">
        <v>14</v>
      </c>
      <c r="I659" s="30" t="s">
        <v>3</v>
      </c>
      <c r="J659" s="33" t="s">
        <v>1692</v>
      </c>
      <c r="K659" s="31" t="s">
        <v>116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15.75" customHeight="1">
      <c r="A660" s="30">
        <f t="shared" si="64"/>
        <v>458</v>
      </c>
      <c r="B660" s="31" t="s">
        <v>1693</v>
      </c>
      <c r="C660" s="33" t="s">
        <v>1694</v>
      </c>
      <c r="D660" s="33" t="s">
        <v>417</v>
      </c>
      <c r="E660" s="30" t="s">
        <v>1</v>
      </c>
      <c r="F660" s="30" t="s">
        <v>1684</v>
      </c>
      <c r="G660" s="30" t="s">
        <v>1370</v>
      </c>
      <c r="H660" s="34" t="s">
        <v>14</v>
      </c>
      <c r="I660" s="30" t="s">
        <v>3</v>
      </c>
      <c r="J660" s="33"/>
      <c r="K660" s="31" t="s">
        <v>116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15.75" customHeight="1">
      <c r="A661" s="30">
        <f t="shared" si="64"/>
        <v>459</v>
      </c>
      <c r="B661" s="31" t="s">
        <v>1695</v>
      </c>
      <c r="C661" s="33" t="s">
        <v>1696</v>
      </c>
      <c r="D661" s="33" t="s">
        <v>422</v>
      </c>
      <c r="E661" s="30" t="s">
        <v>1</v>
      </c>
      <c r="F661" s="30" t="s">
        <v>1684</v>
      </c>
      <c r="G661" s="30" t="s">
        <v>236</v>
      </c>
      <c r="H661" s="34" t="s">
        <v>4</v>
      </c>
      <c r="I661" s="30" t="s">
        <v>113</v>
      </c>
      <c r="J661" s="33"/>
      <c r="K661" s="31" t="s">
        <v>116</v>
      </c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</row>
    <row r="662" ht="15.75" customHeight="1">
      <c r="A662" s="30">
        <f t="shared" si="64"/>
        <v>460</v>
      </c>
      <c r="B662" s="31" t="s">
        <v>1697</v>
      </c>
      <c r="C662" s="33" t="s">
        <v>1698</v>
      </c>
      <c r="D662" s="33" t="s">
        <v>439</v>
      </c>
      <c r="E662" s="30" t="s">
        <v>1</v>
      </c>
      <c r="F662" s="30" t="s">
        <v>1684</v>
      </c>
      <c r="G662" s="30" t="s">
        <v>1699</v>
      </c>
      <c r="H662" s="34" t="s">
        <v>4</v>
      </c>
      <c r="I662" s="30" t="s">
        <v>113</v>
      </c>
      <c r="J662" s="33"/>
      <c r="K662" s="31" t="s">
        <v>116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15.75" customHeight="1">
      <c r="A663" s="30">
        <f t="shared" si="64"/>
        <v>461</v>
      </c>
      <c r="B663" s="31" t="s">
        <v>1700</v>
      </c>
      <c r="C663" s="33" t="s">
        <v>1701</v>
      </c>
      <c r="D663" s="33" t="s">
        <v>443</v>
      </c>
      <c r="E663" s="30" t="s">
        <v>1</v>
      </c>
      <c r="F663" s="30" t="s">
        <v>1684</v>
      </c>
      <c r="G663" s="30" t="s">
        <v>236</v>
      </c>
      <c r="H663" s="34" t="s">
        <v>14</v>
      </c>
      <c r="I663" s="30" t="s">
        <v>3</v>
      </c>
      <c r="J663" s="33"/>
      <c r="K663" s="31" t="s">
        <v>116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ht="15.75" customHeight="1">
      <c r="A664" s="30">
        <f t="shared" si="64"/>
        <v>462</v>
      </c>
      <c r="B664" s="31" t="s">
        <v>1702</v>
      </c>
      <c r="C664" s="33" t="s">
        <v>1703</v>
      </c>
      <c r="D664" s="33" t="s">
        <v>446</v>
      </c>
      <c r="E664" s="30" t="s">
        <v>1</v>
      </c>
      <c r="F664" s="30" t="s">
        <v>1684</v>
      </c>
      <c r="G664" s="30" t="s">
        <v>236</v>
      </c>
      <c r="H664" s="34" t="s">
        <v>14</v>
      </c>
      <c r="I664" s="30" t="s">
        <v>3</v>
      </c>
      <c r="J664" s="33"/>
      <c r="K664" s="31" t="s">
        <v>116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ht="15.75" customHeight="1">
      <c r="A665" s="30">
        <f t="shared" si="64"/>
        <v>463</v>
      </c>
      <c r="B665" s="31" t="s">
        <v>1704</v>
      </c>
      <c r="C665" s="33" t="s">
        <v>1705</v>
      </c>
      <c r="D665" s="33" t="s">
        <v>449</v>
      </c>
      <c r="E665" s="30" t="s">
        <v>1</v>
      </c>
      <c r="F665" s="30" t="s">
        <v>1684</v>
      </c>
      <c r="G665" s="30" t="s">
        <v>236</v>
      </c>
      <c r="H665" s="34" t="s">
        <v>14</v>
      </c>
      <c r="I665" s="30" t="s">
        <v>3</v>
      </c>
      <c r="J665" s="33"/>
      <c r="K665" s="31" t="s">
        <v>116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ht="15.75" customHeight="1">
      <c r="A666" s="30">
        <f t="shared" si="64"/>
        <v>464</v>
      </c>
      <c r="B666" s="31" t="s">
        <v>1706</v>
      </c>
      <c r="C666" s="33" t="s">
        <v>1707</v>
      </c>
      <c r="D666" s="33" t="s">
        <v>1708</v>
      </c>
      <c r="E666" s="30" t="s">
        <v>1</v>
      </c>
      <c r="F666" s="30" t="s">
        <v>1684</v>
      </c>
      <c r="G666" s="30" t="s">
        <v>317</v>
      </c>
      <c r="H666" s="34" t="s">
        <v>4</v>
      </c>
      <c r="I666" s="30" t="s">
        <v>113</v>
      </c>
      <c r="J666" s="57" t="s">
        <v>318</v>
      </c>
      <c r="K666" s="31" t="s">
        <v>116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ht="15.75" customHeight="1">
      <c r="A667" s="30">
        <f t="shared" si="64"/>
        <v>465</v>
      </c>
      <c r="B667" s="31" t="s">
        <v>1709</v>
      </c>
      <c r="C667" s="33" t="s">
        <v>1710</v>
      </c>
      <c r="D667" s="33" t="s">
        <v>456</v>
      </c>
      <c r="E667" s="30" t="s">
        <v>1</v>
      </c>
      <c r="F667" s="30" t="s">
        <v>1684</v>
      </c>
      <c r="G667" s="30" t="s">
        <v>236</v>
      </c>
      <c r="H667" s="34" t="s">
        <v>4</v>
      </c>
      <c r="I667" s="30" t="s">
        <v>113</v>
      </c>
      <c r="J667" s="33" t="s">
        <v>734</v>
      </c>
      <c r="K667" s="31" t="s">
        <v>116</v>
      </c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ht="15.75" customHeight="1">
      <c r="A668" s="30">
        <f t="shared" si="64"/>
        <v>466</v>
      </c>
      <c r="B668" s="31" t="s">
        <v>1711</v>
      </c>
      <c r="C668" s="33" t="s">
        <v>1712</v>
      </c>
      <c r="D668" s="33" t="s">
        <v>460</v>
      </c>
      <c r="E668" s="30" t="s">
        <v>1</v>
      </c>
      <c r="F668" s="30" t="s">
        <v>1684</v>
      </c>
      <c r="G668" s="30" t="s">
        <v>461</v>
      </c>
      <c r="H668" s="34" t="s">
        <v>4</v>
      </c>
      <c r="I668" s="30" t="s">
        <v>113</v>
      </c>
      <c r="J668" s="33"/>
      <c r="K668" s="31" t="s">
        <v>116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ht="15.75" customHeight="1">
      <c r="A669" s="30">
        <f t="shared" si="64"/>
        <v>467</v>
      </c>
      <c r="B669" s="31" t="s">
        <v>1713</v>
      </c>
      <c r="C669" s="33" t="s">
        <v>1714</v>
      </c>
      <c r="D669" s="33" t="s">
        <v>464</v>
      </c>
      <c r="E669" s="30" t="s">
        <v>1</v>
      </c>
      <c r="F669" s="30" t="s">
        <v>1684</v>
      </c>
      <c r="G669" s="30" t="s">
        <v>330</v>
      </c>
      <c r="H669" s="34" t="s">
        <v>4</v>
      </c>
      <c r="I669" s="30" t="s">
        <v>113</v>
      </c>
      <c r="J669" s="33" t="s">
        <v>739</v>
      </c>
      <c r="K669" s="31" t="s">
        <v>116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ht="15.75" customHeight="1">
      <c r="A670" s="50"/>
      <c r="B670" s="7"/>
      <c r="C670" s="51"/>
      <c r="D670" s="51"/>
      <c r="E670" s="50"/>
      <c r="F670" s="50"/>
      <c r="G670" s="50"/>
      <c r="H670" s="52"/>
      <c r="I670" s="50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ht="15.75" customHeight="1">
      <c r="A671" s="23" t="s">
        <v>70</v>
      </c>
      <c r="B671" s="53" t="s">
        <v>73</v>
      </c>
      <c r="C671" s="54" t="s">
        <v>74</v>
      </c>
      <c r="D671" s="54" t="s">
        <v>75</v>
      </c>
      <c r="E671" s="23" t="s">
        <v>76</v>
      </c>
      <c r="F671" s="23" t="s">
        <v>78</v>
      </c>
      <c r="G671" s="23" t="s">
        <v>79</v>
      </c>
      <c r="H671" s="25" t="s">
        <v>81</v>
      </c>
      <c r="I671" s="23" t="s">
        <v>84</v>
      </c>
      <c r="J671" s="53" t="s">
        <v>85</v>
      </c>
      <c r="K671" s="53" t="s">
        <v>86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ht="15.75" customHeight="1">
      <c r="A672" s="29" t="s">
        <v>1715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16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ht="14.25" customHeight="1">
      <c r="A673" s="30">
        <f>A669+1</f>
        <v>468</v>
      </c>
      <c r="B673" s="31" t="s">
        <v>1716</v>
      </c>
      <c r="C673" s="33" t="s">
        <v>1717</v>
      </c>
      <c r="D673" s="33" t="s">
        <v>1718</v>
      </c>
      <c r="E673" s="30" t="s">
        <v>1156</v>
      </c>
      <c r="F673" s="30" t="s">
        <v>1446</v>
      </c>
      <c r="G673" s="30" t="s">
        <v>13</v>
      </c>
      <c r="H673" s="34" t="s">
        <v>4</v>
      </c>
      <c r="I673" s="30" t="s">
        <v>113</v>
      </c>
      <c r="J673" s="31"/>
      <c r="K673" s="31" t="s">
        <v>116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ht="15.75" customHeight="1">
      <c r="A674" s="30">
        <f t="shared" ref="A674:A681" si="65">A673+1</f>
        <v>469</v>
      </c>
      <c r="B674" s="31" t="s">
        <v>1719</v>
      </c>
      <c r="C674" s="33" t="s">
        <v>1720</v>
      </c>
      <c r="D674" s="33" t="s">
        <v>1721</v>
      </c>
      <c r="E674" s="30" t="s">
        <v>1</v>
      </c>
      <c r="F674" s="30" t="s">
        <v>1722</v>
      </c>
      <c r="G674" s="30" t="s">
        <v>1723</v>
      </c>
      <c r="H674" s="34" t="s">
        <v>14</v>
      </c>
      <c r="I674" s="30" t="s">
        <v>3</v>
      </c>
      <c r="J674" s="33"/>
      <c r="K674" s="31" t="s">
        <v>116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ht="15.75" customHeight="1">
      <c r="A675" s="30">
        <f t="shared" si="65"/>
        <v>470</v>
      </c>
      <c r="B675" s="31" t="s">
        <v>1724</v>
      </c>
      <c r="C675" s="33" t="s">
        <v>1725</v>
      </c>
      <c r="D675" s="33" t="s">
        <v>1726</v>
      </c>
      <c r="E675" s="30" t="s">
        <v>1</v>
      </c>
      <c r="F675" s="30" t="s">
        <v>1722</v>
      </c>
      <c r="G675" s="30" t="s">
        <v>272</v>
      </c>
      <c r="H675" s="34" t="s">
        <v>4</v>
      </c>
      <c r="I675" s="30" t="s">
        <v>113</v>
      </c>
      <c r="J675" s="31"/>
      <c r="K675" s="31" t="s">
        <v>116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ht="15.75" customHeight="1">
      <c r="A676" s="30">
        <f t="shared" si="65"/>
        <v>471</v>
      </c>
      <c r="B676" s="31" t="s">
        <v>1727</v>
      </c>
      <c r="C676" s="33" t="s">
        <v>1728</v>
      </c>
      <c r="D676" s="33" t="s">
        <v>1729</v>
      </c>
      <c r="E676" s="30" t="s">
        <v>1</v>
      </c>
      <c r="F676" s="30" t="s">
        <v>1722</v>
      </c>
      <c r="G676" s="30" t="s">
        <v>272</v>
      </c>
      <c r="H676" s="34" t="s">
        <v>4</v>
      </c>
      <c r="I676" s="30" t="s">
        <v>113</v>
      </c>
      <c r="J676" s="31"/>
      <c r="K676" s="31" t="s">
        <v>116</v>
      </c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ht="15.75" customHeight="1">
      <c r="A677" s="75">
        <f t="shared" si="65"/>
        <v>472</v>
      </c>
      <c r="B677" s="76" t="s">
        <v>1730</v>
      </c>
      <c r="C677" s="77" t="s">
        <v>1731</v>
      </c>
      <c r="D677" s="77" t="s">
        <v>1732</v>
      </c>
      <c r="E677" s="75" t="s">
        <v>1</v>
      </c>
      <c r="F677" s="75" t="s">
        <v>1722</v>
      </c>
      <c r="G677" s="123" t="s">
        <v>481</v>
      </c>
      <c r="H677" s="78" t="s">
        <v>14</v>
      </c>
      <c r="I677" s="75" t="s">
        <v>3</v>
      </c>
      <c r="J677" s="124" t="s">
        <v>1733</v>
      </c>
      <c r="K677" s="76" t="s">
        <v>116</v>
      </c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ht="15.75" customHeight="1">
      <c r="A678" s="75">
        <f t="shared" si="65"/>
        <v>473</v>
      </c>
      <c r="B678" s="76" t="s">
        <v>1734</v>
      </c>
      <c r="C678" s="77" t="s">
        <v>1735</v>
      </c>
      <c r="D678" s="77" t="s">
        <v>1736</v>
      </c>
      <c r="E678" s="75" t="s">
        <v>1</v>
      </c>
      <c r="F678" s="75" t="s">
        <v>1722</v>
      </c>
      <c r="G678" s="75" t="s">
        <v>481</v>
      </c>
      <c r="H678" s="78" t="s">
        <v>14</v>
      </c>
      <c r="I678" s="75" t="s">
        <v>3</v>
      </c>
      <c r="J678" s="79" t="s">
        <v>1737</v>
      </c>
      <c r="K678" s="113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</row>
    <row r="679" ht="15.75" customHeight="1">
      <c r="A679" s="75">
        <f t="shared" si="65"/>
        <v>474</v>
      </c>
      <c r="B679" s="76" t="s">
        <v>1738</v>
      </c>
      <c r="C679" s="77" t="s">
        <v>1739</v>
      </c>
      <c r="D679" s="77" t="s">
        <v>1740</v>
      </c>
      <c r="E679" s="75" t="s">
        <v>1</v>
      </c>
      <c r="F679" s="75" t="s">
        <v>1722</v>
      </c>
      <c r="G679" s="75" t="s">
        <v>1741</v>
      </c>
      <c r="H679" s="78" t="s">
        <v>14</v>
      </c>
      <c r="I679" s="75" t="s">
        <v>3</v>
      </c>
      <c r="J679" s="76"/>
      <c r="K679" s="113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ht="15.75" customHeight="1">
      <c r="A680" s="75">
        <f t="shared" si="65"/>
        <v>475</v>
      </c>
      <c r="B680" s="76" t="s">
        <v>1742</v>
      </c>
      <c r="C680" s="77" t="s">
        <v>1743</v>
      </c>
      <c r="D680" s="77" t="s">
        <v>1744</v>
      </c>
      <c r="E680" s="75" t="s">
        <v>1</v>
      </c>
      <c r="F680" s="75" t="s">
        <v>1722</v>
      </c>
      <c r="G680" s="75" t="s">
        <v>1741</v>
      </c>
      <c r="H680" s="78" t="s">
        <v>14</v>
      </c>
      <c r="I680" s="75" t="s">
        <v>3</v>
      </c>
      <c r="J680" s="76"/>
      <c r="K680" s="113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ht="15.75" customHeight="1">
      <c r="A681" s="75">
        <f t="shared" si="65"/>
        <v>476</v>
      </c>
      <c r="B681" s="76" t="s">
        <v>1745</v>
      </c>
      <c r="C681" s="77" t="s">
        <v>1746</v>
      </c>
      <c r="D681" s="79" t="s">
        <v>1747</v>
      </c>
      <c r="E681" s="75" t="s">
        <v>1</v>
      </c>
      <c r="F681" s="75" t="s">
        <v>1722</v>
      </c>
      <c r="G681" s="75" t="s">
        <v>1741</v>
      </c>
      <c r="H681" s="78" t="s">
        <v>14</v>
      </c>
      <c r="I681" s="75" t="s">
        <v>3</v>
      </c>
      <c r="J681" s="76"/>
      <c r="K681" s="113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ht="15.75" customHeight="1">
      <c r="A682" s="50"/>
      <c r="B682" s="7"/>
      <c r="C682" s="51"/>
      <c r="D682" s="51"/>
      <c r="E682" s="50"/>
      <c r="F682" s="50"/>
      <c r="G682" s="50"/>
      <c r="H682" s="52"/>
      <c r="I682" s="50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ht="15.75" customHeight="1">
      <c r="A683" s="23" t="s">
        <v>70</v>
      </c>
      <c r="B683" s="53" t="s">
        <v>73</v>
      </c>
      <c r="C683" s="54" t="s">
        <v>74</v>
      </c>
      <c r="D683" s="54" t="s">
        <v>75</v>
      </c>
      <c r="E683" s="23" t="s">
        <v>76</v>
      </c>
      <c r="F683" s="23" t="s">
        <v>78</v>
      </c>
      <c r="G683" s="23" t="s">
        <v>79</v>
      </c>
      <c r="H683" s="25" t="s">
        <v>81</v>
      </c>
      <c r="I683" s="23" t="s">
        <v>84</v>
      </c>
      <c r="J683" s="53" t="s">
        <v>85</v>
      </c>
      <c r="K683" s="53" t="s">
        <v>86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ht="15.75" customHeight="1">
      <c r="A684" s="29" t="s">
        <v>1748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16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ht="15.75" customHeight="1">
      <c r="A685" s="30">
        <f>A681+1</f>
        <v>477</v>
      </c>
      <c r="B685" s="31" t="s">
        <v>1749</v>
      </c>
      <c r="C685" s="33" t="s">
        <v>1750</v>
      </c>
      <c r="D685" s="33" t="s">
        <v>1751</v>
      </c>
      <c r="E685" s="30" t="s">
        <v>12</v>
      </c>
      <c r="F685" s="30" t="s">
        <v>1446</v>
      </c>
      <c r="G685" s="30" t="s">
        <v>13</v>
      </c>
      <c r="H685" s="34" t="s">
        <v>4</v>
      </c>
      <c r="I685" s="30" t="s">
        <v>113</v>
      </c>
      <c r="J685" s="31"/>
      <c r="K685" s="31" t="s">
        <v>116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ht="14.25" customHeight="1">
      <c r="A686" s="30">
        <f t="shared" ref="A686:A687" si="66">A685+1</f>
        <v>478</v>
      </c>
      <c r="B686" s="31" t="s">
        <v>1752</v>
      </c>
      <c r="C686" s="33" t="s">
        <v>1753</v>
      </c>
      <c r="D686" s="33" t="s">
        <v>1754</v>
      </c>
      <c r="E686" s="30" t="s">
        <v>1</v>
      </c>
      <c r="F686" s="30" t="s">
        <v>1755</v>
      </c>
      <c r="G686" s="30" t="s">
        <v>183</v>
      </c>
      <c r="H686" s="34" t="s">
        <v>4</v>
      </c>
      <c r="I686" s="30" t="s">
        <v>113</v>
      </c>
      <c r="J686" s="33"/>
      <c r="K686" s="31" t="s">
        <v>116</v>
      </c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ht="14.25" customHeight="1">
      <c r="A687" s="30">
        <f t="shared" si="66"/>
        <v>479</v>
      </c>
      <c r="B687" s="31" t="s">
        <v>1756</v>
      </c>
      <c r="C687" s="33" t="s">
        <v>1757</v>
      </c>
      <c r="D687" s="33" t="s">
        <v>1758</v>
      </c>
      <c r="E687" s="30" t="s">
        <v>1</v>
      </c>
      <c r="F687" s="30" t="s">
        <v>1755</v>
      </c>
      <c r="G687" s="30" t="s">
        <v>283</v>
      </c>
      <c r="H687" s="34" t="s">
        <v>4</v>
      </c>
      <c r="I687" s="30" t="s">
        <v>113</v>
      </c>
      <c r="J687" s="33" t="s">
        <v>1759</v>
      </c>
      <c r="K687" s="31" t="s">
        <v>116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ht="15.75" customHeight="1">
      <c r="A688" s="50"/>
      <c r="B688" s="7"/>
      <c r="C688" s="51"/>
      <c r="D688" s="51"/>
      <c r="E688" s="50"/>
      <c r="F688" s="50"/>
      <c r="G688" s="50"/>
      <c r="H688" s="52"/>
      <c r="I688" s="50"/>
      <c r="J688" s="51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ht="15.75" customHeight="1">
      <c r="A689" s="23" t="s">
        <v>70</v>
      </c>
      <c r="B689" s="53" t="s">
        <v>73</v>
      </c>
      <c r="C689" s="54" t="s">
        <v>74</v>
      </c>
      <c r="D689" s="54" t="s">
        <v>75</v>
      </c>
      <c r="E689" s="23" t="s">
        <v>76</v>
      </c>
      <c r="F689" s="23" t="s">
        <v>78</v>
      </c>
      <c r="G689" s="23" t="s">
        <v>79</v>
      </c>
      <c r="H689" s="25" t="s">
        <v>81</v>
      </c>
      <c r="I689" s="23" t="s">
        <v>84</v>
      </c>
      <c r="J689" s="53" t="s">
        <v>85</v>
      </c>
      <c r="K689" s="53" t="s">
        <v>86</v>
      </c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ht="15.75" customHeight="1">
      <c r="A690" s="29" t="s">
        <v>1760</v>
      </c>
      <c r="B690" s="15"/>
      <c r="C690" s="15"/>
      <c r="D690" s="15"/>
      <c r="E690" s="15"/>
      <c r="F690" s="15"/>
      <c r="G690" s="15"/>
      <c r="H690" s="15"/>
      <c r="I690" s="15"/>
      <c r="J690" s="15"/>
      <c r="K690" s="16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</row>
    <row r="691" ht="14.25" customHeight="1">
      <c r="A691" s="30">
        <f>A687+1</f>
        <v>480</v>
      </c>
      <c r="B691" s="31" t="s">
        <v>1761</v>
      </c>
      <c r="C691" s="33" t="s">
        <v>1762</v>
      </c>
      <c r="D691" s="33" t="s">
        <v>1763</v>
      </c>
      <c r="E691" s="30" t="s">
        <v>12</v>
      </c>
      <c r="F691" s="30" t="s">
        <v>1755</v>
      </c>
      <c r="G691" s="30" t="s">
        <v>13</v>
      </c>
      <c r="H691" s="34" t="s">
        <v>14</v>
      </c>
      <c r="I691" s="30" t="s">
        <v>3</v>
      </c>
      <c r="J691" s="31"/>
      <c r="K691" s="31" t="s">
        <v>139</v>
      </c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ht="15.75" customHeight="1">
      <c r="A692" s="30">
        <f t="shared" ref="A692:A695" si="67">A691+1</f>
        <v>481</v>
      </c>
      <c r="B692" s="31" t="s">
        <v>1764</v>
      </c>
      <c r="C692" s="33" t="s">
        <v>1765</v>
      </c>
      <c r="D692" s="33" t="s">
        <v>1425</v>
      </c>
      <c r="E692" s="30" t="s">
        <v>1</v>
      </c>
      <c r="F692" s="30" t="s">
        <v>1766</v>
      </c>
      <c r="G692" s="30" t="s">
        <v>1767</v>
      </c>
      <c r="H692" s="34" t="s">
        <v>4</v>
      </c>
      <c r="I692" s="30" t="s">
        <v>113</v>
      </c>
      <c r="J692" s="33"/>
      <c r="K692" s="31" t="s">
        <v>139</v>
      </c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ht="15.75" customHeight="1">
      <c r="A693" s="30">
        <f t="shared" si="67"/>
        <v>482</v>
      </c>
      <c r="B693" s="31" t="s">
        <v>1768</v>
      </c>
      <c r="C693" s="33" t="s">
        <v>1769</v>
      </c>
      <c r="D693" s="33" t="s">
        <v>1770</v>
      </c>
      <c r="E693" s="30" t="s">
        <v>1</v>
      </c>
      <c r="F693" s="30" t="s">
        <v>1766</v>
      </c>
      <c r="G693" s="30" t="s">
        <v>408</v>
      </c>
      <c r="H693" s="34" t="s">
        <v>4</v>
      </c>
      <c r="I693" s="30" t="s">
        <v>113</v>
      </c>
      <c r="J693" s="33"/>
      <c r="K693" s="31" t="s">
        <v>139</v>
      </c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ht="15.75" customHeight="1">
      <c r="A694" s="30">
        <f t="shared" si="67"/>
        <v>483</v>
      </c>
      <c r="B694" s="31" t="s">
        <v>1771</v>
      </c>
      <c r="C694" s="33" t="s">
        <v>1772</v>
      </c>
      <c r="D694" s="33" t="s">
        <v>1429</v>
      </c>
      <c r="E694" s="30" t="s">
        <v>1</v>
      </c>
      <c r="F694" s="30" t="s">
        <v>1766</v>
      </c>
      <c r="G694" s="30" t="s">
        <v>183</v>
      </c>
      <c r="H694" s="34" t="s">
        <v>4</v>
      </c>
      <c r="I694" s="30" t="s">
        <v>113</v>
      </c>
      <c r="J694" s="33"/>
      <c r="K694" s="31" t="s">
        <v>139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ht="15.75" customHeight="1">
      <c r="A695" s="30">
        <f t="shared" si="67"/>
        <v>484</v>
      </c>
      <c r="B695" s="31" t="s">
        <v>1773</v>
      </c>
      <c r="C695" s="33" t="s">
        <v>1774</v>
      </c>
      <c r="D695" s="33" t="s">
        <v>1433</v>
      </c>
      <c r="E695" s="30" t="s">
        <v>1</v>
      </c>
      <c r="F695" s="30" t="s">
        <v>1766</v>
      </c>
      <c r="G695" s="30" t="s">
        <v>183</v>
      </c>
      <c r="H695" s="34" t="s">
        <v>4</v>
      </c>
      <c r="I695" s="30" t="s">
        <v>113</v>
      </c>
      <c r="J695" s="33"/>
      <c r="K695" s="31" t="s">
        <v>139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ht="15.75" customHeight="1">
      <c r="A696" s="50"/>
      <c r="B696" s="7"/>
      <c r="C696" s="51"/>
      <c r="D696" s="51"/>
      <c r="E696" s="50"/>
      <c r="F696" s="50"/>
      <c r="G696" s="50"/>
      <c r="H696" s="52"/>
      <c r="I696" s="50"/>
      <c r="J696" s="7"/>
      <c r="K696" s="7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</row>
    <row r="697" ht="15.75" customHeight="1">
      <c r="A697" s="23" t="s">
        <v>70</v>
      </c>
      <c r="B697" s="53" t="s">
        <v>73</v>
      </c>
      <c r="C697" s="54" t="s">
        <v>74</v>
      </c>
      <c r="D697" s="54" t="s">
        <v>75</v>
      </c>
      <c r="E697" s="23" t="s">
        <v>76</v>
      </c>
      <c r="F697" s="23" t="s">
        <v>78</v>
      </c>
      <c r="G697" s="23" t="s">
        <v>79</v>
      </c>
      <c r="H697" s="25" t="s">
        <v>81</v>
      </c>
      <c r="I697" s="23" t="s">
        <v>84</v>
      </c>
      <c r="J697" s="53" t="s">
        <v>85</v>
      </c>
      <c r="K697" s="53" t="s">
        <v>86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ht="15.75" customHeight="1">
      <c r="A698" s="29" t="s">
        <v>1775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16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ht="14.25" customHeight="1">
      <c r="A699" s="30">
        <f>A695+1</f>
        <v>485</v>
      </c>
      <c r="B699" s="31" t="s">
        <v>1776</v>
      </c>
      <c r="C699" s="33" t="s">
        <v>1777</v>
      </c>
      <c r="D699" s="33" t="s">
        <v>1778</v>
      </c>
      <c r="E699" s="30" t="s">
        <v>12</v>
      </c>
      <c r="F699" s="30" t="s">
        <v>1153</v>
      </c>
      <c r="G699" s="30" t="s">
        <v>13</v>
      </c>
      <c r="H699" s="34" t="s">
        <v>14</v>
      </c>
      <c r="I699" s="30" t="s">
        <v>3</v>
      </c>
      <c r="J699" s="33"/>
      <c r="K699" s="31" t="s">
        <v>116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ht="15.75" customHeight="1">
      <c r="A700" s="30">
        <f t="shared" ref="A700:A706" si="68">A699+1</f>
        <v>486</v>
      </c>
      <c r="B700" s="31" t="s">
        <v>1779</v>
      </c>
      <c r="C700" s="33" t="s">
        <v>1780</v>
      </c>
      <c r="D700" s="33"/>
      <c r="E700" s="30" t="s">
        <v>12</v>
      </c>
      <c r="F700" s="30" t="s">
        <v>1776</v>
      </c>
      <c r="G700" s="30" t="s">
        <v>13</v>
      </c>
      <c r="H700" s="34" t="s">
        <v>540</v>
      </c>
      <c r="I700" s="30" t="s">
        <v>113</v>
      </c>
      <c r="J700" s="114" t="s">
        <v>392</v>
      </c>
      <c r="K700" s="31" t="s">
        <v>116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ht="15.75" customHeight="1">
      <c r="A701" s="30">
        <f t="shared" si="68"/>
        <v>487</v>
      </c>
      <c r="B701" s="31" t="s">
        <v>1781</v>
      </c>
      <c r="C701" s="33" t="s">
        <v>1782</v>
      </c>
      <c r="D701" s="33" t="s">
        <v>1783</v>
      </c>
      <c r="E701" s="30" t="s">
        <v>1</v>
      </c>
      <c r="F701" s="30" t="s">
        <v>1779</v>
      </c>
      <c r="G701" s="30" t="s">
        <v>1784</v>
      </c>
      <c r="H701" s="34" t="s">
        <v>4</v>
      </c>
      <c r="I701" s="30" t="s">
        <v>113</v>
      </c>
      <c r="J701" s="33"/>
      <c r="K701" s="31" t="s">
        <v>116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ht="15.75" customHeight="1">
      <c r="A702" s="30">
        <f t="shared" si="68"/>
        <v>488</v>
      </c>
      <c r="B702" s="31" t="s">
        <v>1785</v>
      </c>
      <c r="C702" s="33" t="s">
        <v>1786</v>
      </c>
      <c r="D702" s="33" t="s">
        <v>1787</v>
      </c>
      <c r="E702" s="30" t="s">
        <v>1</v>
      </c>
      <c r="F702" s="30" t="s">
        <v>1779</v>
      </c>
      <c r="G702" s="30" t="s">
        <v>1516</v>
      </c>
      <c r="H702" s="34" t="s">
        <v>4</v>
      </c>
      <c r="I702" s="30" t="s">
        <v>113</v>
      </c>
      <c r="J702" s="33" t="s">
        <v>1788</v>
      </c>
      <c r="K702" s="31" t="s">
        <v>116</v>
      </c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ht="15.75" customHeight="1">
      <c r="A703" s="30">
        <f t="shared" si="68"/>
        <v>489</v>
      </c>
      <c r="B703" s="31" t="s">
        <v>1789</v>
      </c>
      <c r="C703" s="33" t="s">
        <v>1790</v>
      </c>
      <c r="D703" s="33" t="s">
        <v>1791</v>
      </c>
      <c r="E703" s="30" t="s">
        <v>1</v>
      </c>
      <c r="F703" s="30" t="s">
        <v>1779</v>
      </c>
      <c r="G703" s="30" t="s">
        <v>509</v>
      </c>
      <c r="H703" s="34" t="s">
        <v>4</v>
      </c>
      <c r="I703" s="30" t="s">
        <v>113</v>
      </c>
      <c r="J703" s="33"/>
      <c r="K703" s="31" t="s">
        <v>116</v>
      </c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ht="15.75" customHeight="1">
      <c r="A704" s="30">
        <f t="shared" si="68"/>
        <v>490</v>
      </c>
      <c r="B704" s="31" t="s">
        <v>1792</v>
      </c>
      <c r="C704" s="33" t="s">
        <v>1793</v>
      </c>
      <c r="D704" s="33" t="s">
        <v>1794</v>
      </c>
      <c r="E704" s="30" t="s">
        <v>1</v>
      </c>
      <c r="F704" s="30" t="s">
        <v>1779</v>
      </c>
      <c r="G704" s="30" t="s">
        <v>1468</v>
      </c>
      <c r="H704" s="34" t="s">
        <v>4</v>
      </c>
      <c r="I704" s="30" t="s">
        <v>113</v>
      </c>
      <c r="J704" s="33" t="s">
        <v>1795</v>
      </c>
      <c r="K704" s="31" t="s">
        <v>116</v>
      </c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</row>
    <row r="705" ht="15.75" customHeight="1">
      <c r="A705" s="30">
        <f t="shared" si="68"/>
        <v>491</v>
      </c>
      <c r="B705" s="31" t="s">
        <v>1796</v>
      </c>
      <c r="C705" s="33" t="s">
        <v>1797</v>
      </c>
      <c r="D705" s="33" t="s">
        <v>1798</v>
      </c>
      <c r="E705" s="30" t="s">
        <v>1</v>
      </c>
      <c r="F705" s="30" t="s">
        <v>1779</v>
      </c>
      <c r="G705" s="30" t="s">
        <v>841</v>
      </c>
      <c r="H705" s="34" t="s">
        <v>4</v>
      </c>
      <c r="I705" s="30" t="s">
        <v>113</v>
      </c>
      <c r="J705" s="33"/>
      <c r="K705" s="31" t="s">
        <v>116</v>
      </c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ht="15.75" customHeight="1">
      <c r="A706" s="30">
        <f t="shared" si="68"/>
        <v>492</v>
      </c>
      <c r="B706" s="31" t="s">
        <v>1799</v>
      </c>
      <c r="C706" s="33" t="s">
        <v>1800</v>
      </c>
      <c r="D706" s="33" t="s">
        <v>1801</v>
      </c>
      <c r="E706" s="30" t="s">
        <v>1</v>
      </c>
      <c r="F706" s="30" t="s">
        <v>1779</v>
      </c>
      <c r="G706" s="30" t="s">
        <v>841</v>
      </c>
      <c r="H706" s="34" t="s">
        <v>4</v>
      </c>
      <c r="I706" s="30" t="s">
        <v>113</v>
      </c>
      <c r="J706" s="33"/>
      <c r="K706" s="31" t="s">
        <v>116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ht="15.75" customHeight="1">
      <c r="A707" s="50"/>
      <c r="B707" s="7"/>
      <c r="C707" s="51"/>
      <c r="D707" s="51"/>
      <c r="E707" s="50"/>
      <c r="F707" s="50"/>
      <c r="G707" s="50"/>
      <c r="H707" s="52"/>
      <c r="I707" s="50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ht="15.75" customHeight="1">
      <c r="A708" s="23" t="s">
        <v>70</v>
      </c>
      <c r="B708" s="53" t="s">
        <v>73</v>
      </c>
      <c r="C708" s="54" t="s">
        <v>74</v>
      </c>
      <c r="D708" s="54" t="s">
        <v>75</v>
      </c>
      <c r="E708" s="23" t="s">
        <v>76</v>
      </c>
      <c r="F708" s="23" t="s">
        <v>78</v>
      </c>
      <c r="G708" s="23" t="s">
        <v>79</v>
      </c>
      <c r="H708" s="25" t="s">
        <v>81</v>
      </c>
      <c r="I708" s="23" t="s">
        <v>84</v>
      </c>
      <c r="J708" s="53" t="s">
        <v>85</v>
      </c>
      <c r="K708" s="53" t="s">
        <v>86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ht="14.25" customHeight="1">
      <c r="A709" s="29" t="s">
        <v>1802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16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ht="14.25" customHeight="1">
      <c r="A710" s="30">
        <f>A706+1</f>
        <v>493</v>
      </c>
      <c r="B710" s="31" t="s">
        <v>1803</v>
      </c>
      <c r="C710" s="33" t="s">
        <v>1804</v>
      </c>
      <c r="D710" s="33" t="s">
        <v>1805</v>
      </c>
      <c r="E710" s="30" t="s">
        <v>12</v>
      </c>
      <c r="F710" s="30" t="s">
        <v>1153</v>
      </c>
      <c r="G710" s="30" t="s">
        <v>13</v>
      </c>
      <c r="H710" s="34" t="s">
        <v>14</v>
      </c>
      <c r="I710" s="30" t="s">
        <v>3</v>
      </c>
      <c r="J710" s="33"/>
      <c r="K710" s="31" t="s">
        <v>116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ht="15.75" customHeight="1">
      <c r="A711" s="30">
        <f t="shared" ref="A711:A715" si="69">A710+1</f>
        <v>494</v>
      </c>
      <c r="B711" s="31" t="s">
        <v>1806</v>
      </c>
      <c r="C711" s="33" t="s">
        <v>1807</v>
      </c>
      <c r="D711" s="33" t="s">
        <v>1808</v>
      </c>
      <c r="E711" s="30" t="s">
        <v>12</v>
      </c>
      <c r="F711" s="30" t="s">
        <v>1803</v>
      </c>
      <c r="G711" s="30" t="s">
        <v>13</v>
      </c>
      <c r="H711" s="34" t="s">
        <v>14</v>
      </c>
      <c r="I711" s="30" t="s">
        <v>113</v>
      </c>
      <c r="J711" s="33"/>
      <c r="K711" s="31" t="s">
        <v>116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ht="15.75" customHeight="1">
      <c r="A712" s="30">
        <f t="shared" si="69"/>
        <v>495</v>
      </c>
      <c r="B712" s="31" t="s">
        <v>1809</v>
      </c>
      <c r="C712" s="33" t="s">
        <v>1810</v>
      </c>
      <c r="D712" s="33" t="s">
        <v>1811</v>
      </c>
      <c r="E712" s="30" t="s">
        <v>1</v>
      </c>
      <c r="F712" s="30" t="s">
        <v>1806</v>
      </c>
      <c r="G712" s="30" t="s">
        <v>236</v>
      </c>
      <c r="H712" s="34" t="s">
        <v>14</v>
      </c>
      <c r="I712" s="30" t="s">
        <v>3</v>
      </c>
      <c r="J712" s="33"/>
      <c r="K712" s="31" t="s">
        <v>116</v>
      </c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ht="15.75" customHeight="1">
      <c r="A713" s="30">
        <f t="shared" si="69"/>
        <v>496</v>
      </c>
      <c r="B713" s="31" t="s">
        <v>1812</v>
      </c>
      <c r="C713" s="33" t="s">
        <v>1813</v>
      </c>
      <c r="D713" s="33" t="s">
        <v>1814</v>
      </c>
      <c r="E713" s="30" t="s">
        <v>1</v>
      </c>
      <c r="F713" s="30" t="s">
        <v>1806</v>
      </c>
      <c r="G713" s="30" t="s">
        <v>841</v>
      </c>
      <c r="H713" s="34" t="s">
        <v>14</v>
      </c>
      <c r="I713" s="30" t="s">
        <v>3</v>
      </c>
      <c r="J713" s="33"/>
      <c r="K713" s="31" t="s">
        <v>116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ht="15.75" customHeight="1">
      <c r="A714" s="30">
        <f t="shared" si="69"/>
        <v>497</v>
      </c>
      <c r="B714" s="31" t="s">
        <v>1815</v>
      </c>
      <c r="C714" s="33" t="s">
        <v>1816</v>
      </c>
      <c r="D714" s="33" t="s">
        <v>1817</v>
      </c>
      <c r="E714" s="30" t="s">
        <v>1</v>
      </c>
      <c r="F714" s="30" t="s">
        <v>1806</v>
      </c>
      <c r="G714" s="30" t="s">
        <v>841</v>
      </c>
      <c r="H714" s="34" t="s">
        <v>14</v>
      </c>
      <c r="I714" s="30" t="s">
        <v>3</v>
      </c>
      <c r="J714" s="33"/>
      <c r="K714" s="31" t="s">
        <v>116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ht="15.75" customHeight="1">
      <c r="A715" s="30">
        <f t="shared" si="69"/>
        <v>498</v>
      </c>
      <c r="B715" s="31" t="s">
        <v>1818</v>
      </c>
      <c r="C715" s="33" t="s">
        <v>1819</v>
      </c>
      <c r="D715" s="33" t="s">
        <v>1820</v>
      </c>
      <c r="E715" s="30" t="s">
        <v>1</v>
      </c>
      <c r="F715" s="30" t="s">
        <v>1806</v>
      </c>
      <c r="G715" s="30" t="s">
        <v>841</v>
      </c>
      <c r="H715" s="34" t="s">
        <v>14</v>
      </c>
      <c r="I715" s="30" t="s">
        <v>3</v>
      </c>
      <c r="J715" s="33"/>
      <c r="K715" s="31" t="s">
        <v>116</v>
      </c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</row>
    <row r="716" ht="15.75" customHeight="1">
      <c r="A716" s="50"/>
      <c r="B716" s="7"/>
      <c r="C716" s="51"/>
      <c r="D716" s="51"/>
      <c r="E716" s="50"/>
      <c r="F716" s="50"/>
      <c r="G716" s="50"/>
      <c r="H716" s="52"/>
      <c r="I716" s="50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ht="15.75" customHeight="1">
      <c r="A717" s="23" t="s">
        <v>70</v>
      </c>
      <c r="B717" s="53" t="s">
        <v>73</v>
      </c>
      <c r="C717" s="54" t="s">
        <v>74</v>
      </c>
      <c r="D717" s="54" t="s">
        <v>75</v>
      </c>
      <c r="E717" s="23" t="s">
        <v>76</v>
      </c>
      <c r="F717" s="23" t="s">
        <v>78</v>
      </c>
      <c r="G717" s="23" t="s">
        <v>79</v>
      </c>
      <c r="H717" s="25" t="s">
        <v>81</v>
      </c>
      <c r="I717" s="23" t="s">
        <v>84</v>
      </c>
      <c r="J717" s="53" t="s">
        <v>85</v>
      </c>
      <c r="K717" s="53" t="s">
        <v>86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ht="15.75" customHeight="1">
      <c r="A718" s="29" t="s">
        <v>1821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16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ht="15.75" customHeight="1">
      <c r="A719" s="30">
        <f>A715+1</f>
        <v>499</v>
      </c>
      <c r="B719" s="31" t="s">
        <v>1822</v>
      </c>
      <c r="C719" s="33" t="s">
        <v>1823</v>
      </c>
      <c r="D719" s="33" t="s">
        <v>1824</v>
      </c>
      <c r="E719" s="30" t="s">
        <v>12</v>
      </c>
      <c r="F719" s="30" t="s">
        <v>1803</v>
      </c>
      <c r="G719" s="30" t="s">
        <v>13</v>
      </c>
      <c r="H719" s="34" t="s">
        <v>14</v>
      </c>
      <c r="I719" s="30" t="s">
        <v>3</v>
      </c>
      <c r="J719" s="33"/>
      <c r="K719" s="31" t="s">
        <v>116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ht="15.75" customHeight="1">
      <c r="A720" s="30">
        <f t="shared" ref="A720:A723" si="70">A719+1</f>
        <v>500</v>
      </c>
      <c r="B720" s="31" t="s">
        <v>1825</v>
      </c>
      <c r="C720" s="33" t="s">
        <v>1826</v>
      </c>
      <c r="D720" s="33"/>
      <c r="E720" s="30" t="s">
        <v>12</v>
      </c>
      <c r="F720" s="30" t="s">
        <v>1822</v>
      </c>
      <c r="G720" s="30" t="s">
        <v>13</v>
      </c>
      <c r="H720" s="34" t="s">
        <v>540</v>
      </c>
      <c r="I720" s="30" t="s">
        <v>113</v>
      </c>
      <c r="J720" s="114" t="s">
        <v>392</v>
      </c>
      <c r="K720" s="31" t="s">
        <v>116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ht="15.75" customHeight="1">
      <c r="A721" s="30">
        <f t="shared" si="70"/>
        <v>501</v>
      </c>
      <c r="B721" s="31" t="s">
        <v>1827</v>
      </c>
      <c r="C721" s="33" t="s">
        <v>1828</v>
      </c>
      <c r="D721" s="33" t="s">
        <v>1829</v>
      </c>
      <c r="E721" s="30" t="s">
        <v>1</v>
      </c>
      <c r="F721" s="30" t="s">
        <v>1825</v>
      </c>
      <c r="G721" s="30" t="s">
        <v>236</v>
      </c>
      <c r="H721" s="34" t="s">
        <v>14</v>
      </c>
      <c r="I721" s="30" t="s">
        <v>3</v>
      </c>
      <c r="J721" s="33"/>
      <c r="K721" s="31" t="s">
        <v>116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ht="15.75" customHeight="1">
      <c r="A722" s="30">
        <f t="shared" si="70"/>
        <v>502</v>
      </c>
      <c r="B722" s="31" t="s">
        <v>1830</v>
      </c>
      <c r="C722" s="33" t="s">
        <v>1831</v>
      </c>
      <c r="D722" s="33" t="s">
        <v>1832</v>
      </c>
      <c r="E722" s="30" t="s">
        <v>1</v>
      </c>
      <c r="F722" s="30" t="s">
        <v>1825</v>
      </c>
      <c r="G722" s="30" t="s">
        <v>272</v>
      </c>
      <c r="H722" s="34" t="s">
        <v>14</v>
      </c>
      <c r="I722" s="30" t="s">
        <v>3</v>
      </c>
      <c r="J722" s="33" t="s">
        <v>556</v>
      </c>
      <c r="K722" s="31" t="s">
        <v>116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ht="15.75" customHeight="1">
      <c r="A723" s="30">
        <f t="shared" si="70"/>
        <v>503</v>
      </c>
      <c r="B723" s="31" t="s">
        <v>1833</v>
      </c>
      <c r="C723" s="33" t="s">
        <v>1834</v>
      </c>
      <c r="D723" s="33" t="s">
        <v>1835</v>
      </c>
      <c r="E723" s="30" t="s">
        <v>1</v>
      </c>
      <c r="F723" s="30" t="s">
        <v>1825</v>
      </c>
      <c r="G723" s="30" t="s">
        <v>841</v>
      </c>
      <c r="H723" s="34" t="s">
        <v>14</v>
      </c>
      <c r="I723" s="30" t="s">
        <v>3</v>
      </c>
      <c r="J723" s="33"/>
      <c r="K723" s="31" t="s">
        <v>116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ht="15.75" customHeight="1">
      <c r="A724" s="50"/>
      <c r="B724" s="7"/>
      <c r="C724" s="51"/>
      <c r="D724" s="51"/>
      <c r="E724" s="50"/>
      <c r="F724" s="50"/>
      <c r="G724" s="50"/>
      <c r="H724" s="52"/>
      <c r="I724" s="50"/>
      <c r="J724" s="7"/>
      <c r="K724" s="7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</row>
    <row r="725" ht="15.75" customHeight="1">
      <c r="A725" s="23" t="s">
        <v>70</v>
      </c>
      <c r="B725" s="53" t="s">
        <v>73</v>
      </c>
      <c r="C725" s="54" t="s">
        <v>74</v>
      </c>
      <c r="D725" s="54" t="s">
        <v>75</v>
      </c>
      <c r="E725" s="23" t="s">
        <v>76</v>
      </c>
      <c r="F725" s="23" t="s">
        <v>78</v>
      </c>
      <c r="G725" s="23" t="s">
        <v>79</v>
      </c>
      <c r="H725" s="25" t="s">
        <v>81</v>
      </c>
      <c r="I725" s="23" t="s">
        <v>84</v>
      </c>
      <c r="J725" s="53" t="s">
        <v>85</v>
      </c>
      <c r="K725" s="53" t="s">
        <v>86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ht="15.75" customHeight="1">
      <c r="A726" s="29" t="s">
        <v>1836</v>
      </c>
      <c r="B726" s="15"/>
      <c r="C726" s="15"/>
      <c r="D726" s="15"/>
      <c r="E726" s="15"/>
      <c r="F726" s="15"/>
      <c r="G726" s="15"/>
      <c r="H726" s="15"/>
      <c r="I726" s="15"/>
      <c r="J726" s="15"/>
      <c r="K726" s="16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ht="14.25" customHeight="1">
      <c r="A727" s="30">
        <f>A723+1</f>
        <v>504</v>
      </c>
      <c r="B727" s="31" t="s">
        <v>1837</v>
      </c>
      <c r="C727" s="33" t="s">
        <v>1838</v>
      </c>
      <c r="D727" s="33" t="s">
        <v>1839</v>
      </c>
      <c r="E727" s="30" t="s">
        <v>1156</v>
      </c>
      <c r="F727" s="30" t="s">
        <v>1153</v>
      </c>
      <c r="G727" s="30" t="s">
        <v>13</v>
      </c>
      <c r="H727" s="34" t="s">
        <v>14</v>
      </c>
      <c r="I727" s="30" t="s">
        <v>3</v>
      </c>
      <c r="J727" s="33"/>
      <c r="K727" s="31" t="s">
        <v>116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ht="14.25" customHeight="1">
      <c r="A728" s="30">
        <f t="shared" ref="A728:A730" si="71">A727+1</f>
        <v>505</v>
      </c>
      <c r="B728" s="31" t="s">
        <v>1840</v>
      </c>
      <c r="C728" s="33" t="s">
        <v>1841</v>
      </c>
      <c r="D728" s="33" t="s">
        <v>1842</v>
      </c>
      <c r="E728" s="30" t="s">
        <v>1</v>
      </c>
      <c r="F728" s="30" t="s">
        <v>1837</v>
      </c>
      <c r="G728" s="30" t="s">
        <v>174</v>
      </c>
      <c r="H728" s="34" t="s">
        <v>4</v>
      </c>
      <c r="I728" s="30" t="s">
        <v>113</v>
      </c>
      <c r="J728" s="33"/>
      <c r="K728" s="31" t="s">
        <v>116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ht="15.75" customHeight="1">
      <c r="A729" s="30">
        <f t="shared" si="71"/>
        <v>506</v>
      </c>
      <c r="B729" s="31" t="s">
        <v>1843</v>
      </c>
      <c r="C729" s="33" t="s">
        <v>1844</v>
      </c>
      <c r="D729" s="33" t="s">
        <v>1845</v>
      </c>
      <c r="E729" s="30" t="s">
        <v>407</v>
      </c>
      <c r="F729" s="30" t="s">
        <v>1837</v>
      </c>
      <c r="G729" s="30" t="s">
        <v>174</v>
      </c>
      <c r="H729" s="34" t="s">
        <v>4</v>
      </c>
      <c r="I729" s="30" t="s">
        <v>113</v>
      </c>
      <c r="J729" s="33"/>
      <c r="K729" s="31" t="s">
        <v>139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ht="14.25" customHeight="1">
      <c r="A730" s="30">
        <f t="shared" si="71"/>
        <v>507</v>
      </c>
      <c r="B730" s="31" t="s">
        <v>1846</v>
      </c>
      <c r="C730" s="33" t="s">
        <v>1847</v>
      </c>
      <c r="D730" s="33" t="s">
        <v>1848</v>
      </c>
      <c r="E730" s="30" t="s">
        <v>1</v>
      </c>
      <c r="F730" s="30" t="s">
        <v>1837</v>
      </c>
      <c r="G730" s="30" t="s">
        <v>178</v>
      </c>
      <c r="H730" s="34" t="s">
        <v>14</v>
      </c>
      <c r="I730" s="30" t="s">
        <v>3</v>
      </c>
      <c r="J730" s="33" t="s">
        <v>1849</v>
      </c>
      <c r="K730" s="31" t="s">
        <v>139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ht="15.75" customHeight="1">
      <c r="A731" s="50"/>
      <c r="B731" s="7"/>
      <c r="C731" s="51"/>
      <c r="D731" s="51"/>
      <c r="E731" s="50"/>
      <c r="F731" s="50"/>
      <c r="G731" s="50"/>
      <c r="H731" s="52"/>
      <c r="I731" s="50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ht="15.75" customHeight="1">
      <c r="A732" s="23" t="s">
        <v>70</v>
      </c>
      <c r="B732" s="53" t="s">
        <v>73</v>
      </c>
      <c r="C732" s="54" t="s">
        <v>74</v>
      </c>
      <c r="D732" s="54" t="s">
        <v>75</v>
      </c>
      <c r="E732" s="23" t="s">
        <v>76</v>
      </c>
      <c r="F732" s="23" t="s">
        <v>78</v>
      </c>
      <c r="G732" s="23" t="s">
        <v>79</v>
      </c>
      <c r="H732" s="25" t="s">
        <v>81</v>
      </c>
      <c r="I732" s="23" t="s">
        <v>84</v>
      </c>
      <c r="J732" s="53" t="s">
        <v>85</v>
      </c>
      <c r="K732" s="53" t="s">
        <v>86</v>
      </c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</row>
    <row r="733" ht="15.75" customHeight="1">
      <c r="A733" s="29" t="s">
        <v>1850</v>
      </c>
      <c r="B733" s="15"/>
      <c r="C733" s="15"/>
      <c r="D733" s="15"/>
      <c r="E733" s="15"/>
      <c r="F733" s="15"/>
      <c r="G733" s="15"/>
      <c r="H733" s="15"/>
      <c r="I733" s="15"/>
      <c r="J733" s="15"/>
      <c r="K733" s="16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ht="14.25" customHeight="1">
      <c r="A734" s="30">
        <f>A730+1</f>
        <v>508</v>
      </c>
      <c r="B734" s="31" t="s">
        <v>1851</v>
      </c>
      <c r="C734" s="33" t="s">
        <v>1852</v>
      </c>
      <c r="D734" s="33" t="s">
        <v>1853</v>
      </c>
      <c r="E734" s="30" t="s">
        <v>1156</v>
      </c>
      <c r="F734" s="30" t="s">
        <v>1837</v>
      </c>
      <c r="G734" s="30" t="s">
        <v>13</v>
      </c>
      <c r="H734" s="34" t="s">
        <v>4</v>
      </c>
      <c r="I734" s="30" t="s">
        <v>113</v>
      </c>
      <c r="J734" s="33"/>
      <c r="K734" s="31" t="s">
        <v>116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ht="14.25" customHeight="1">
      <c r="A735" s="30">
        <f t="shared" ref="A735:A736" si="72">A734+1</f>
        <v>509</v>
      </c>
      <c r="B735" s="31" t="s">
        <v>1854</v>
      </c>
      <c r="C735" s="33" t="s">
        <v>1855</v>
      </c>
      <c r="D735" s="33" t="s">
        <v>1856</v>
      </c>
      <c r="E735" s="30" t="s">
        <v>407</v>
      </c>
      <c r="F735" s="30" t="s">
        <v>1851</v>
      </c>
      <c r="G735" s="30" t="s">
        <v>174</v>
      </c>
      <c r="H735" s="34" t="s">
        <v>14</v>
      </c>
      <c r="I735" s="30" t="s">
        <v>3</v>
      </c>
      <c r="J735" s="33"/>
      <c r="K735" s="31" t="s">
        <v>116</v>
      </c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ht="14.25" customHeight="1">
      <c r="A736" s="30">
        <f t="shared" si="72"/>
        <v>510</v>
      </c>
      <c r="B736" s="31" t="s">
        <v>1857</v>
      </c>
      <c r="C736" s="33" t="s">
        <v>1858</v>
      </c>
      <c r="D736" s="33" t="s">
        <v>1859</v>
      </c>
      <c r="E736" s="30" t="s">
        <v>407</v>
      </c>
      <c r="F736" s="30" t="s">
        <v>1851</v>
      </c>
      <c r="G736" s="30" t="s">
        <v>174</v>
      </c>
      <c r="H736" s="34" t="s">
        <v>14</v>
      </c>
      <c r="I736" s="30" t="s">
        <v>3</v>
      </c>
      <c r="J736" s="33"/>
      <c r="K736" s="31" t="s">
        <v>116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ht="39.75" customHeight="1">
      <c r="A737" s="50"/>
      <c r="B737" s="7"/>
      <c r="C737" s="51"/>
      <c r="D737" s="51"/>
      <c r="E737" s="50"/>
      <c r="F737" s="50"/>
      <c r="G737" s="50"/>
      <c r="H737" s="52"/>
      <c r="I737" s="50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ht="15.75" customHeight="1">
      <c r="A738" s="23" t="s">
        <v>70</v>
      </c>
      <c r="B738" s="53" t="s">
        <v>73</v>
      </c>
      <c r="C738" s="54" t="s">
        <v>74</v>
      </c>
      <c r="D738" s="54" t="s">
        <v>75</v>
      </c>
      <c r="E738" s="23" t="s">
        <v>76</v>
      </c>
      <c r="F738" s="23" t="s">
        <v>78</v>
      </c>
      <c r="G738" s="23" t="s">
        <v>79</v>
      </c>
      <c r="H738" s="25" t="s">
        <v>81</v>
      </c>
      <c r="I738" s="23" t="s">
        <v>84</v>
      </c>
      <c r="J738" s="53" t="s">
        <v>85</v>
      </c>
      <c r="K738" s="53" t="s">
        <v>86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ht="15.75" customHeight="1">
      <c r="A739" s="29" t="s">
        <v>1860</v>
      </c>
      <c r="B739" s="15"/>
      <c r="C739" s="15"/>
      <c r="D739" s="15"/>
      <c r="E739" s="15"/>
      <c r="F739" s="15"/>
      <c r="G739" s="15"/>
      <c r="H739" s="15"/>
      <c r="I739" s="15"/>
      <c r="J739" s="15"/>
      <c r="K739" s="16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</row>
    <row r="740" ht="14.25" customHeight="1">
      <c r="A740" s="30">
        <f>A736+1</f>
        <v>511</v>
      </c>
      <c r="B740" s="31" t="s">
        <v>1861</v>
      </c>
      <c r="C740" s="33" t="s">
        <v>1862</v>
      </c>
      <c r="D740" s="33" t="s">
        <v>1863</v>
      </c>
      <c r="E740" s="30" t="s">
        <v>1156</v>
      </c>
      <c r="F740" s="30" t="s">
        <v>1851</v>
      </c>
      <c r="G740" s="30" t="s">
        <v>13</v>
      </c>
      <c r="H740" s="34" t="s">
        <v>4</v>
      </c>
      <c r="I740" s="30" t="s">
        <v>113</v>
      </c>
      <c r="J740" s="33"/>
      <c r="K740" s="31" t="s">
        <v>116</v>
      </c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ht="15.75" customHeight="1">
      <c r="A741" s="30">
        <f t="shared" ref="A741:A748" si="73">A740+1</f>
        <v>512</v>
      </c>
      <c r="B741" s="31" t="s">
        <v>1864</v>
      </c>
      <c r="C741" s="33" t="s">
        <v>1865</v>
      </c>
      <c r="D741" s="33" t="s">
        <v>1866</v>
      </c>
      <c r="E741" s="30" t="s">
        <v>407</v>
      </c>
      <c r="F741" s="30" t="s">
        <v>1861</v>
      </c>
      <c r="G741" s="30" t="s">
        <v>408</v>
      </c>
      <c r="H741" s="34" t="s">
        <v>4</v>
      </c>
      <c r="I741" s="30" t="s">
        <v>113</v>
      </c>
      <c r="J741" s="33" t="s">
        <v>1867</v>
      </c>
      <c r="K741" s="31" t="s">
        <v>116</v>
      </c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ht="15.75" customHeight="1">
      <c r="A742" s="30">
        <f t="shared" si="73"/>
        <v>513</v>
      </c>
      <c r="B742" s="31" t="s">
        <v>1868</v>
      </c>
      <c r="C742" s="33" t="s">
        <v>1869</v>
      </c>
      <c r="D742" s="33" t="s">
        <v>412</v>
      </c>
      <c r="E742" s="30" t="s">
        <v>407</v>
      </c>
      <c r="F742" s="30" t="s">
        <v>1861</v>
      </c>
      <c r="G742" s="30" t="s">
        <v>413</v>
      </c>
      <c r="H742" s="34" t="s">
        <v>4</v>
      </c>
      <c r="I742" s="30" t="s">
        <v>113</v>
      </c>
      <c r="J742" s="33" t="s">
        <v>1870</v>
      </c>
      <c r="K742" s="31" t="s">
        <v>116</v>
      </c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ht="15.75" customHeight="1">
      <c r="A743" s="30">
        <f t="shared" si="73"/>
        <v>514</v>
      </c>
      <c r="B743" s="31" t="s">
        <v>1871</v>
      </c>
      <c r="C743" s="33" t="s">
        <v>1872</v>
      </c>
      <c r="D743" s="33" t="s">
        <v>1873</v>
      </c>
      <c r="E743" s="30" t="s">
        <v>1</v>
      </c>
      <c r="F743" s="30" t="s">
        <v>1861</v>
      </c>
      <c r="G743" s="30" t="s">
        <v>330</v>
      </c>
      <c r="H743" s="34" t="s">
        <v>4</v>
      </c>
      <c r="I743" s="30" t="s">
        <v>113</v>
      </c>
      <c r="J743" s="33"/>
      <c r="K743" s="31" t="s">
        <v>116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ht="15.75" customHeight="1">
      <c r="A744" s="30">
        <f t="shared" si="73"/>
        <v>515</v>
      </c>
      <c r="B744" s="31" t="s">
        <v>1874</v>
      </c>
      <c r="C744" s="33" t="s">
        <v>1875</v>
      </c>
      <c r="D744" s="33" t="s">
        <v>1394</v>
      </c>
      <c r="E744" s="30" t="s">
        <v>1</v>
      </c>
      <c r="F744" s="30" t="s">
        <v>1861</v>
      </c>
      <c r="G744" s="30" t="s">
        <v>257</v>
      </c>
      <c r="H744" s="34" t="s">
        <v>4</v>
      </c>
      <c r="I744" s="30" t="s">
        <v>113</v>
      </c>
      <c r="J744" s="33"/>
      <c r="K744" s="31" t="s">
        <v>116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ht="15.75" customHeight="1">
      <c r="A745" s="30">
        <f t="shared" si="73"/>
        <v>516</v>
      </c>
      <c r="B745" s="31" t="s">
        <v>1876</v>
      </c>
      <c r="C745" s="33" t="s">
        <v>1877</v>
      </c>
      <c r="D745" s="33" t="s">
        <v>1878</v>
      </c>
      <c r="E745" s="30" t="s">
        <v>1</v>
      </c>
      <c r="F745" s="30" t="s">
        <v>1861</v>
      </c>
      <c r="G745" s="30" t="s">
        <v>257</v>
      </c>
      <c r="H745" s="34" t="s">
        <v>14</v>
      </c>
      <c r="I745" s="30" t="s">
        <v>3</v>
      </c>
      <c r="J745" s="33"/>
      <c r="K745" s="31" t="s">
        <v>116</v>
      </c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</row>
    <row r="746" ht="15.75" customHeight="1">
      <c r="A746" s="30">
        <f t="shared" si="73"/>
        <v>517</v>
      </c>
      <c r="B746" s="31" t="s">
        <v>1879</v>
      </c>
      <c r="C746" s="33" t="s">
        <v>1880</v>
      </c>
      <c r="D746" s="33" t="s">
        <v>1400</v>
      </c>
      <c r="E746" s="30" t="s">
        <v>1</v>
      </c>
      <c r="F746" s="30" t="s">
        <v>1861</v>
      </c>
      <c r="G746" s="30" t="s">
        <v>198</v>
      </c>
      <c r="H746" s="34" t="s">
        <v>4</v>
      </c>
      <c r="I746" s="30" t="s">
        <v>113</v>
      </c>
      <c r="J746" s="33"/>
      <c r="K746" s="31" t="s">
        <v>116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ht="15.75" customHeight="1">
      <c r="A747" s="30">
        <f t="shared" si="73"/>
        <v>518</v>
      </c>
      <c r="B747" s="31" t="s">
        <v>1881</v>
      </c>
      <c r="C747" s="33" t="s">
        <v>1882</v>
      </c>
      <c r="D747" s="33" t="s">
        <v>1883</v>
      </c>
      <c r="E747" s="30" t="s">
        <v>1</v>
      </c>
      <c r="F747" s="30" t="s">
        <v>1861</v>
      </c>
      <c r="G747" s="30" t="s">
        <v>841</v>
      </c>
      <c r="H747" s="34" t="s">
        <v>4</v>
      </c>
      <c r="I747" s="30" t="s">
        <v>113</v>
      </c>
      <c r="J747" s="33"/>
      <c r="K747" s="31" t="s">
        <v>116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ht="15.75" customHeight="1">
      <c r="A748" s="30">
        <f t="shared" si="73"/>
        <v>519</v>
      </c>
      <c r="B748" s="31" t="s">
        <v>1884</v>
      </c>
      <c r="C748" s="33" t="s">
        <v>1885</v>
      </c>
      <c r="D748" s="33" t="s">
        <v>1886</v>
      </c>
      <c r="E748" s="30" t="s">
        <v>1</v>
      </c>
      <c r="F748" s="30" t="s">
        <v>1861</v>
      </c>
      <c r="G748" s="30" t="s">
        <v>272</v>
      </c>
      <c r="H748" s="34" t="s">
        <v>4</v>
      </c>
      <c r="I748" s="30" t="s">
        <v>113</v>
      </c>
      <c r="J748" s="33"/>
      <c r="K748" s="31" t="s">
        <v>116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ht="15.75" customHeight="1">
      <c r="A749" s="50"/>
      <c r="B749" s="7"/>
      <c r="C749" s="51"/>
      <c r="D749" s="51"/>
      <c r="E749" s="50"/>
      <c r="F749" s="50"/>
      <c r="G749" s="50"/>
      <c r="H749" s="52"/>
      <c r="I749" s="50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ht="15.75" customHeight="1">
      <c r="A750" s="23" t="s">
        <v>70</v>
      </c>
      <c r="B750" s="53" t="s">
        <v>73</v>
      </c>
      <c r="C750" s="54" t="s">
        <v>74</v>
      </c>
      <c r="D750" s="54" t="s">
        <v>75</v>
      </c>
      <c r="E750" s="23" t="s">
        <v>76</v>
      </c>
      <c r="F750" s="23" t="s">
        <v>78</v>
      </c>
      <c r="G750" s="23" t="s">
        <v>79</v>
      </c>
      <c r="H750" s="25" t="s">
        <v>81</v>
      </c>
      <c r="I750" s="23" t="s">
        <v>84</v>
      </c>
      <c r="J750" s="53" t="s">
        <v>85</v>
      </c>
      <c r="K750" s="53" t="s">
        <v>86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ht="15.75" customHeight="1">
      <c r="A751" s="29" t="s">
        <v>1887</v>
      </c>
      <c r="B751" s="15"/>
      <c r="C751" s="15"/>
      <c r="D751" s="15"/>
      <c r="E751" s="15"/>
      <c r="F751" s="15"/>
      <c r="G751" s="15"/>
      <c r="H751" s="15"/>
      <c r="I751" s="15"/>
      <c r="J751" s="15"/>
      <c r="K751" s="16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ht="14.25" customHeight="1">
      <c r="A752" s="30">
        <f>A748+1</f>
        <v>520</v>
      </c>
      <c r="B752" s="31" t="s">
        <v>1888</v>
      </c>
      <c r="C752" s="33" t="s">
        <v>1889</v>
      </c>
      <c r="D752" s="33" t="s">
        <v>1890</v>
      </c>
      <c r="E752" s="30" t="s">
        <v>12</v>
      </c>
      <c r="F752" s="30" t="s">
        <v>1153</v>
      </c>
      <c r="G752" s="30" t="s">
        <v>13</v>
      </c>
      <c r="H752" s="34" t="s">
        <v>14</v>
      </c>
      <c r="I752" s="30" t="s">
        <v>3</v>
      </c>
      <c r="J752" s="33"/>
      <c r="K752" s="31" t="s">
        <v>139</v>
      </c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ht="14.25" customHeight="1">
      <c r="A753" s="30">
        <f>A752+1</f>
        <v>521</v>
      </c>
      <c r="B753" s="31" t="s">
        <v>1891</v>
      </c>
      <c r="C753" s="33" t="s">
        <v>1892</v>
      </c>
      <c r="D753" s="33" t="s">
        <v>1893</v>
      </c>
      <c r="E753" s="30" t="s">
        <v>1</v>
      </c>
      <c r="F753" s="30" t="s">
        <v>1888</v>
      </c>
      <c r="G753" s="30" t="s">
        <v>1894</v>
      </c>
      <c r="H753" s="34" t="s">
        <v>4</v>
      </c>
      <c r="I753" s="30" t="s">
        <v>113</v>
      </c>
      <c r="J753" s="33"/>
      <c r="K753" s="31" t="s">
        <v>139</v>
      </c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ht="15.75" customHeight="1">
      <c r="A754" s="50"/>
      <c r="B754" s="7"/>
      <c r="C754" s="51"/>
      <c r="D754" s="51"/>
      <c r="E754" s="50"/>
      <c r="F754" s="50"/>
      <c r="G754" s="50"/>
      <c r="H754" s="52"/>
      <c r="I754" s="50"/>
      <c r="J754" s="51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ht="15.75" customHeight="1">
      <c r="A755" s="23" t="s">
        <v>70</v>
      </c>
      <c r="B755" s="53" t="s">
        <v>73</v>
      </c>
      <c r="C755" s="54" t="s">
        <v>74</v>
      </c>
      <c r="D755" s="54" t="s">
        <v>75</v>
      </c>
      <c r="E755" s="23" t="s">
        <v>76</v>
      </c>
      <c r="F755" s="23" t="s">
        <v>78</v>
      </c>
      <c r="G755" s="23" t="s">
        <v>79</v>
      </c>
      <c r="H755" s="25" t="s">
        <v>81</v>
      </c>
      <c r="I755" s="23" t="s">
        <v>84</v>
      </c>
      <c r="J755" s="53" t="s">
        <v>85</v>
      </c>
      <c r="K755" s="53" t="s">
        <v>86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ht="15.75" customHeight="1">
      <c r="A756" s="29" t="s">
        <v>1895</v>
      </c>
      <c r="B756" s="15"/>
      <c r="C756" s="15"/>
      <c r="D756" s="15"/>
      <c r="E756" s="15"/>
      <c r="F756" s="15"/>
      <c r="G756" s="15"/>
      <c r="H756" s="15"/>
      <c r="I756" s="15"/>
      <c r="J756" s="15"/>
      <c r="K756" s="16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ht="14.25" customHeight="1">
      <c r="A757" s="30">
        <f>A753+1</f>
        <v>522</v>
      </c>
      <c r="B757" s="31" t="s">
        <v>1896</v>
      </c>
      <c r="C757" s="33" t="s">
        <v>1897</v>
      </c>
      <c r="D757" s="33" t="s">
        <v>1898</v>
      </c>
      <c r="E757" s="30" t="s">
        <v>12</v>
      </c>
      <c r="F757" s="30" t="s">
        <v>1153</v>
      </c>
      <c r="G757" s="30" t="s">
        <v>13</v>
      </c>
      <c r="H757" s="34" t="s">
        <v>14</v>
      </c>
      <c r="I757" s="30" t="s">
        <v>3</v>
      </c>
      <c r="J757" s="33"/>
      <c r="K757" s="31" t="s">
        <v>139</v>
      </c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</row>
    <row r="758" ht="15.75" customHeight="1">
      <c r="A758" s="30">
        <f t="shared" ref="A758:A759" si="74">A757+1</f>
        <v>523</v>
      </c>
      <c r="B758" s="31" t="s">
        <v>1899</v>
      </c>
      <c r="C758" s="33" t="s">
        <v>1900</v>
      </c>
      <c r="D758" s="33"/>
      <c r="E758" s="30" t="s">
        <v>12</v>
      </c>
      <c r="F758" s="30" t="s">
        <v>1896</v>
      </c>
      <c r="G758" s="30" t="s">
        <v>13</v>
      </c>
      <c r="H758" s="34" t="s">
        <v>4</v>
      </c>
      <c r="I758" s="30" t="s">
        <v>113</v>
      </c>
      <c r="J758" s="114" t="s">
        <v>392</v>
      </c>
      <c r="K758" s="31" t="s">
        <v>139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ht="15.75" customHeight="1">
      <c r="A759" s="30">
        <f t="shared" si="74"/>
        <v>524</v>
      </c>
      <c r="B759" s="31" t="s">
        <v>1901</v>
      </c>
      <c r="C759" s="33" t="s">
        <v>1902</v>
      </c>
      <c r="D759" s="33" t="s">
        <v>1903</v>
      </c>
      <c r="E759" s="30" t="s">
        <v>1</v>
      </c>
      <c r="F759" s="30" t="s">
        <v>1899</v>
      </c>
      <c r="G759" s="30" t="s">
        <v>174</v>
      </c>
      <c r="H759" s="34" t="s">
        <v>4</v>
      </c>
      <c r="I759" s="30" t="s">
        <v>113</v>
      </c>
      <c r="J759" s="33"/>
      <c r="K759" s="31" t="s">
        <v>139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ht="15.75" customHeight="1">
      <c r="A760" s="50"/>
      <c r="B760" s="7"/>
      <c r="C760" s="51"/>
      <c r="D760" s="51"/>
      <c r="E760" s="50"/>
      <c r="F760" s="50"/>
      <c r="G760" s="50"/>
      <c r="H760" s="52"/>
      <c r="I760" s="50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ht="15.75" customHeight="1">
      <c r="A761" s="23" t="s">
        <v>70</v>
      </c>
      <c r="B761" s="53" t="s">
        <v>73</v>
      </c>
      <c r="C761" s="54" t="s">
        <v>74</v>
      </c>
      <c r="D761" s="54" t="s">
        <v>75</v>
      </c>
      <c r="E761" s="23" t="s">
        <v>76</v>
      </c>
      <c r="F761" s="23" t="s">
        <v>78</v>
      </c>
      <c r="G761" s="23" t="s">
        <v>79</v>
      </c>
      <c r="H761" s="25" t="s">
        <v>81</v>
      </c>
      <c r="I761" s="23" t="s">
        <v>84</v>
      </c>
      <c r="J761" s="53" t="s">
        <v>85</v>
      </c>
      <c r="K761" s="53" t="s">
        <v>86</v>
      </c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ht="15.75" customHeight="1">
      <c r="A762" s="29" t="s">
        <v>1904</v>
      </c>
      <c r="B762" s="15"/>
      <c r="C762" s="15"/>
      <c r="D762" s="15"/>
      <c r="E762" s="15"/>
      <c r="F762" s="15"/>
      <c r="G762" s="15"/>
      <c r="H762" s="15"/>
      <c r="I762" s="15"/>
      <c r="J762" s="15"/>
      <c r="K762" s="16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</row>
    <row r="763" ht="14.25" customHeight="1">
      <c r="A763" s="30">
        <f>A759+1</f>
        <v>525</v>
      </c>
      <c r="B763" s="31" t="s">
        <v>1905</v>
      </c>
      <c r="C763" s="33" t="s">
        <v>1906</v>
      </c>
      <c r="D763" s="33" t="s">
        <v>1907</v>
      </c>
      <c r="E763" s="30" t="s">
        <v>1156</v>
      </c>
      <c r="F763" s="30" t="s">
        <v>99</v>
      </c>
      <c r="G763" s="30" t="s">
        <v>13</v>
      </c>
      <c r="H763" s="34" t="s">
        <v>4</v>
      </c>
      <c r="I763" s="30" t="s">
        <v>113</v>
      </c>
      <c r="J763" s="33"/>
      <c r="K763" s="31" t="s">
        <v>116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ht="15.75" customHeight="1">
      <c r="A764" s="30">
        <f>A763+1</f>
        <v>526</v>
      </c>
      <c r="B764" s="31" t="s">
        <v>1908</v>
      </c>
      <c r="C764" s="33" t="s">
        <v>1909</v>
      </c>
      <c r="D764" s="33" t="s">
        <v>1910</v>
      </c>
      <c r="E764" s="30" t="s">
        <v>1</v>
      </c>
      <c r="F764" s="30" t="s">
        <v>1905</v>
      </c>
      <c r="G764" s="30" t="s">
        <v>174</v>
      </c>
      <c r="H764" s="34" t="s">
        <v>4</v>
      </c>
      <c r="I764" s="30" t="s">
        <v>113</v>
      </c>
      <c r="J764" s="33"/>
      <c r="K764" s="31" t="s">
        <v>116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ht="15.75" customHeight="1">
      <c r="A765" s="50"/>
      <c r="B765" s="7"/>
      <c r="C765" s="51"/>
      <c r="D765" s="51"/>
      <c r="E765" s="50"/>
      <c r="F765" s="50"/>
      <c r="G765" s="50"/>
      <c r="H765" s="52"/>
      <c r="I765" s="50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ht="15.75" customHeight="1">
      <c r="A766" s="23" t="s">
        <v>70</v>
      </c>
      <c r="B766" s="53" t="s">
        <v>73</v>
      </c>
      <c r="C766" s="54" t="s">
        <v>74</v>
      </c>
      <c r="D766" s="54" t="s">
        <v>75</v>
      </c>
      <c r="E766" s="23" t="s">
        <v>76</v>
      </c>
      <c r="F766" s="23" t="s">
        <v>78</v>
      </c>
      <c r="G766" s="23" t="s">
        <v>79</v>
      </c>
      <c r="H766" s="25" t="s">
        <v>81</v>
      </c>
      <c r="I766" s="23" t="s">
        <v>84</v>
      </c>
      <c r="J766" s="53" t="s">
        <v>85</v>
      </c>
      <c r="K766" s="53" t="s">
        <v>86</v>
      </c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ht="15.75" customHeight="1">
      <c r="A767" s="29" t="s">
        <v>1911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16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ht="14.25" customHeight="1">
      <c r="A768" s="30">
        <f>A764+1</f>
        <v>527</v>
      </c>
      <c r="B768" s="31" t="s">
        <v>1129</v>
      </c>
      <c r="C768" s="33" t="s">
        <v>1912</v>
      </c>
      <c r="D768" s="33" t="s">
        <v>1913</v>
      </c>
      <c r="E768" s="30" t="s">
        <v>1156</v>
      </c>
      <c r="F768" s="30" t="s">
        <v>99</v>
      </c>
      <c r="G768" s="30" t="s">
        <v>13</v>
      </c>
      <c r="H768" s="34" t="s">
        <v>4</v>
      </c>
      <c r="I768" s="30" t="s">
        <v>113</v>
      </c>
      <c r="J768" s="33"/>
      <c r="K768" s="31" t="s">
        <v>116</v>
      </c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ht="14.25" customHeight="1">
      <c r="A769" s="30">
        <f t="shared" ref="A769:A770" si="75">A768+1</f>
        <v>528</v>
      </c>
      <c r="B769" s="31" t="s">
        <v>1914</v>
      </c>
      <c r="C769" s="33" t="s">
        <v>1915</v>
      </c>
      <c r="D769" s="33" t="s">
        <v>1916</v>
      </c>
      <c r="E769" s="30" t="s">
        <v>1</v>
      </c>
      <c r="F769" s="30" t="s">
        <v>1129</v>
      </c>
      <c r="G769" s="30" t="s">
        <v>174</v>
      </c>
      <c r="H769" s="34" t="s">
        <v>4</v>
      </c>
      <c r="I769" s="30" t="s">
        <v>113</v>
      </c>
      <c r="J769" s="33"/>
      <c r="K769" s="31" t="s">
        <v>116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ht="14.25" customHeight="1">
      <c r="A770" s="30">
        <f t="shared" si="75"/>
        <v>529</v>
      </c>
      <c r="B770" s="31" t="s">
        <v>1917</v>
      </c>
      <c r="C770" s="33" t="s">
        <v>1918</v>
      </c>
      <c r="D770" s="33" t="s">
        <v>1919</v>
      </c>
      <c r="E770" s="30" t="s">
        <v>1</v>
      </c>
      <c r="F770" s="30" t="s">
        <v>1129</v>
      </c>
      <c r="G770" s="30" t="s">
        <v>272</v>
      </c>
      <c r="H770" s="34" t="s">
        <v>4</v>
      </c>
      <c r="I770" s="30" t="s">
        <v>113</v>
      </c>
      <c r="J770" s="33"/>
      <c r="K770" s="31" t="s">
        <v>116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ht="15.75" customHeight="1">
      <c r="A771" s="50"/>
      <c r="B771" s="7"/>
      <c r="C771" s="51"/>
      <c r="D771" s="51"/>
      <c r="E771" s="50"/>
      <c r="F771" s="50"/>
      <c r="G771" s="50"/>
      <c r="H771" s="52"/>
      <c r="I771" s="50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ht="15.75" customHeight="1">
      <c r="A772" s="23" t="s">
        <v>70</v>
      </c>
      <c r="B772" s="53" t="s">
        <v>73</v>
      </c>
      <c r="C772" s="54" t="s">
        <v>74</v>
      </c>
      <c r="D772" s="54" t="s">
        <v>75</v>
      </c>
      <c r="E772" s="23" t="s">
        <v>76</v>
      </c>
      <c r="F772" s="23" t="s">
        <v>78</v>
      </c>
      <c r="G772" s="23" t="s">
        <v>79</v>
      </c>
      <c r="H772" s="25" t="s">
        <v>81</v>
      </c>
      <c r="I772" s="23" t="s">
        <v>84</v>
      </c>
      <c r="J772" s="53" t="s">
        <v>85</v>
      </c>
      <c r="K772" s="53" t="s">
        <v>86</v>
      </c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ht="15.75" customHeight="1">
      <c r="A773" s="29" t="s">
        <v>1920</v>
      </c>
      <c r="B773" s="15"/>
      <c r="C773" s="15"/>
      <c r="D773" s="15"/>
      <c r="E773" s="15"/>
      <c r="F773" s="15"/>
      <c r="G773" s="15"/>
      <c r="H773" s="15"/>
      <c r="I773" s="15"/>
      <c r="J773" s="15"/>
      <c r="K773" s="16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ht="14.25" customHeight="1">
      <c r="A774" s="30">
        <f>A770+1</f>
        <v>530</v>
      </c>
      <c r="B774" s="31" t="s">
        <v>1921</v>
      </c>
      <c r="C774" s="33" t="s">
        <v>1922</v>
      </c>
      <c r="D774" s="33" t="s">
        <v>1923</v>
      </c>
      <c r="E774" s="30" t="s">
        <v>12</v>
      </c>
      <c r="F774" s="30" t="s">
        <v>99</v>
      </c>
      <c r="G774" s="30" t="s">
        <v>13</v>
      </c>
      <c r="H774" s="34" t="s">
        <v>14</v>
      </c>
      <c r="I774" s="30" t="s">
        <v>3</v>
      </c>
      <c r="J774" s="33" t="s">
        <v>1924</v>
      </c>
      <c r="K774" s="31" t="s">
        <v>116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ht="15.75" customHeight="1">
      <c r="A775" s="30">
        <f t="shared" ref="A775:A777" si="76">A774+1</f>
        <v>531</v>
      </c>
      <c r="B775" s="31" t="s">
        <v>1925</v>
      </c>
      <c r="C775" s="33" t="s">
        <v>1926</v>
      </c>
      <c r="D775" s="33"/>
      <c r="E775" s="30" t="s">
        <v>12</v>
      </c>
      <c r="F775" s="30" t="s">
        <v>1921</v>
      </c>
      <c r="G775" s="30" t="s">
        <v>13</v>
      </c>
      <c r="H775" s="34" t="s">
        <v>1927</v>
      </c>
      <c r="I775" s="30" t="s">
        <v>3</v>
      </c>
      <c r="J775" s="114" t="s">
        <v>392</v>
      </c>
      <c r="K775" s="31" t="s">
        <v>116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ht="15.75" customHeight="1">
      <c r="A776" s="30">
        <f t="shared" si="76"/>
        <v>532</v>
      </c>
      <c r="B776" s="31" t="s">
        <v>1928</v>
      </c>
      <c r="C776" s="33" t="s">
        <v>1929</v>
      </c>
      <c r="D776" s="33" t="s">
        <v>1930</v>
      </c>
      <c r="E776" s="30" t="s">
        <v>407</v>
      </c>
      <c r="F776" s="30" t="s">
        <v>1925</v>
      </c>
      <c r="G776" s="30" t="s">
        <v>408</v>
      </c>
      <c r="H776" s="34" t="s">
        <v>4</v>
      </c>
      <c r="I776" s="30" t="s">
        <v>113</v>
      </c>
      <c r="J776" s="33" t="s">
        <v>608</v>
      </c>
      <c r="K776" s="31" t="s">
        <v>116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ht="15.75" customHeight="1">
      <c r="A777" s="30">
        <f t="shared" si="76"/>
        <v>533</v>
      </c>
      <c r="B777" s="31" t="s">
        <v>1931</v>
      </c>
      <c r="C777" s="33" t="s">
        <v>1932</v>
      </c>
      <c r="D777" s="33" t="s">
        <v>1933</v>
      </c>
      <c r="E777" s="30" t="s">
        <v>407</v>
      </c>
      <c r="F777" s="30" t="s">
        <v>1925</v>
      </c>
      <c r="G777" s="30" t="s">
        <v>413</v>
      </c>
      <c r="H777" s="34" t="s">
        <v>4</v>
      </c>
      <c r="I777" s="30" t="s">
        <v>113</v>
      </c>
      <c r="J777" s="33" t="s">
        <v>608</v>
      </c>
      <c r="K777" s="31" t="s">
        <v>116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ht="15.75" customHeight="1">
      <c r="A778" s="50"/>
      <c r="B778" s="7"/>
      <c r="C778" s="51"/>
      <c r="D778" s="51"/>
      <c r="E778" s="50"/>
      <c r="F778" s="50"/>
      <c r="G778" s="50"/>
      <c r="H778" s="52"/>
      <c r="I778" s="50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ht="15.75" customHeight="1">
      <c r="A779" s="23" t="s">
        <v>70</v>
      </c>
      <c r="B779" s="53" t="s">
        <v>73</v>
      </c>
      <c r="C779" s="54" t="s">
        <v>74</v>
      </c>
      <c r="D779" s="54" t="s">
        <v>75</v>
      </c>
      <c r="E779" s="23" t="s">
        <v>76</v>
      </c>
      <c r="F779" s="23" t="s">
        <v>78</v>
      </c>
      <c r="G779" s="23" t="s">
        <v>79</v>
      </c>
      <c r="H779" s="25" t="s">
        <v>81</v>
      </c>
      <c r="I779" s="23" t="s">
        <v>84</v>
      </c>
      <c r="J779" s="53" t="s">
        <v>85</v>
      </c>
      <c r="K779" s="53" t="s">
        <v>86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ht="14.25" customHeight="1">
      <c r="A780" s="125" t="s">
        <v>1934</v>
      </c>
      <c r="B780" s="15"/>
      <c r="C780" s="15"/>
      <c r="D780" s="15"/>
      <c r="E780" s="15"/>
      <c r="F780" s="15"/>
      <c r="G780" s="15"/>
      <c r="H780" s="15"/>
      <c r="I780" s="15"/>
      <c r="J780" s="15"/>
      <c r="K780" s="16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ht="14.25" customHeight="1">
      <c r="A781" s="36">
        <f>A777+1</f>
        <v>534</v>
      </c>
      <c r="B781" s="37" t="s">
        <v>1935</v>
      </c>
      <c r="C781" s="38" t="s">
        <v>1936</v>
      </c>
      <c r="D781" s="38" t="s">
        <v>1937</v>
      </c>
      <c r="E781" s="36" t="s">
        <v>12</v>
      </c>
      <c r="F781" s="36" t="s">
        <v>99</v>
      </c>
      <c r="G781" s="36" t="s">
        <v>13</v>
      </c>
      <c r="H781" s="40" t="s">
        <v>14</v>
      </c>
      <c r="I781" s="36" t="s">
        <v>3</v>
      </c>
      <c r="J781" s="38"/>
      <c r="K781" s="37" t="s">
        <v>139</v>
      </c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ht="14.25" customHeight="1">
      <c r="A782" s="36">
        <f t="shared" ref="A782:A787" si="77">A781+1</f>
        <v>535</v>
      </c>
      <c r="B782" s="37" t="s">
        <v>1938</v>
      </c>
      <c r="C782" s="38" t="s">
        <v>1939</v>
      </c>
      <c r="D782" s="38" t="s">
        <v>1940</v>
      </c>
      <c r="E782" s="36" t="s">
        <v>1</v>
      </c>
      <c r="F782" s="36" t="s">
        <v>1935</v>
      </c>
      <c r="G782" s="36" t="s">
        <v>408</v>
      </c>
      <c r="H782" s="40" t="s">
        <v>4</v>
      </c>
      <c r="I782" s="36" t="s">
        <v>113</v>
      </c>
      <c r="J782" s="38" t="s">
        <v>608</v>
      </c>
      <c r="K782" s="37" t="s">
        <v>139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ht="14.25" customHeight="1">
      <c r="A783" s="36">
        <f t="shared" si="77"/>
        <v>536</v>
      </c>
      <c r="B783" s="37" t="s">
        <v>1941</v>
      </c>
      <c r="C783" s="38" t="s">
        <v>1942</v>
      </c>
      <c r="D783" s="38" t="s">
        <v>1943</v>
      </c>
      <c r="E783" s="36" t="s">
        <v>1</v>
      </c>
      <c r="F783" s="36" t="s">
        <v>1935</v>
      </c>
      <c r="G783" s="36" t="s">
        <v>229</v>
      </c>
      <c r="H783" s="40" t="s">
        <v>4</v>
      </c>
      <c r="I783" s="36" t="s">
        <v>113</v>
      </c>
      <c r="J783" s="38"/>
      <c r="K783" s="37" t="s">
        <v>139</v>
      </c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ht="15.75" customHeight="1">
      <c r="A784" s="36">
        <f t="shared" si="77"/>
        <v>537</v>
      </c>
      <c r="B784" s="37" t="s">
        <v>1944</v>
      </c>
      <c r="C784" s="38" t="s">
        <v>1945</v>
      </c>
      <c r="D784" s="38" t="s">
        <v>1946</v>
      </c>
      <c r="E784" s="36" t="s">
        <v>1</v>
      </c>
      <c r="F784" s="36" t="s">
        <v>1935</v>
      </c>
      <c r="G784" s="36" t="s">
        <v>229</v>
      </c>
      <c r="H784" s="40" t="s">
        <v>4</v>
      </c>
      <c r="I784" s="36" t="s">
        <v>113</v>
      </c>
      <c r="J784" s="38"/>
      <c r="K784" s="37" t="s">
        <v>139</v>
      </c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ht="14.25" customHeight="1">
      <c r="A785" s="36">
        <f t="shared" si="77"/>
        <v>538</v>
      </c>
      <c r="B785" s="37" t="s">
        <v>1947</v>
      </c>
      <c r="C785" s="38" t="s">
        <v>1948</v>
      </c>
      <c r="D785" s="38" t="s">
        <v>1949</v>
      </c>
      <c r="E785" s="36" t="s">
        <v>1</v>
      </c>
      <c r="F785" s="36" t="s">
        <v>1935</v>
      </c>
      <c r="G785" s="36" t="s">
        <v>1950</v>
      </c>
      <c r="H785" s="40" t="s">
        <v>4</v>
      </c>
      <c r="I785" s="36" t="s">
        <v>113</v>
      </c>
      <c r="J785" s="38"/>
      <c r="K785" s="37" t="s">
        <v>139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ht="14.25" customHeight="1">
      <c r="A786" s="36">
        <f t="shared" si="77"/>
        <v>539</v>
      </c>
      <c r="B786" s="37" t="s">
        <v>1951</v>
      </c>
      <c r="C786" s="38" t="s">
        <v>1952</v>
      </c>
      <c r="D786" s="38" t="s">
        <v>1146</v>
      </c>
      <c r="E786" s="36" t="s">
        <v>1</v>
      </c>
      <c r="F786" s="36" t="s">
        <v>1935</v>
      </c>
      <c r="G786" s="36" t="s">
        <v>157</v>
      </c>
      <c r="H786" s="40" t="s">
        <v>4</v>
      </c>
      <c r="I786" s="36" t="s">
        <v>113</v>
      </c>
      <c r="J786" s="38"/>
      <c r="K786" s="37" t="s">
        <v>139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ht="14.25" customHeight="1">
      <c r="A787" s="36">
        <f t="shared" si="77"/>
        <v>540</v>
      </c>
      <c r="B787" s="37" t="s">
        <v>1953</v>
      </c>
      <c r="C787" s="38" t="s">
        <v>1954</v>
      </c>
      <c r="D787" s="38" t="s">
        <v>1150</v>
      </c>
      <c r="E787" s="36" t="s">
        <v>1</v>
      </c>
      <c r="F787" s="36" t="s">
        <v>1935</v>
      </c>
      <c r="G787" s="36" t="s">
        <v>1955</v>
      </c>
      <c r="H787" s="40" t="s">
        <v>4</v>
      </c>
      <c r="I787" s="36" t="s">
        <v>113</v>
      </c>
      <c r="J787" s="38" t="s">
        <v>1956</v>
      </c>
      <c r="K787" s="37" t="s">
        <v>139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ht="15.75" customHeight="1">
      <c r="A788" s="50"/>
      <c r="B788" s="7"/>
      <c r="C788" s="51"/>
      <c r="D788" s="51"/>
      <c r="E788" s="50"/>
      <c r="F788" s="50"/>
      <c r="G788" s="50"/>
      <c r="H788" s="52"/>
      <c r="I788" s="50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ht="15.75" customHeight="1">
      <c r="A789" s="50"/>
      <c r="B789" s="7"/>
      <c r="C789" s="51"/>
      <c r="D789" s="51"/>
      <c r="E789" s="50"/>
      <c r="F789" s="50"/>
      <c r="G789" s="50"/>
      <c r="H789" s="52"/>
      <c r="I789" s="50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ht="15.75" customHeight="1">
      <c r="A790" s="50"/>
      <c r="B790" s="7"/>
      <c r="C790" s="51"/>
      <c r="D790" s="51"/>
      <c r="E790" s="50"/>
      <c r="F790" s="50"/>
      <c r="G790" s="50"/>
      <c r="H790" s="52"/>
      <c r="I790" s="50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ht="15.75" customHeight="1">
      <c r="A791" s="50"/>
      <c r="B791" s="7"/>
      <c r="C791" s="51"/>
      <c r="D791" s="51"/>
      <c r="E791" s="50"/>
      <c r="F791" s="50"/>
      <c r="G791" s="50"/>
      <c r="H791" s="52"/>
      <c r="I791" s="50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ht="15.75" customHeight="1">
      <c r="A792" s="50"/>
      <c r="B792" s="7"/>
      <c r="C792" s="51"/>
      <c r="D792" s="51"/>
      <c r="E792" s="50"/>
      <c r="F792" s="50"/>
      <c r="G792" s="50"/>
      <c r="H792" s="52"/>
      <c r="I792" s="50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ht="15.75" customHeight="1">
      <c r="A793" s="50"/>
      <c r="B793" s="7"/>
      <c r="C793" s="51"/>
      <c r="D793" s="51"/>
      <c r="E793" s="50"/>
      <c r="F793" s="50"/>
      <c r="G793" s="50"/>
      <c r="H793" s="52"/>
      <c r="I793" s="50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ht="15.75" customHeight="1">
      <c r="A794" s="50"/>
      <c r="B794" s="7"/>
      <c r="C794" s="51"/>
      <c r="D794" s="51"/>
      <c r="E794" s="50"/>
      <c r="F794" s="50"/>
      <c r="G794" s="50"/>
      <c r="H794" s="52"/>
      <c r="I794" s="50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ht="15.75" customHeight="1">
      <c r="A795" s="50"/>
      <c r="B795" s="7"/>
      <c r="C795" s="51"/>
      <c r="D795" s="51"/>
      <c r="E795" s="50"/>
      <c r="F795" s="50"/>
      <c r="G795" s="50"/>
      <c r="H795" s="52"/>
      <c r="I795" s="50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ht="15.75" customHeight="1">
      <c r="A796" s="50"/>
      <c r="B796" s="7"/>
      <c r="C796" s="51"/>
      <c r="D796" s="51"/>
      <c r="E796" s="50"/>
      <c r="F796" s="50"/>
      <c r="G796" s="50"/>
      <c r="H796" s="52"/>
      <c r="I796" s="50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ht="15.75" customHeight="1">
      <c r="A797" s="50"/>
      <c r="B797" s="7"/>
      <c r="C797" s="51"/>
      <c r="D797" s="51"/>
      <c r="E797" s="50"/>
      <c r="F797" s="50"/>
      <c r="G797" s="50"/>
      <c r="H797" s="52"/>
      <c r="I797" s="50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ht="15.75" customHeight="1">
      <c r="A798" s="50"/>
      <c r="B798" s="7"/>
      <c r="C798" s="51"/>
      <c r="D798" s="51"/>
      <c r="E798" s="50"/>
      <c r="F798" s="50"/>
      <c r="G798" s="50"/>
      <c r="H798" s="52"/>
      <c r="I798" s="50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ht="15.75" customHeight="1">
      <c r="A799" s="50"/>
      <c r="B799" s="7"/>
      <c r="C799" s="51"/>
      <c r="D799" s="51"/>
      <c r="E799" s="50"/>
      <c r="F799" s="50"/>
      <c r="G799" s="50"/>
      <c r="H799" s="52"/>
      <c r="I799" s="50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ht="15.75" customHeight="1">
      <c r="A800" s="50"/>
      <c r="B800" s="7"/>
      <c r="C800" s="51"/>
      <c r="D800" s="51"/>
      <c r="E800" s="50"/>
      <c r="F800" s="50"/>
      <c r="G800" s="50"/>
      <c r="H800" s="52"/>
      <c r="I800" s="50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ht="15.75" customHeight="1">
      <c r="A801" s="50"/>
      <c r="B801" s="7"/>
      <c r="C801" s="51"/>
      <c r="D801" s="51"/>
      <c r="E801" s="50"/>
      <c r="F801" s="50"/>
      <c r="G801" s="50"/>
      <c r="H801" s="52"/>
      <c r="I801" s="50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ht="15.75" customHeight="1">
      <c r="A802" s="50"/>
      <c r="B802" s="7"/>
      <c r="C802" s="51"/>
      <c r="D802" s="51"/>
      <c r="E802" s="50"/>
      <c r="F802" s="50"/>
      <c r="G802" s="50"/>
      <c r="H802" s="52"/>
      <c r="I802" s="50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ht="15.75" customHeight="1">
      <c r="A803" s="50"/>
      <c r="B803" s="7"/>
      <c r="C803" s="51"/>
      <c r="D803" s="51"/>
      <c r="E803" s="50"/>
      <c r="F803" s="50"/>
      <c r="G803" s="50"/>
      <c r="H803" s="52"/>
      <c r="I803" s="50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ht="15.75" customHeight="1">
      <c r="A804" s="50"/>
      <c r="B804" s="7"/>
      <c r="C804" s="51"/>
      <c r="D804" s="51"/>
      <c r="E804" s="50"/>
      <c r="F804" s="50"/>
      <c r="G804" s="50"/>
      <c r="H804" s="52"/>
      <c r="I804" s="50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ht="15.75" customHeight="1">
      <c r="A805" s="50"/>
      <c r="B805" s="7"/>
      <c r="C805" s="51"/>
      <c r="D805" s="51"/>
      <c r="E805" s="50"/>
      <c r="F805" s="50"/>
      <c r="G805" s="50"/>
      <c r="H805" s="52"/>
      <c r="I805" s="50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ht="15.75" customHeight="1">
      <c r="A806" s="50"/>
      <c r="B806" s="7"/>
      <c r="C806" s="51"/>
      <c r="D806" s="51"/>
      <c r="E806" s="50"/>
      <c r="F806" s="50"/>
      <c r="G806" s="50"/>
      <c r="H806" s="52"/>
      <c r="I806" s="50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ht="15.75" customHeight="1">
      <c r="A807" s="50"/>
      <c r="B807" s="7"/>
      <c r="C807" s="51"/>
      <c r="D807" s="51"/>
      <c r="E807" s="50"/>
      <c r="F807" s="50"/>
      <c r="G807" s="50"/>
      <c r="H807" s="52"/>
      <c r="I807" s="50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ht="15.75" customHeight="1">
      <c r="A808" s="50"/>
      <c r="B808" s="7"/>
      <c r="C808" s="51"/>
      <c r="D808" s="51"/>
      <c r="E808" s="50"/>
      <c r="F808" s="50"/>
      <c r="G808" s="50"/>
      <c r="H808" s="52"/>
      <c r="I808" s="50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ht="15.75" customHeight="1">
      <c r="A809" s="50"/>
      <c r="B809" s="7"/>
      <c r="C809" s="51"/>
      <c r="D809" s="51"/>
      <c r="E809" s="50"/>
      <c r="F809" s="50"/>
      <c r="G809" s="50"/>
      <c r="H809" s="52"/>
      <c r="I809" s="50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ht="15.75" customHeight="1">
      <c r="A810" s="50"/>
      <c r="B810" s="7"/>
      <c r="C810" s="51"/>
      <c r="D810" s="51"/>
      <c r="E810" s="50"/>
      <c r="F810" s="50"/>
      <c r="G810" s="50"/>
      <c r="H810" s="52"/>
      <c r="I810" s="50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ht="15.75" customHeight="1">
      <c r="A811" s="50"/>
      <c r="B811" s="7"/>
      <c r="C811" s="51"/>
      <c r="D811" s="51"/>
      <c r="E811" s="50"/>
      <c r="F811" s="50"/>
      <c r="G811" s="50"/>
      <c r="H811" s="52"/>
      <c r="I811" s="50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ht="15.75" customHeight="1">
      <c r="A812" s="50"/>
      <c r="B812" s="7"/>
      <c r="C812" s="51"/>
      <c r="D812" s="51"/>
      <c r="E812" s="50"/>
      <c r="F812" s="50"/>
      <c r="G812" s="50"/>
      <c r="H812" s="52"/>
      <c r="I812" s="50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ht="15.75" customHeight="1">
      <c r="A813" s="50"/>
      <c r="B813" s="7"/>
      <c r="C813" s="51"/>
      <c r="D813" s="51"/>
      <c r="E813" s="50"/>
      <c r="F813" s="50"/>
      <c r="G813" s="50"/>
      <c r="H813" s="52"/>
      <c r="I813" s="50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ht="15.75" customHeight="1">
      <c r="A814" s="50"/>
      <c r="B814" s="7"/>
      <c r="C814" s="51"/>
      <c r="D814" s="51"/>
      <c r="E814" s="50"/>
      <c r="F814" s="50"/>
      <c r="G814" s="50"/>
      <c r="H814" s="52"/>
      <c r="I814" s="50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ht="15.75" customHeight="1">
      <c r="A815" s="50"/>
      <c r="B815" s="7"/>
      <c r="C815" s="51"/>
      <c r="D815" s="51"/>
      <c r="E815" s="50"/>
      <c r="F815" s="50"/>
      <c r="G815" s="50"/>
      <c r="H815" s="52"/>
      <c r="I815" s="50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ht="15.75" customHeight="1">
      <c r="A816" s="50"/>
      <c r="B816" s="7"/>
      <c r="C816" s="51"/>
      <c r="D816" s="51"/>
      <c r="E816" s="50"/>
      <c r="F816" s="50"/>
      <c r="G816" s="50"/>
      <c r="H816" s="52"/>
      <c r="I816" s="50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ht="15.75" customHeight="1">
      <c r="A817" s="50"/>
      <c r="B817" s="7"/>
      <c r="C817" s="51"/>
      <c r="D817" s="51"/>
      <c r="E817" s="50"/>
      <c r="F817" s="50"/>
      <c r="G817" s="50"/>
      <c r="H817" s="52"/>
      <c r="I817" s="50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ht="15.75" customHeight="1">
      <c r="A818" s="50"/>
      <c r="B818" s="7"/>
      <c r="C818" s="51"/>
      <c r="D818" s="51"/>
      <c r="E818" s="50"/>
      <c r="F818" s="50"/>
      <c r="G818" s="50"/>
      <c r="H818" s="52"/>
      <c r="I818" s="50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ht="15.75" customHeight="1">
      <c r="A819" s="50"/>
      <c r="B819" s="7"/>
      <c r="C819" s="51"/>
      <c r="D819" s="51"/>
      <c r="E819" s="50"/>
      <c r="F819" s="50"/>
      <c r="G819" s="50"/>
      <c r="H819" s="52"/>
      <c r="I819" s="50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ht="15.75" customHeight="1">
      <c r="A820" s="50"/>
      <c r="B820" s="7"/>
      <c r="C820" s="51"/>
      <c r="D820" s="51"/>
      <c r="E820" s="50"/>
      <c r="F820" s="50"/>
      <c r="G820" s="50"/>
      <c r="H820" s="52"/>
      <c r="I820" s="50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ht="15.75" customHeight="1">
      <c r="A821" s="50"/>
      <c r="B821" s="7"/>
      <c r="C821" s="51"/>
      <c r="D821" s="51"/>
      <c r="E821" s="50"/>
      <c r="F821" s="50"/>
      <c r="G821" s="50"/>
      <c r="H821" s="52"/>
      <c r="I821" s="50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ht="15.75" customHeight="1">
      <c r="A822" s="50"/>
      <c r="B822" s="7"/>
      <c r="C822" s="51"/>
      <c r="D822" s="51"/>
      <c r="E822" s="50"/>
      <c r="F822" s="50"/>
      <c r="G822" s="50"/>
      <c r="H822" s="52"/>
      <c r="I822" s="50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ht="15.75" customHeight="1">
      <c r="A823" s="50"/>
      <c r="B823" s="7"/>
      <c r="C823" s="51"/>
      <c r="D823" s="51"/>
      <c r="E823" s="50"/>
      <c r="F823" s="50"/>
      <c r="G823" s="50"/>
      <c r="H823" s="52"/>
      <c r="I823" s="50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ht="15.75" customHeight="1">
      <c r="A824" s="50"/>
      <c r="B824" s="7"/>
      <c r="C824" s="51"/>
      <c r="D824" s="51"/>
      <c r="E824" s="50"/>
      <c r="F824" s="50"/>
      <c r="G824" s="50"/>
      <c r="H824" s="52"/>
      <c r="I824" s="50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ht="15.75" customHeight="1">
      <c r="A825" s="50"/>
      <c r="B825" s="7"/>
      <c r="C825" s="51"/>
      <c r="D825" s="51"/>
      <c r="E825" s="50"/>
      <c r="F825" s="50"/>
      <c r="G825" s="50"/>
      <c r="H825" s="52"/>
      <c r="I825" s="50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ht="15.75" customHeight="1">
      <c r="A826" s="50"/>
      <c r="B826" s="7"/>
      <c r="C826" s="51"/>
      <c r="D826" s="51"/>
      <c r="E826" s="50"/>
      <c r="F826" s="50"/>
      <c r="G826" s="50"/>
      <c r="H826" s="52"/>
      <c r="I826" s="50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ht="15.75" customHeight="1">
      <c r="A827" s="50"/>
      <c r="B827" s="7"/>
      <c r="C827" s="51"/>
      <c r="D827" s="51"/>
      <c r="E827" s="50"/>
      <c r="F827" s="50"/>
      <c r="G827" s="50"/>
      <c r="H827" s="52"/>
      <c r="I827" s="50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ht="15.75" customHeight="1">
      <c r="A828" s="50"/>
      <c r="B828" s="7"/>
      <c r="C828" s="51"/>
      <c r="D828" s="51"/>
      <c r="E828" s="50"/>
      <c r="F828" s="50"/>
      <c r="G828" s="50"/>
      <c r="H828" s="52"/>
      <c r="I828" s="50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ht="15.75" customHeight="1">
      <c r="A829" s="50"/>
      <c r="B829" s="7"/>
      <c r="C829" s="51"/>
      <c r="D829" s="51"/>
      <c r="E829" s="50"/>
      <c r="F829" s="50"/>
      <c r="G829" s="50"/>
      <c r="H829" s="52"/>
      <c r="I829" s="50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ht="15.75" customHeight="1">
      <c r="A830" s="50"/>
      <c r="B830" s="7"/>
      <c r="C830" s="51"/>
      <c r="D830" s="51"/>
      <c r="E830" s="50"/>
      <c r="F830" s="50"/>
      <c r="G830" s="50"/>
      <c r="H830" s="52"/>
      <c r="I830" s="50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ht="15.75" customHeight="1">
      <c r="A831" s="50"/>
      <c r="B831" s="7"/>
      <c r="C831" s="51"/>
      <c r="D831" s="51"/>
      <c r="E831" s="50"/>
      <c r="F831" s="50"/>
      <c r="G831" s="50"/>
      <c r="H831" s="52"/>
      <c r="I831" s="50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ht="15.75" customHeight="1">
      <c r="A832" s="50"/>
      <c r="B832" s="7"/>
      <c r="C832" s="51"/>
      <c r="D832" s="51"/>
      <c r="E832" s="50"/>
      <c r="F832" s="50"/>
      <c r="G832" s="50"/>
      <c r="H832" s="52"/>
      <c r="I832" s="50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ht="15.75" customHeight="1">
      <c r="A833" s="50"/>
      <c r="B833" s="7"/>
      <c r="C833" s="51"/>
      <c r="D833" s="51"/>
      <c r="E833" s="50"/>
      <c r="F833" s="50"/>
      <c r="G833" s="50"/>
      <c r="H833" s="52"/>
      <c r="I833" s="50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ht="15.75" customHeight="1">
      <c r="A834" s="50"/>
      <c r="B834" s="7"/>
      <c r="C834" s="51"/>
      <c r="D834" s="51"/>
      <c r="E834" s="50"/>
      <c r="F834" s="50"/>
      <c r="G834" s="50"/>
      <c r="H834" s="52"/>
      <c r="I834" s="50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ht="15.75" customHeight="1">
      <c r="A835" s="50"/>
      <c r="B835" s="7"/>
      <c r="C835" s="51"/>
      <c r="D835" s="51"/>
      <c r="E835" s="50"/>
      <c r="F835" s="50"/>
      <c r="G835" s="50"/>
      <c r="H835" s="52"/>
      <c r="I835" s="50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ht="15.75" customHeight="1">
      <c r="A836" s="50"/>
      <c r="B836" s="7"/>
      <c r="C836" s="51"/>
      <c r="D836" s="51"/>
      <c r="E836" s="50"/>
      <c r="F836" s="50"/>
      <c r="G836" s="50"/>
      <c r="H836" s="52"/>
      <c r="I836" s="50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ht="15.75" customHeight="1">
      <c r="A837" s="50"/>
      <c r="B837" s="7"/>
      <c r="C837" s="51"/>
      <c r="D837" s="51"/>
      <c r="E837" s="50"/>
      <c r="F837" s="50"/>
      <c r="G837" s="50"/>
      <c r="H837" s="52"/>
      <c r="I837" s="50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ht="15.75" customHeight="1">
      <c r="A838" s="50"/>
      <c r="B838" s="7"/>
      <c r="C838" s="51"/>
      <c r="D838" s="51"/>
      <c r="E838" s="50"/>
      <c r="F838" s="50"/>
      <c r="G838" s="50"/>
      <c r="H838" s="52"/>
      <c r="I838" s="50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ht="15.75" customHeight="1">
      <c r="A839" s="50"/>
      <c r="B839" s="7"/>
      <c r="C839" s="51"/>
      <c r="D839" s="51"/>
      <c r="E839" s="50"/>
      <c r="F839" s="50"/>
      <c r="G839" s="50"/>
      <c r="H839" s="52"/>
      <c r="I839" s="50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ht="15.75" customHeight="1">
      <c r="A840" s="50"/>
      <c r="B840" s="7"/>
      <c r="C840" s="51"/>
      <c r="D840" s="51"/>
      <c r="E840" s="50"/>
      <c r="F840" s="50"/>
      <c r="G840" s="50"/>
      <c r="H840" s="52"/>
      <c r="I840" s="50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ht="15.75" customHeight="1">
      <c r="A841" s="50"/>
      <c r="B841" s="7"/>
      <c r="C841" s="51"/>
      <c r="D841" s="51"/>
      <c r="E841" s="50"/>
      <c r="F841" s="50"/>
      <c r="G841" s="50"/>
      <c r="H841" s="52"/>
      <c r="I841" s="50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ht="15.75" customHeight="1">
      <c r="A842" s="50"/>
      <c r="B842" s="7"/>
      <c r="C842" s="51"/>
      <c r="D842" s="51"/>
      <c r="E842" s="50"/>
      <c r="F842" s="50"/>
      <c r="G842" s="50"/>
      <c r="H842" s="52"/>
      <c r="I842" s="50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ht="15.75" customHeight="1">
      <c r="A843" s="50"/>
      <c r="B843" s="7"/>
      <c r="C843" s="51"/>
      <c r="D843" s="51"/>
      <c r="E843" s="50"/>
      <c r="F843" s="50"/>
      <c r="G843" s="50"/>
      <c r="H843" s="52"/>
      <c r="I843" s="50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ht="15.75" customHeight="1">
      <c r="A844" s="50"/>
      <c r="B844" s="7"/>
      <c r="C844" s="51"/>
      <c r="D844" s="51"/>
      <c r="E844" s="50"/>
      <c r="F844" s="50"/>
      <c r="G844" s="50"/>
      <c r="H844" s="52"/>
      <c r="I844" s="50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ht="15.75" customHeight="1">
      <c r="A845" s="50"/>
      <c r="B845" s="7"/>
      <c r="C845" s="51"/>
      <c r="D845" s="51"/>
      <c r="E845" s="50"/>
      <c r="F845" s="50"/>
      <c r="G845" s="50"/>
      <c r="H845" s="52"/>
      <c r="I845" s="50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ht="15.75" customHeight="1">
      <c r="A846" s="50"/>
      <c r="B846" s="7"/>
      <c r="C846" s="51"/>
      <c r="D846" s="51"/>
      <c r="E846" s="50"/>
      <c r="F846" s="50"/>
      <c r="G846" s="50"/>
      <c r="H846" s="52"/>
      <c r="I846" s="50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ht="15.75" customHeight="1">
      <c r="A847" s="50"/>
      <c r="B847" s="7"/>
      <c r="C847" s="51"/>
      <c r="D847" s="51"/>
      <c r="E847" s="50"/>
      <c r="F847" s="50"/>
      <c r="G847" s="50"/>
      <c r="H847" s="52"/>
      <c r="I847" s="50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ht="15.75" customHeight="1">
      <c r="A848" s="50"/>
      <c r="B848" s="7"/>
      <c r="C848" s="51"/>
      <c r="D848" s="51"/>
      <c r="E848" s="50"/>
      <c r="F848" s="50"/>
      <c r="G848" s="50"/>
      <c r="H848" s="52"/>
      <c r="I848" s="50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ht="15.75" customHeight="1">
      <c r="A849" s="50"/>
      <c r="B849" s="7"/>
      <c r="C849" s="51"/>
      <c r="D849" s="51"/>
      <c r="E849" s="50"/>
      <c r="F849" s="50"/>
      <c r="G849" s="50"/>
      <c r="H849" s="52"/>
      <c r="I849" s="50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ht="15.75" customHeight="1">
      <c r="A850" s="50"/>
      <c r="B850" s="7"/>
      <c r="C850" s="51"/>
      <c r="D850" s="51"/>
      <c r="E850" s="50"/>
      <c r="F850" s="50"/>
      <c r="G850" s="50"/>
      <c r="H850" s="52"/>
      <c r="I850" s="50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ht="15.75" customHeight="1">
      <c r="A851" s="50"/>
      <c r="B851" s="7"/>
      <c r="C851" s="51"/>
      <c r="D851" s="51"/>
      <c r="E851" s="50"/>
      <c r="F851" s="50"/>
      <c r="G851" s="50"/>
      <c r="H851" s="52"/>
      <c r="I851" s="50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ht="15.75" customHeight="1">
      <c r="A852" s="50"/>
      <c r="B852" s="7"/>
      <c r="C852" s="51"/>
      <c r="D852" s="51"/>
      <c r="E852" s="50"/>
      <c r="F852" s="50"/>
      <c r="G852" s="50"/>
      <c r="H852" s="52"/>
      <c r="I852" s="50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ht="15.75" customHeight="1">
      <c r="A853" s="50"/>
      <c r="B853" s="7"/>
      <c r="C853" s="51"/>
      <c r="D853" s="51"/>
      <c r="E853" s="50"/>
      <c r="F853" s="50"/>
      <c r="G853" s="50"/>
      <c r="H853" s="52"/>
      <c r="I853" s="50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ht="15.75" customHeight="1">
      <c r="A854" s="50"/>
      <c r="B854" s="7"/>
      <c r="C854" s="51"/>
      <c r="D854" s="51"/>
      <c r="E854" s="50"/>
      <c r="F854" s="50"/>
      <c r="G854" s="50"/>
      <c r="H854" s="52"/>
      <c r="I854" s="50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ht="15.75" customHeight="1">
      <c r="A855" s="50"/>
      <c r="B855" s="7"/>
      <c r="C855" s="51"/>
      <c r="D855" s="51"/>
      <c r="E855" s="50"/>
      <c r="F855" s="50"/>
      <c r="G855" s="50"/>
      <c r="H855" s="52"/>
      <c r="I855" s="50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ht="15.75" customHeight="1">
      <c r="A856" s="50"/>
      <c r="B856" s="7"/>
      <c r="C856" s="51"/>
      <c r="D856" s="51"/>
      <c r="E856" s="50"/>
      <c r="F856" s="50"/>
      <c r="G856" s="50"/>
      <c r="H856" s="52"/>
      <c r="I856" s="50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ht="15.75" customHeight="1">
      <c r="A857" s="50"/>
      <c r="B857" s="7"/>
      <c r="C857" s="51"/>
      <c r="D857" s="51"/>
      <c r="E857" s="50"/>
      <c r="F857" s="50"/>
      <c r="G857" s="50"/>
      <c r="H857" s="52"/>
      <c r="I857" s="50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ht="15.75" customHeight="1">
      <c r="A858" s="50"/>
      <c r="B858" s="7"/>
      <c r="C858" s="51"/>
      <c r="D858" s="51"/>
      <c r="E858" s="50"/>
      <c r="F858" s="50"/>
      <c r="G858" s="50"/>
      <c r="H858" s="52"/>
      <c r="I858" s="50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ht="15.75" customHeight="1">
      <c r="A859" s="50"/>
      <c r="B859" s="7"/>
      <c r="C859" s="51"/>
      <c r="D859" s="51"/>
      <c r="E859" s="50"/>
      <c r="F859" s="50"/>
      <c r="G859" s="50"/>
      <c r="H859" s="52"/>
      <c r="I859" s="50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ht="15.75" customHeight="1">
      <c r="A860" s="50"/>
      <c r="B860" s="7"/>
      <c r="C860" s="51"/>
      <c r="D860" s="51"/>
      <c r="E860" s="50"/>
      <c r="F860" s="50"/>
      <c r="G860" s="50"/>
      <c r="H860" s="52"/>
      <c r="I860" s="50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ht="15.75" customHeight="1">
      <c r="A861" s="50"/>
      <c r="B861" s="7"/>
      <c r="C861" s="51"/>
      <c r="D861" s="51"/>
      <c r="E861" s="50"/>
      <c r="F861" s="50"/>
      <c r="G861" s="50"/>
      <c r="H861" s="52"/>
      <c r="I861" s="50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ht="15.75" customHeight="1">
      <c r="A862" s="50"/>
      <c r="B862" s="7"/>
      <c r="C862" s="51"/>
      <c r="D862" s="51"/>
      <c r="E862" s="50"/>
      <c r="F862" s="50"/>
      <c r="G862" s="50"/>
      <c r="H862" s="52"/>
      <c r="I862" s="50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ht="15.75" customHeight="1">
      <c r="A863" s="50"/>
      <c r="B863" s="7"/>
      <c r="C863" s="51"/>
      <c r="D863" s="51"/>
      <c r="E863" s="50"/>
      <c r="F863" s="50"/>
      <c r="G863" s="50"/>
      <c r="H863" s="52"/>
      <c r="I863" s="50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ht="15.75" customHeight="1">
      <c r="A864" s="50"/>
      <c r="B864" s="7"/>
      <c r="C864" s="51"/>
      <c r="D864" s="51"/>
      <c r="E864" s="50"/>
      <c r="F864" s="50"/>
      <c r="G864" s="50"/>
      <c r="H864" s="52"/>
      <c r="I864" s="50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ht="15.75" customHeight="1">
      <c r="A865" s="50"/>
      <c r="B865" s="7"/>
      <c r="C865" s="51"/>
      <c r="D865" s="51"/>
      <c r="E865" s="50"/>
      <c r="F865" s="50"/>
      <c r="G865" s="50"/>
      <c r="H865" s="52"/>
      <c r="I865" s="50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ht="15.75" customHeight="1">
      <c r="A866" s="50"/>
      <c r="B866" s="7"/>
      <c r="C866" s="51"/>
      <c r="D866" s="51"/>
      <c r="E866" s="50"/>
      <c r="F866" s="50"/>
      <c r="G866" s="50"/>
      <c r="H866" s="52"/>
      <c r="I866" s="50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ht="15.75" customHeight="1">
      <c r="A867" s="50"/>
      <c r="B867" s="7"/>
      <c r="C867" s="51"/>
      <c r="D867" s="51"/>
      <c r="E867" s="50"/>
      <c r="F867" s="50"/>
      <c r="G867" s="50"/>
      <c r="H867" s="52"/>
      <c r="I867" s="50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ht="15.75" customHeight="1">
      <c r="A868" s="50"/>
      <c r="B868" s="7"/>
      <c r="C868" s="51"/>
      <c r="D868" s="51"/>
      <c r="E868" s="50"/>
      <c r="F868" s="50"/>
      <c r="G868" s="50"/>
      <c r="H868" s="52"/>
      <c r="I868" s="50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ht="15.75" customHeight="1">
      <c r="A869" s="50"/>
      <c r="B869" s="7"/>
      <c r="C869" s="51"/>
      <c r="D869" s="51"/>
      <c r="E869" s="50"/>
      <c r="F869" s="50"/>
      <c r="G869" s="50"/>
      <c r="H869" s="52"/>
      <c r="I869" s="50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ht="15.75" customHeight="1">
      <c r="A870" s="50"/>
      <c r="B870" s="7"/>
      <c r="C870" s="51"/>
      <c r="D870" s="51"/>
      <c r="E870" s="50"/>
      <c r="F870" s="50"/>
      <c r="G870" s="50"/>
      <c r="H870" s="52"/>
      <c r="I870" s="50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ht="15.75" customHeight="1">
      <c r="A871" s="50"/>
      <c r="B871" s="7"/>
      <c r="C871" s="51"/>
      <c r="D871" s="51"/>
      <c r="E871" s="50"/>
      <c r="F871" s="50"/>
      <c r="G871" s="50"/>
      <c r="H871" s="52"/>
      <c r="I871" s="50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ht="15.75" customHeight="1">
      <c r="A872" s="50"/>
      <c r="B872" s="7"/>
      <c r="C872" s="51"/>
      <c r="D872" s="51"/>
      <c r="E872" s="50"/>
      <c r="F872" s="50"/>
      <c r="G872" s="50"/>
      <c r="H872" s="52"/>
      <c r="I872" s="50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ht="15.75" customHeight="1">
      <c r="A873" s="50"/>
      <c r="B873" s="7"/>
      <c r="C873" s="51"/>
      <c r="D873" s="51"/>
      <c r="E873" s="50"/>
      <c r="F873" s="50"/>
      <c r="G873" s="50"/>
      <c r="H873" s="52"/>
      <c r="I873" s="50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ht="15.75" customHeight="1">
      <c r="A874" s="50"/>
      <c r="B874" s="7"/>
      <c r="C874" s="51"/>
      <c r="D874" s="51"/>
      <c r="E874" s="50"/>
      <c r="F874" s="50"/>
      <c r="G874" s="50"/>
      <c r="H874" s="52"/>
      <c r="I874" s="50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ht="15.75" customHeight="1">
      <c r="A875" s="50"/>
      <c r="B875" s="7"/>
      <c r="C875" s="51"/>
      <c r="D875" s="51"/>
      <c r="E875" s="50"/>
      <c r="F875" s="50"/>
      <c r="G875" s="50"/>
      <c r="H875" s="52"/>
      <c r="I875" s="50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ht="15.75" customHeight="1">
      <c r="A876" s="50"/>
      <c r="B876" s="7"/>
      <c r="C876" s="51"/>
      <c r="D876" s="51"/>
      <c r="E876" s="50"/>
      <c r="F876" s="50"/>
      <c r="G876" s="50"/>
      <c r="H876" s="52"/>
      <c r="I876" s="50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ht="15.75" customHeight="1">
      <c r="A877" s="50"/>
      <c r="B877" s="7"/>
      <c r="C877" s="51"/>
      <c r="D877" s="51"/>
      <c r="E877" s="50"/>
      <c r="F877" s="50"/>
      <c r="G877" s="50"/>
      <c r="H877" s="52"/>
      <c r="I877" s="50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ht="15.75" customHeight="1">
      <c r="A878" s="50"/>
      <c r="B878" s="7"/>
      <c r="C878" s="51"/>
      <c r="D878" s="51"/>
      <c r="E878" s="50"/>
      <c r="F878" s="50"/>
      <c r="G878" s="50"/>
      <c r="H878" s="52"/>
      <c r="I878" s="50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ht="15.75" customHeight="1">
      <c r="A879" s="50"/>
      <c r="B879" s="7"/>
      <c r="C879" s="51"/>
      <c r="D879" s="51"/>
      <c r="E879" s="50"/>
      <c r="F879" s="50"/>
      <c r="G879" s="50"/>
      <c r="H879" s="52"/>
      <c r="I879" s="50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ht="15.75" customHeight="1">
      <c r="A880" s="50"/>
      <c r="B880" s="7"/>
      <c r="C880" s="51"/>
      <c r="D880" s="51"/>
      <c r="E880" s="50"/>
      <c r="F880" s="50"/>
      <c r="G880" s="50"/>
      <c r="H880" s="52"/>
      <c r="I880" s="50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ht="15.75" customHeight="1">
      <c r="A881" s="50"/>
      <c r="B881" s="7"/>
      <c r="C881" s="51"/>
      <c r="D881" s="51"/>
      <c r="E881" s="50"/>
      <c r="F881" s="50"/>
      <c r="G881" s="50"/>
      <c r="H881" s="52"/>
      <c r="I881" s="50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ht="15.75" customHeight="1">
      <c r="A882" s="50"/>
      <c r="B882" s="7"/>
      <c r="C882" s="51"/>
      <c r="D882" s="51"/>
      <c r="E882" s="50"/>
      <c r="F882" s="50"/>
      <c r="G882" s="50"/>
      <c r="H882" s="52"/>
      <c r="I882" s="50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ht="15.75" customHeight="1">
      <c r="A883" s="50"/>
      <c r="B883" s="7"/>
      <c r="C883" s="51"/>
      <c r="D883" s="51"/>
      <c r="E883" s="50"/>
      <c r="F883" s="50"/>
      <c r="G883" s="50"/>
      <c r="H883" s="52"/>
      <c r="I883" s="50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ht="15.75" customHeight="1">
      <c r="A884" s="50"/>
      <c r="B884" s="7"/>
      <c r="C884" s="51"/>
      <c r="D884" s="51"/>
      <c r="E884" s="50"/>
      <c r="F884" s="50"/>
      <c r="G884" s="50"/>
      <c r="H884" s="52"/>
      <c r="I884" s="50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ht="15.75" customHeight="1">
      <c r="A885" s="50"/>
      <c r="B885" s="7"/>
      <c r="C885" s="51"/>
      <c r="D885" s="51"/>
      <c r="E885" s="50"/>
      <c r="F885" s="50"/>
      <c r="G885" s="50"/>
      <c r="H885" s="52"/>
      <c r="I885" s="50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ht="15.75" customHeight="1">
      <c r="A886" s="50"/>
      <c r="B886" s="7"/>
      <c r="C886" s="51"/>
      <c r="D886" s="51"/>
      <c r="E886" s="50"/>
      <c r="F886" s="50"/>
      <c r="G886" s="50"/>
      <c r="H886" s="52"/>
      <c r="I886" s="50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ht="15.75" customHeight="1">
      <c r="A887" s="50"/>
      <c r="B887" s="7"/>
      <c r="C887" s="51"/>
      <c r="D887" s="51"/>
      <c r="E887" s="50"/>
      <c r="F887" s="50"/>
      <c r="G887" s="50"/>
      <c r="H887" s="52"/>
      <c r="I887" s="50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ht="15.75" customHeight="1">
      <c r="A888" s="50"/>
      <c r="B888" s="7"/>
      <c r="C888" s="51"/>
      <c r="D888" s="51"/>
      <c r="E888" s="50"/>
      <c r="F888" s="50"/>
      <c r="G888" s="50"/>
      <c r="H888" s="52"/>
      <c r="I888" s="50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ht="15.75" customHeight="1">
      <c r="A889" s="50"/>
      <c r="B889" s="7"/>
      <c r="C889" s="51"/>
      <c r="D889" s="51"/>
      <c r="E889" s="50"/>
      <c r="F889" s="50"/>
      <c r="G889" s="50"/>
      <c r="H889" s="52"/>
      <c r="I889" s="50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ht="15.75" customHeight="1">
      <c r="A890" s="50"/>
      <c r="B890" s="7"/>
      <c r="C890" s="51"/>
      <c r="D890" s="51"/>
      <c r="E890" s="50"/>
      <c r="F890" s="50"/>
      <c r="G890" s="50"/>
      <c r="H890" s="52"/>
      <c r="I890" s="50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ht="15.75" customHeight="1">
      <c r="A891" s="50"/>
      <c r="B891" s="7"/>
      <c r="C891" s="51"/>
      <c r="D891" s="51"/>
      <c r="E891" s="50"/>
      <c r="F891" s="50"/>
      <c r="G891" s="50"/>
      <c r="H891" s="52"/>
      <c r="I891" s="50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ht="15.75" customHeight="1">
      <c r="A892" s="50"/>
      <c r="B892" s="7"/>
      <c r="C892" s="51"/>
      <c r="D892" s="51"/>
      <c r="E892" s="50"/>
      <c r="F892" s="50"/>
      <c r="G892" s="50"/>
      <c r="H892" s="52"/>
      <c r="I892" s="50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ht="15.75" customHeight="1">
      <c r="A893" s="50"/>
      <c r="B893" s="7"/>
      <c r="C893" s="51"/>
      <c r="D893" s="51"/>
      <c r="E893" s="50"/>
      <c r="F893" s="50"/>
      <c r="G893" s="50"/>
      <c r="H893" s="52"/>
      <c r="I893" s="50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ht="15.75" customHeight="1">
      <c r="A894" s="50"/>
      <c r="B894" s="7"/>
      <c r="C894" s="51"/>
      <c r="D894" s="51"/>
      <c r="E894" s="50"/>
      <c r="F894" s="50"/>
      <c r="G894" s="50"/>
      <c r="H894" s="52"/>
      <c r="I894" s="50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ht="15.75" customHeight="1">
      <c r="A895" s="50"/>
      <c r="B895" s="7"/>
      <c r="C895" s="51"/>
      <c r="D895" s="51"/>
      <c r="E895" s="50"/>
      <c r="F895" s="50"/>
      <c r="G895" s="50"/>
      <c r="H895" s="52"/>
      <c r="I895" s="50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ht="15.75" customHeight="1">
      <c r="A896" s="50"/>
      <c r="B896" s="7"/>
      <c r="C896" s="51"/>
      <c r="D896" s="51"/>
      <c r="E896" s="50"/>
      <c r="F896" s="50"/>
      <c r="G896" s="50"/>
      <c r="H896" s="52"/>
      <c r="I896" s="50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ht="15.75" customHeight="1">
      <c r="A897" s="50"/>
      <c r="B897" s="7"/>
      <c r="C897" s="51"/>
      <c r="D897" s="51"/>
      <c r="E897" s="50"/>
      <c r="F897" s="50"/>
      <c r="G897" s="50"/>
      <c r="H897" s="52"/>
      <c r="I897" s="50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ht="15.75" customHeight="1">
      <c r="A898" s="50"/>
      <c r="B898" s="7"/>
      <c r="C898" s="51"/>
      <c r="D898" s="51"/>
      <c r="E898" s="50"/>
      <c r="F898" s="50"/>
      <c r="G898" s="50"/>
      <c r="H898" s="52"/>
      <c r="I898" s="50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ht="15.75" customHeight="1">
      <c r="A899" s="50"/>
      <c r="B899" s="7"/>
      <c r="C899" s="51"/>
      <c r="D899" s="51"/>
      <c r="E899" s="50"/>
      <c r="F899" s="50"/>
      <c r="G899" s="50"/>
      <c r="H899" s="52"/>
      <c r="I899" s="50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ht="15.75" customHeight="1">
      <c r="A900" s="50"/>
      <c r="B900" s="7"/>
      <c r="C900" s="51"/>
      <c r="D900" s="51"/>
      <c r="E900" s="50"/>
      <c r="F900" s="50"/>
      <c r="G900" s="50"/>
      <c r="H900" s="52"/>
      <c r="I900" s="50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ht="15.75" customHeight="1">
      <c r="A901" s="50"/>
      <c r="B901" s="7"/>
      <c r="C901" s="51"/>
      <c r="D901" s="51"/>
      <c r="E901" s="50"/>
      <c r="F901" s="50"/>
      <c r="G901" s="50"/>
      <c r="H901" s="52"/>
      <c r="I901" s="50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ht="15.75" customHeight="1">
      <c r="A902" s="50"/>
      <c r="B902" s="7"/>
      <c r="C902" s="51"/>
      <c r="D902" s="51"/>
      <c r="E902" s="50"/>
      <c r="F902" s="50"/>
      <c r="G902" s="50"/>
      <c r="H902" s="52"/>
      <c r="I902" s="50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ht="15.75" customHeight="1">
      <c r="A903" s="50"/>
      <c r="B903" s="7"/>
      <c r="C903" s="51"/>
      <c r="D903" s="51"/>
      <c r="E903" s="50"/>
      <c r="F903" s="50"/>
      <c r="G903" s="50"/>
      <c r="H903" s="52"/>
      <c r="I903" s="50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ht="15.75" customHeight="1">
      <c r="A904" s="50"/>
      <c r="B904" s="7"/>
      <c r="C904" s="51"/>
      <c r="D904" s="51"/>
      <c r="E904" s="50"/>
      <c r="F904" s="50"/>
      <c r="G904" s="50"/>
      <c r="H904" s="52"/>
      <c r="I904" s="50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ht="15.75" customHeight="1">
      <c r="A905" s="50"/>
      <c r="B905" s="7"/>
      <c r="C905" s="51"/>
      <c r="D905" s="51"/>
      <c r="E905" s="50"/>
      <c r="F905" s="50"/>
      <c r="G905" s="50"/>
      <c r="H905" s="52"/>
      <c r="I905" s="50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ht="15.75" customHeight="1">
      <c r="A906" s="50"/>
      <c r="B906" s="7"/>
      <c r="C906" s="51"/>
      <c r="D906" s="51"/>
      <c r="E906" s="50"/>
      <c r="F906" s="50"/>
      <c r="G906" s="50"/>
      <c r="H906" s="52"/>
      <c r="I906" s="50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ht="15.75" customHeight="1">
      <c r="A907" s="50"/>
      <c r="B907" s="7"/>
      <c r="C907" s="51"/>
      <c r="D907" s="51"/>
      <c r="E907" s="50"/>
      <c r="F907" s="50"/>
      <c r="G907" s="50"/>
      <c r="H907" s="52"/>
      <c r="I907" s="50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ht="15.75" customHeight="1">
      <c r="A908" s="50"/>
      <c r="B908" s="7"/>
      <c r="C908" s="51"/>
      <c r="D908" s="51"/>
      <c r="E908" s="50"/>
      <c r="F908" s="50"/>
      <c r="G908" s="50"/>
      <c r="H908" s="52"/>
      <c r="I908" s="50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ht="15.75" customHeight="1">
      <c r="A909" s="50"/>
      <c r="B909" s="7"/>
      <c r="C909" s="51"/>
      <c r="D909" s="51"/>
      <c r="E909" s="50"/>
      <c r="F909" s="50"/>
      <c r="G909" s="50"/>
      <c r="H909" s="52"/>
      <c r="I909" s="50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ht="15.75" customHeight="1">
      <c r="A910" s="50"/>
      <c r="B910" s="7"/>
      <c r="C910" s="51"/>
      <c r="D910" s="51"/>
      <c r="E910" s="50"/>
      <c r="F910" s="50"/>
      <c r="G910" s="50"/>
      <c r="H910" s="52"/>
      <c r="I910" s="50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ht="15.75" customHeight="1">
      <c r="A911" s="50"/>
      <c r="B911" s="7"/>
      <c r="C911" s="51"/>
      <c r="D911" s="51"/>
      <c r="E911" s="50"/>
      <c r="F911" s="50"/>
      <c r="G911" s="50"/>
      <c r="H911" s="52"/>
      <c r="I911" s="50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ht="15.75" customHeight="1">
      <c r="A912" s="50"/>
      <c r="B912" s="7"/>
      <c r="C912" s="51"/>
      <c r="D912" s="51"/>
      <c r="E912" s="50"/>
      <c r="F912" s="50"/>
      <c r="G912" s="50"/>
      <c r="H912" s="52"/>
      <c r="I912" s="50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ht="15.75" customHeight="1">
      <c r="A913" s="50"/>
      <c r="B913" s="7"/>
      <c r="C913" s="51"/>
      <c r="D913" s="51"/>
      <c r="E913" s="50"/>
      <c r="F913" s="50"/>
      <c r="G913" s="50"/>
      <c r="H913" s="52"/>
      <c r="I913" s="50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ht="15.75" customHeight="1">
      <c r="A914" s="50"/>
      <c r="B914" s="7"/>
      <c r="C914" s="51"/>
      <c r="D914" s="51"/>
      <c r="E914" s="50"/>
      <c r="F914" s="50"/>
      <c r="G914" s="50"/>
      <c r="H914" s="52"/>
      <c r="I914" s="50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ht="15.75" customHeight="1">
      <c r="A915" s="50"/>
      <c r="B915" s="7"/>
      <c r="C915" s="51"/>
      <c r="D915" s="51"/>
      <c r="E915" s="50"/>
      <c r="F915" s="50"/>
      <c r="G915" s="50"/>
      <c r="H915" s="52"/>
      <c r="I915" s="50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ht="15.75" customHeight="1">
      <c r="A916" s="50"/>
      <c r="B916" s="7"/>
      <c r="C916" s="51"/>
      <c r="D916" s="51"/>
      <c r="E916" s="50"/>
      <c r="F916" s="50"/>
      <c r="G916" s="50"/>
      <c r="H916" s="52"/>
      <c r="I916" s="50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ht="15.75" customHeight="1">
      <c r="A917" s="50"/>
      <c r="B917" s="7"/>
      <c r="C917" s="51"/>
      <c r="D917" s="51"/>
      <c r="E917" s="50"/>
      <c r="F917" s="50"/>
      <c r="G917" s="50"/>
      <c r="H917" s="52"/>
      <c r="I917" s="50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ht="15.75" customHeight="1">
      <c r="A918" s="50"/>
      <c r="B918" s="7"/>
      <c r="C918" s="51"/>
      <c r="D918" s="51"/>
      <c r="E918" s="50"/>
      <c r="F918" s="50"/>
      <c r="G918" s="50"/>
      <c r="H918" s="52"/>
      <c r="I918" s="50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ht="15.75" customHeight="1">
      <c r="A919" s="50"/>
      <c r="B919" s="7"/>
      <c r="C919" s="51"/>
      <c r="D919" s="51"/>
      <c r="E919" s="50"/>
      <c r="F919" s="50"/>
      <c r="G919" s="50"/>
      <c r="H919" s="52"/>
      <c r="I919" s="50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ht="15.75" customHeight="1">
      <c r="A920" s="50"/>
      <c r="B920" s="7"/>
      <c r="C920" s="51"/>
      <c r="D920" s="51"/>
      <c r="E920" s="50"/>
      <c r="F920" s="50"/>
      <c r="G920" s="50"/>
      <c r="H920" s="52"/>
      <c r="I920" s="50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ht="15.75" customHeight="1">
      <c r="A921" s="50"/>
      <c r="B921" s="7"/>
      <c r="C921" s="51"/>
      <c r="D921" s="51"/>
      <c r="E921" s="50"/>
      <c r="F921" s="50"/>
      <c r="G921" s="50"/>
      <c r="H921" s="52"/>
      <c r="I921" s="50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ht="15.75" customHeight="1">
      <c r="A922" s="50"/>
      <c r="B922" s="7"/>
      <c r="C922" s="51"/>
      <c r="D922" s="51"/>
      <c r="E922" s="50"/>
      <c r="F922" s="50"/>
      <c r="G922" s="50"/>
      <c r="H922" s="52"/>
      <c r="I922" s="50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ht="15.75" customHeight="1">
      <c r="A923" s="50"/>
      <c r="B923" s="7"/>
      <c r="C923" s="51"/>
      <c r="D923" s="51"/>
      <c r="E923" s="50"/>
      <c r="F923" s="50"/>
      <c r="G923" s="50"/>
      <c r="H923" s="52"/>
      <c r="I923" s="50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ht="15.75" customHeight="1">
      <c r="A924" s="50"/>
      <c r="B924" s="7"/>
      <c r="C924" s="51"/>
      <c r="D924" s="51"/>
      <c r="E924" s="50"/>
      <c r="F924" s="50"/>
      <c r="G924" s="50"/>
      <c r="H924" s="52"/>
      <c r="I924" s="50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ht="15.75" customHeight="1">
      <c r="A925" s="50"/>
      <c r="B925" s="7"/>
      <c r="C925" s="51"/>
      <c r="D925" s="51"/>
      <c r="E925" s="50"/>
      <c r="F925" s="50"/>
      <c r="G925" s="50"/>
      <c r="H925" s="52"/>
      <c r="I925" s="50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ht="15.75" customHeight="1">
      <c r="A926" s="50"/>
      <c r="B926" s="7"/>
      <c r="C926" s="51"/>
      <c r="D926" s="51"/>
      <c r="E926" s="50"/>
      <c r="F926" s="50"/>
      <c r="G926" s="50"/>
      <c r="H926" s="52"/>
      <c r="I926" s="50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ht="15.75" customHeight="1">
      <c r="A927" s="50"/>
      <c r="B927" s="7"/>
      <c r="C927" s="51"/>
      <c r="D927" s="51"/>
      <c r="E927" s="50"/>
      <c r="F927" s="50"/>
      <c r="G927" s="50"/>
      <c r="H927" s="52"/>
      <c r="I927" s="50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ht="15.75" customHeight="1">
      <c r="A928" s="50"/>
      <c r="B928" s="7"/>
      <c r="C928" s="51"/>
      <c r="D928" s="51"/>
      <c r="E928" s="50"/>
      <c r="F928" s="50"/>
      <c r="G928" s="50"/>
      <c r="H928" s="52"/>
      <c r="I928" s="50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ht="15.75" customHeight="1">
      <c r="A929" s="50"/>
      <c r="B929" s="7"/>
      <c r="C929" s="51"/>
      <c r="D929" s="51"/>
      <c r="E929" s="50"/>
      <c r="F929" s="50"/>
      <c r="G929" s="50"/>
      <c r="H929" s="52"/>
      <c r="I929" s="50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ht="15.75" customHeight="1">
      <c r="A930" s="50"/>
      <c r="B930" s="7"/>
      <c r="C930" s="51"/>
      <c r="D930" s="51"/>
      <c r="E930" s="50"/>
      <c r="F930" s="50"/>
      <c r="G930" s="50"/>
      <c r="H930" s="52"/>
      <c r="I930" s="50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ht="15.75" customHeight="1">
      <c r="A931" s="50"/>
      <c r="B931" s="7"/>
      <c r="C931" s="51"/>
      <c r="D931" s="51"/>
      <c r="E931" s="50"/>
      <c r="F931" s="50"/>
      <c r="G931" s="50"/>
      <c r="H931" s="52"/>
      <c r="I931" s="50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ht="15.75" customHeight="1">
      <c r="A932" s="50"/>
      <c r="B932" s="7"/>
      <c r="C932" s="51"/>
      <c r="D932" s="51"/>
      <c r="E932" s="50"/>
      <c r="F932" s="50"/>
      <c r="G932" s="50"/>
      <c r="H932" s="52"/>
      <c r="I932" s="50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ht="15.75" customHeight="1">
      <c r="A933" s="50"/>
      <c r="B933" s="7"/>
      <c r="C933" s="51"/>
      <c r="D933" s="51"/>
      <c r="E933" s="50"/>
      <c r="F933" s="50"/>
      <c r="G933" s="50"/>
      <c r="H933" s="52"/>
      <c r="I933" s="50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ht="15.75" customHeight="1">
      <c r="A934" s="50"/>
      <c r="B934" s="7"/>
      <c r="C934" s="51"/>
      <c r="D934" s="51"/>
      <c r="E934" s="50"/>
      <c r="F934" s="50"/>
      <c r="G934" s="50"/>
      <c r="H934" s="52"/>
      <c r="I934" s="50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ht="15.75" customHeight="1">
      <c r="A935" s="50"/>
      <c r="B935" s="7"/>
      <c r="C935" s="51"/>
      <c r="D935" s="51"/>
      <c r="E935" s="50"/>
      <c r="F935" s="50"/>
      <c r="G935" s="50"/>
      <c r="H935" s="52"/>
      <c r="I935" s="50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ht="15.75" customHeight="1">
      <c r="A936" s="50"/>
      <c r="B936" s="7"/>
      <c r="C936" s="51"/>
      <c r="D936" s="51"/>
      <c r="E936" s="50"/>
      <c r="F936" s="50"/>
      <c r="G936" s="50"/>
      <c r="H936" s="52"/>
      <c r="I936" s="50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ht="15.75" customHeight="1">
      <c r="A937" s="50"/>
      <c r="B937" s="7"/>
      <c r="C937" s="51"/>
      <c r="D937" s="51"/>
      <c r="E937" s="50"/>
      <c r="F937" s="50"/>
      <c r="G937" s="50"/>
      <c r="H937" s="52"/>
      <c r="I937" s="50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ht="15.75" customHeight="1">
      <c r="A938" s="50"/>
      <c r="B938" s="7"/>
      <c r="C938" s="51"/>
      <c r="D938" s="51"/>
      <c r="E938" s="50"/>
      <c r="F938" s="50"/>
      <c r="G938" s="50"/>
      <c r="H938" s="52"/>
      <c r="I938" s="50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ht="15.75" customHeight="1">
      <c r="A939" s="50"/>
      <c r="B939" s="7"/>
      <c r="C939" s="51"/>
      <c r="D939" s="51"/>
      <c r="E939" s="50"/>
      <c r="F939" s="50"/>
      <c r="G939" s="50"/>
      <c r="H939" s="52"/>
      <c r="I939" s="50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ht="15.75" customHeight="1">
      <c r="A940" s="50"/>
      <c r="B940" s="7"/>
      <c r="C940" s="51"/>
      <c r="D940" s="51"/>
      <c r="E940" s="50"/>
      <c r="F940" s="50"/>
      <c r="G940" s="50"/>
      <c r="H940" s="52"/>
      <c r="I940" s="50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ht="15.75" customHeight="1">
      <c r="A941" s="50"/>
      <c r="B941" s="7"/>
      <c r="C941" s="51"/>
      <c r="D941" s="51"/>
      <c r="E941" s="50"/>
      <c r="F941" s="50"/>
      <c r="G941" s="50"/>
      <c r="H941" s="52"/>
      <c r="I941" s="50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ht="15.75" customHeight="1">
      <c r="A942" s="50"/>
      <c r="B942" s="7"/>
      <c r="C942" s="51"/>
      <c r="D942" s="51"/>
      <c r="E942" s="50"/>
      <c r="F942" s="50"/>
      <c r="G942" s="50"/>
      <c r="H942" s="52"/>
      <c r="I942" s="50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ht="15.75" customHeight="1">
      <c r="A943" s="50"/>
      <c r="B943" s="7"/>
      <c r="C943" s="51"/>
      <c r="D943" s="51"/>
      <c r="E943" s="50"/>
      <c r="F943" s="50"/>
      <c r="G943" s="50"/>
      <c r="H943" s="52"/>
      <c r="I943" s="50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ht="15.75" customHeight="1">
      <c r="A944" s="50"/>
      <c r="B944" s="7"/>
      <c r="C944" s="51"/>
      <c r="D944" s="51"/>
      <c r="E944" s="50"/>
      <c r="F944" s="50"/>
      <c r="G944" s="50"/>
      <c r="H944" s="52"/>
      <c r="I944" s="50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ht="15.75" customHeight="1">
      <c r="A945" s="50"/>
      <c r="B945" s="7"/>
      <c r="C945" s="51"/>
      <c r="D945" s="51"/>
      <c r="E945" s="50"/>
      <c r="F945" s="50"/>
      <c r="G945" s="50"/>
      <c r="H945" s="52"/>
      <c r="I945" s="50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ht="15.75" customHeight="1">
      <c r="A946" s="50"/>
      <c r="B946" s="7"/>
      <c r="C946" s="51"/>
      <c r="D946" s="51"/>
      <c r="E946" s="50"/>
      <c r="F946" s="50"/>
      <c r="G946" s="50"/>
      <c r="H946" s="52"/>
      <c r="I946" s="50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ht="15.75" customHeight="1">
      <c r="A947" s="50"/>
      <c r="B947" s="7"/>
      <c r="C947" s="51"/>
      <c r="D947" s="51"/>
      <c r="E947" s="50"/>
      <c r="F947" s="50"/>
      <c r="G947" s="50"/>
      <c r="H947" s="52"/>
      <c r="I947" s="50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ht="15.75" customHeight="1">
      <c r="A948" s="50"/>
      <c r="B948" s="7"/>
      <c r="C948" s="51"/>
      <c r="D948" s="51"/>
      <c r="E948" s="50"/>
      <c r="F948" s="50"/>
      <c r="G948" s="50"/>
      <c r="H948" s="52"/>
      <c r="I948" s="50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ht="15.75" customHeight="1">
      <c r="A949" s="50"/>
      <c r="B949" s="7"/>
      <c r="C949" s="51"/>
      <c r="D949" s="51"/>
      <c r="E949" s="50"/>
      <c r="F949" s="50"/>
      <c r="G949" s="50"/>
      <c r="H949" s="52"/>
      <c r="I949" s="50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ht="15.75" customHeight="1">
      <c r="A950" s="50"/>
      <c r="B950" s="7"/>
      <c r="C950" s="51"/>
      <c r="D950" s="51"/>
      <c r="E950" s="50"/>
      <c r="F950" s="50"/>
      <c r="G950" s="50"/>
      <c r="H950" s="52"/>
      <c r="I950" s="50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ht="15.75" customHeight="1">
      <c r="A951" s="50"/>
      <c r="B951" s="7"/>
      <c r="C951" s="51"/>
      <c r="D951" s="51"/>
      <c r="E951" s="50"/>
      <c r="F951" s="50"/>
      <c r="G951" s="50"/>
      <c r="H951" s="52"/>
      <c r="I951" s="50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ht="15.75" customHeight="1">
      <c r="A952" s="50"/>
      <c r="B952" s="7"/>
      <c r="C952" s="51"/>
      <c r="D952" s="51"/>
      <c r="E952" s="50"/>
      <c r="F952" s="50"/>
      <c r="G952" s="50"/>
      <c r="H952" s="52"/>
      <c r="I952" s="50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ht="15.75" customHeight="1">
      <c r="A953" s="50"/>
      <c r="B953" s="7"/>
      <c r="C953" s="51"/>
      <c r="D953" s="51"/>
      <c r="E953" s="50"/>
      <c r="F953" s="50"/>
      <c r="G953" s="50"/>
      <c r="H953" s="52"/>
      <c r="I953" s="50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ht="15.75" customHeight="1">
      <c r="A954" s="50"/>
      <c r="B954" s="7"/>
      <c r="C954" s="51"/>
      <c r="D954" s="51"/>
      <c r="E954" s="50"/>
      <c r="F954" s="50"/>
      <c r="G954" s="50"/>
      <c r="H954" s="52"/>
      <c r="I954" s="50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ht="15.75" customHeight="1">
      <c r="A955" s="50"/>
      <c r="B955" s="7"/>
      <c r="C955" s="51"/>
      <c r="D955" s="51"/>
      <c r="E955" s="50"/>
      <c r="F955" s="50"/>
      <c r="G955" s="50"/>
      <c r="H955" s="52"/>
      <c r="I955" s="50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ht="15.75" customHeight="1">
      <c r="A956" s="50"/>
      <c r="B956" s="7"/>
      <c r="C956" s="51"/>
      <c r="D956" s="51"/>
      <c r="E956" s="50"/>
      <c r="F956" s="50"/>
      <c r="G956" s="50"/>
      <c r="H956" s="52"/>
      <c r="I956" s="50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ht="15.75" customHeight="1">
      <c r="A957" s="50"/>
      <c r="B957" s="7"/>
      <c r="C957" s="51"/>
      <c r="D957" s="51"/>
      <c r="E957" s="50"/>
      <c r="F957" s="50"/>
      <c r="G957" s="50"/>
      <c r="H957" s="52"/>
      <c r="I957" s="50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ht="15.75" customHeight="1">
      <c r="A958" s="50"/>
      <c r="B958" s="7"/>
      <c r="C958" s="51"/>
      <c r="D958" s="51"/>
      <c r="E958" s="50"/>
      <c r="F958" s="50"/>
      <c r="G958" s="50"/>
      <c r="H958" s="52"/>
      <c r="I958" s="50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ht="15.75" customHeight="1">
      <c r="A959" s="50"/>
      <c r="B959" s="7"/>
      <c r="C959" s="51"/>
      <c r="D959" s="51"/>
      <c r="E959" s="50"/>
      <c r="F959" s="50"/>
      <c r="G959" s="50"/>
      <c r="H959" s="52"/>
      <c r="I959" s="50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ht="15.75" customHeight="1">
      <c r="A960" s="50"/>
      <c r="B960" s="7"/>
      <c r="C960" s="51"/>
      <c r="D960" s="51"/>
      <c r="E960" s="50"/>
      <c r="F960" s="50"/>
      <c r="G960" s="50"/>
      <c r="H960" s="52"/>
      <c r="I960" s="50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ht="15.75" customHeight="1">
      <c r="A961" s="50"/>
      <c r="B961" s="7"/>
      <c r="C961" s="51"/>
      <c r="D961" s="51"/>
      <c r="E961" s="50"/>
      <c r="F961" s="50"/>
      <c r="G961" s="50"/>
      <c r="H961" s="52"/>
      <c r="I961" s="50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ht="15.75" customHeight="1">
      <c r="A962" s="50"/>
      <c r="B962" s="7"/>
      <c r="C962" s="51"/>
      <c r="D962" s="51"/>
      <c r="E962" s="50"/>
      <c r="F962" s="50"/>
      <c r="G962" s="50"/>
      <c r="H962" s="52"/>
      <c r="I962" s="50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ht="15.75" customHeight="1">
      <c r="A963" s="50"/>
      <c r="B963" s="7"/>
      <c r="C963" s="51"/>
      <c r="D963" s="51"/>
      <c r="E963" s="50"/>
      <c r="F963" s="50"/>
      <c r="G963" s="50"/>
      <c r="H963" s="52"/>
      <c r="I963" s="50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ht="15.75" customHeight="1">
      <c r="A964" s="50"/>
      <c r="B964" s="7"/>
      <c r="C964" s="51"/>
      <c r="D964" s="51"/>
      <c r="E964" s="50"/>
      <c r="F964" s="50"/>
      <c r="G964" s="50"/>
      <c r="H964" s="52"/>
      <c r="I964" s="50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ht="15.75" customHeight="1">
      <c r="A965" s="50"/>
      <c r="B965" s="7"/>
      <c r="C965" s="51"/>
      <c r="D965" s="51"/>
      <c r="E965" s="50"/>
      <c r="F965" s="50"/>
      <c r="G965" s="50"/>
      <c r="H965" s="52"/>
      <c r="I965" s="50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ht="15.75" customHeight="1">
      <c r="A966" s="50"/>
      <c r="B966" s="7"/>
      <c r="C966" s="51"/>
      <c r="D966" s="51"/>
      <c r="E966" s="50"/>
      <c r="F966" s="50"/>
      <c r="G966" s="50"/>
      <c r="H966" s="52"/>
      <c r="I966" s="50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ht="15.75" customHeight="1">
      <c r="A967" s="50"/>
      <c r="B967" s="7"/>
      <c r="C967" s="51"/>
      <c r="D967" s="51"/>
      <c r="E967" s="50"/>
      <c r="F967" s="50"/>
      <c r="G967" s="50"/>
      <c r="H967" s="52"/>
      <c r="I967" s="50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ht="15.75" customHeight="1">
      <c r="A968" s="50"/>
      <c r="B968" s="7"/>
      <c r="C968" s="51"/>
      <c r="D968" s="51"/>
      <c r="E968" s="50"/>
      <c r="F968" s="50"/>
      <c r="G968" s="50"/>
      <c r="H968" s="52"/>
      <c r="I968" s="50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ht="15.75" customHeight="1">
      <c r="A969" s="50"/>
      <c r="B969" s="7"/>
      <c r="C969" s="51"/>
      <c r="D969" s="51"/>
      <c r="E969" s="50"/>
      <c r="F969" s="50"/>
      <c r="G969" s="50"/>
      <c r="H969" s="52"/>
      <c r="I969" s="50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ht="15.75" customHeight="1">
      <c r="A970" s="50"/>
      <c r="B970" s="7"/>
      <c r="C970" s="51"/>
      <c r="D970" s="51"/>
      <c r="E970" s="50"/>
      <c r="F970" s="50"/>
      <c r="G970" s="50"/>
      <c r="H970" s="52"/>
      <c r="I970" s="50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ht="15.75" customHeight="1">
      <c r="A971" s="50"/>
      <c r="B971" s="7"/>
      <c r="C971" s="51"/>
      <c r="D971" s="51"/>
      <c r="E971" s="50"/>
      <c r="F971" s="50"/>
      <c r="G971" s="50"/>
      <c r="H971" s="52"/>
      <c r="I971" s="50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ht="15.75" customHeight="1">
      <c r="A972" s="50"/>
      <c r="B972" s="7"/>
      <c r="C972" s="51"/>
      <c r="D972" s="51"/>
      <c r="E972" s="50"/>
      <c r="F972" s="50"/>
      <c r="G972" s="50"/>
      <c r="H972" s="52"/>
      <c r="I972" s="50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ht="15.75" customHeight="1">
      <c r="A973" s="50"/>
      <c r="B973" s="7"/>
      <c r="C973" s="51"/>
      <c r="D973" s="51"/>
      <c r="E973" s="50"/>
      <c r="F973" s="50"/>
      <c r="G973" s="50"/>
      <c r="H973" s="52"/>
      <c r="I973" s="50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ht="15.75" customHeight="1">
      <c r="A974" s="50"/>
      <c r="B974" s="7"/>
      <c r="C974" s="51"/>
      <c r="D974" s="51"/>
      <c r="E974" s="50"/>
      <c r="F974" s="50"/>
      <c r="G974" s="50"/>
      <c r="H974" s="52"/>
      <c r="I974" s="50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ht="15.75" customHeight="1">
      <c r="A975" s="50"/>
      <c r="B975" s="7"/>
      <c r="C975" s="51"/>
      <c r="D975" s="51"/>
      <c r="E975" s="50"/>
      <c r="F975" s="50"/>
      <c r="G975" s="50"/>
      <c r="H975" s="52"/>
      <c r="I975" s="50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ht="15.75" customHeight="1">
      <c r="A976" s="50"/>
      <c r="B976" s="7"/>
      <c r="C976" s="51"/>
      <c r="D976" s="51"/>
      <c r="E976" s="50"/>
      <c r="F976" s="50"/>
      <c r="G976" s="50"/>
      <c r="H976" s="52"/>
      <c r="I976" s="50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ht="15.75" customHeight="1">
      <c r="A977" s="50"/>
      <c r="B977" s="7"/>
      <c r="C977" s="51"/>
      <c r="D977" s="51"/>
      <c r="E977" s="50"/>
      <c r="F977" s="50"/>
      <c r="G977" s="50"/>
      <c r="H977" s="52"/>
      <c r="I977" s="50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ht="15.75" customHeight="1">
      <c r="A978" s="50"/>
      <c r="B978" s="7"/>
      <c r="C978" s="51"/>
      <c r="D978" s="51"/>
      <c r="E978" s="50"/>
      <c r="F978" s="50"/>
      <c r="G978" s="50"/>
      <c r="H978" s="52"/>
      <c r="I978" s="50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</sheetData>
  <mergeCells count="87">
    <mergeCell ref="A422:K422"/>
    <mergeCell ref="A453:K453"/>
    <mergeCell ref="A461:K461"/>
    <mergeCell ref="A467:K467"/>
    <mergeCell ref="A475:K475"/>
    <mergeCell ref="A481:K481"/>
    <mergeCell ref="A489:K489"/>
    <mergeCell ref="A495:K495"/>
    <mergeCell ref="A505:K505"/>
    <mergeCell ref="A517:K517"/>
    <mergeCell ref="A523:K523"/>
    <mergeCell ref="A532:K532"/>
    <mergeCell ref="A537:K537"/>
    <mergeCell ref="A542:K542"/>
    <mergeCell ref="A597:K597"/>
    <mergeCell ref="A607:K607"/>
    <mergeCell ref="A613:K613"/>
    <mergeCell ref="A619:K619"/>
    <mergeCell ref="A628:K628"/>
    <mergeCell ref="A635:K635"/>
    <mergeCell ref="A641:K641"/>
    <mergeCell ref="A647:K647"/>
    <mergeCell ref="A655:K655"/>
    <mergeCell ref="A672:K672"/>
    <mergeCell ref="A684:K684"/>
    <mergeCell ref="A690:K690"/>
    <mergeCell ref="A698:K698"/>
    <mergeCell ref="A709:K709"/>
    <mergeCell ref="A767:K767"/>
    <mergeCell ref="A773:K773"/>
    <mergeCell ref="A780:K780"/>
    <mergeCell ref="A718:K718"/>
    <mergeCell ref="A726:K726"/>
    <mergeCell ref="A733:K733"/>
    <mergeCell ref="A739:K739"/>
    <mergeCell ref="A751:K751"/>
    <mergeCell ref="A756:K756"/>
    <mergeCell ref="A762:K762"/>
    <mergeCell ref="A1:K2"/>
    <mergeCell ref="A3:K3"/>
    <mergeCell ref="A4:K4"/>
    <mergeCell ref="A5:K5"/>
    <mergeCell ref="A6:K6"/>
    <mergeCell ref="A7:K7"/>
    <mergeCell ref="A9:K9"/>
    <mergeCell ref="A19:K19"/>
    <mergeCell ref="A60:K60"/>
    <mergeCell ref="A72:K72"/>
    <mergeCell ref="A86:K86"/>
    <mergeCell ref="A92:K92"/>
    <mergeCell ref="A102:K102"/>
    <mergeCell ref="A109:K109"/>
    <mergeCell ref="A115:K115"/>
    <mergeCell ref="A127:K127"/>
    <mergeCell ref="A134:K134"/>
    <mergeCell ref="A141:K141"/>
    <mergeCell ref="A152:K152"/>
    <mergeCell ref="A165:K165"/>
    <mergeCell ref="A176:K176"/>
    <mergeCell ref="A190:K190"/>
    <mergeCell ref="A200:K200"/>
    <mergeCell ref="A214:K214"/>
    <mergeCell ref="A224:K224"/>
    <mergeCell ref="A238:K238"/>
    <mergeCell ref="A249:K249"/>
    <mergeCell ref="A263:K263"/>
    <mergeCell ref="A269:K269"/>
    <mergeCell ref="A276:K276"/>
    <mergeCell ref="A283:K283"/>
    <mergeCell ref="A294:K294"/>
    <mergeCell ref="A314:K314"/>
    <mergeCell ref="A323:K323"/>
    <mergeCell ref="A337:K337"/>
    <mergeCell ref="A351:K351"/>
    <mergeCell ref="A368:K368"/>
    <mergeCell ref="A380:K380"/>
    <mergeCell ref="A390:K390"/>
    <mergeCell ref="A395:K395"/>
    <mergeCell ref="A405:K405"/>
    <mergeCell ref="A414:K414"/>
    <mergeCell ref="A550:K550"/>
    <mergeCell ref="A559:K559"/>
    <mergeCell ref="A566:K566"/>
    <mergeCell ref="A573:K573"/>
    <mergeCell ref="A578:K578"/>
    <mergeCell ref="A584:K584"/>
    <mergeCell ref="A591:K591"/>
  </mergeCells>
  <hyperlinks>
    <hyperlink r:id="rId1" ref="J22"/>
    <hyperlink r:id="rId2" ref="J37"/>
    <hyperlink r:id="rId3" ref="J42"/>
    <hyperlink r:id="rId4" ref="J45"/>
    <hyperlink r:id="rId5" ref="J78"/>
    <hyperlink r:id="rId6" ref="J158"/>
    <hyperlink r:id="rId7" ref="J182"/>
    <hyperlink r:id="rId8" ref="J206"/>
    <hyperlink r:id="rId9" ref="J230"/>
    <hyperlink r:id="rId10" ref="J255"/>
    <hyperlink r:id="rId11" ref="J666"/>
  </hyperlinks>
  <printOptions/>
  <pageMargins bottom="0.7875" footer="0.0" header="0.0" left="0.511805555555556" right="0.511805555555556" top="0.7875"/>
  <pageSetup orientation="portrait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29"/>
    <col customWidth="1" min="4" max="4" width="44.71"/>
    <col customWidth="1" min="5" max="9" width="8.71"/>
    <col customWidth="1" min="10" max="10" width="40.0"/>
    <col customWidth="1" min="11" max="11" width="7.43"/>
  </cols>
  <sheetData>
    <row r="1" ht="14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1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4" t="s">
        <v>34</v>
      </c>
      <c r="B3" s="15"/>
      <c r="C3" s="15"/>
      <c r="D3" s="15"/>
      <c r="E3" s="15"/>
      <c r="F3" s="15"/>
      <c r="G3" s="15"/>
      <c r="H3" s="15"/>
      <c r="I3" s="15"/>
      <c r="J3" s="15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/>
      <c r="B4" s="4"/>
      <c r="C4" s="20"/>
      <c r="D4" s="18"/>
      <c r="E4" s="18"/>
      <c r="F4" s="18"/>
      <c r="G4" s="18"/>
      <c r="H4" s="18"/>
      <c r="I4" s="18"/>
      <c r="J4" s="18"/>
      <c r="K4" s="1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8"/>
      <c r="B5" s="10"/>
      <c r="C5" s="20"/>
      <c r="D5" s="18"/>
      <c r="E5" s="18"/>
      <c r="F5" s="18"/>
      <c r="G5" s="18"/>
      <c r="H5" s="18"/>
      <c r="I5" s="18"/>
      <c r="J5" s="18"/>
      <c r="K5" s="1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23" t="s">
        <v>70</v>
      </c>
      <c r="B6" s="23" t="s">
        <v>73</v>
      </c>
      <c r="C6" s="24" t="s">
        <v>74</v>
      </c>
      <c r="D6" s="23" t="s">
        <v>75</v>
      </c>
      <c r="E6" s="23" t="s">
        <v>76</v>
      </c>
      <c r="F6" s="23" t="s">
        <v>78</v>
      </c>
      <c r="G6" s="23" t="s">
        <v>79</v>
      </c>
      <c r="H6" s="25" t="s">
        <v>81</v>
      </c>
      <c r="I6" s="23" t="s">
        <v>84</v>
      </c>
      <c r="J6" s="24" t="s">
        <v>85</v>
      </c>
      <c r="K6" s="23" t="s">
        <v>86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27" t="s">
        <v>91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30">
        <v>1.0</v>
      </c>
      <c r="B8" s="31" t="s">
        <v>99</v>
      </c>
      <c r="C8" s="32" t="s">
        <v>105</v>
      </c>
      <c r="D8" s="33" t="s">
        <v>105</v>
      </c>
      <c r="E8" s="30" t="s">
        <v>12</v>
      </c>
      <c r="F8" s="30" t="s">
        <v>111</v>
      </c>
      <c r="G8" s="30" t="s">
        <v>13</v>
      </c>
      <c r="H8" s="34" t="s">
        <v>13</v>
      </c>
      <c r="I8" s="30" t="s">
        <v>13</v>
      </c>
      <c r="J8" s="33" t="s">
        <v>115</v>
      </c>
      <c r="K8" s="31" t="s">
        <v>116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36">
        <f t="shared" ref="A9:A29" si="1">A8+1</f>
        <v>2</v>
      </c>
      <c r="B9" s="37" t="s">
        <v>125</v>
      </c>
      <c r="C9" s="39" t="s">
        <v>127</v>
      </c>
      <c r="D9" s="38" t="s">
        <v>128</v>
      </c>
      <c r="E9" s="36" t="s">
        <v>1</v>
      </c>
      <c r="F9" s="36" t="s">
        <v>99</v>
      </c>
      <c r="G9" s="36" t="s">
        <v>129</v>
      </c>
      <c r="H9" s="34" t="s">
        <v>13</v>
      </c>
      <c r="I9" s="30" t="s">
        <v>13</v>
      </c>
      <c r="J9" s="38" t="s">
        <v>131</v>
      </c>
      <c r="K9" s="37" t="s">
        <v>116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30">
        <f t="shared" si="1"/>
        <v>3</v>
      </c>
      <c r="B10" s="37" t="s">
        <v>134</v>
      </c>
      <c r="C10" s="32" t="s">
        <v>136</v>
      </c>
      <c r="D10" s="33" t="s">
        <v>137</v>
      </c>
      <c r="E10" s="30" t="s">
        <v>1</v>
      </c>
      <c r="F10" s="30" t="s">
        <v>99</v>
      </c>
      <c r="G10" s="30" t="s">
        <v>140</v>
      </c>
      <c r="H10" s="34" t="s">
        <v>13</v>
      </c>
      <c r="I10" s="30" t="s">
        <v>13</v>
      </c>
      <c r="J10" s="33"/>
      <c r="K10" s="31" t="s">
        <v>116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30">
        <f t="shared" si="1"/>
        <v>4</v>
      </c>
      <c r="B11" s="37" t="s">
        <v>150</v>
      </c>
      <c r="C11" s="45" t="s">
        <v>152</v>
      </c>
      <c r="D11" s="46" t="s">
        <v>154</v>
      </c>
      <c r="E11" s="36" t="s">
        <v>1</v>
      </c>
      <c r="F11" s="30" t="s">
        <v>99</v>
      </c>
      <c r="G11" s="48" t="s">
        <v>157</v>
      </c>
      <c r="H11" s="34" t="s">
        <v>13</v>
      </c>
      <c r="I11" s="30" t="s">
        <v>13</v>
      </c>
      <c r="J11" s="46"/>
      <c r="K11" s="31" t="s">
        <v>116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0">
        <f t="shared" si="1"/>
        <v>5</v>
      </c>
      <c r="B12" s="37" t="s">
        <v>170</v>
      </c>
      <c r="C12" s="45" t="s">
        <v>172</v>
      </c>
      <c r="D12" s="46" t="s">
        <v>173</v>
      </c>
      <c r="E12" s="36" t="s">
        <v>1</v>
      </c>
      <c r="F12" s="30" t="s">
        <v>99</v>
      </c>
      <c r="G12" s="48" t="s">
        <v>174</v>
      </c>
      <c r="H12" s="34" t="s">
        <v>13</v>
      </c>
      <c r="I12" s="30" t="s">
        <v>13</v>
      </c>
      <c r="J12" s="46"/>
      <c r="K12" s="31" t="s">
        <v>116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30">
        <f t="shared" si="1"/>
        <v>6</v>
      </c>
      <c r="B13" s="37" t="s">
        <v>179</v>
      </c>
      <c r="C13" s="45" t="s">
        <v>180</v>
      </c>
      <c r="D13" s="46" t="s">
        <v>181</v>
      </c>
      <c r="E13" s="36" t="s">
        <v>1</v>
      </c>
      <c r="F13" s="30" t="s">
        <v>99</v>
      </c>
      <c r="G13" s="48" t="s">
        <v>183</v>
      </c>
      <c r="H13" s="34" t="s">
        <v>13</v>
      </c>
      <c r="I13" s="30" t="s">
        <v>13</v>
      </c>
      <c r="J13" s="46"/>
      <c r="K13" s="31" t="s">
        <v>116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0">
        <f t="shared" si="1"/>
        <v>7</v>
      </c>
      <c r="B14" s="37" t="s">
        <v>187</v>
      </c>
      <c r="C14" s="45" t="s">
        <v>189</v>
      </c>
      <c r="D14" s="46" t="s">
        <v>191</v>
      </c>
      <c r="E14" s="36" t="s">
        <v>1</v>
      </c>
      <c r="F14" s="30" t="s">
        <v>99</v>
      </c>
      <c r="G14" s="48" t="s">
        <v>193</v>
      </c>
      <c r="H14" s="34" t="s">
        <v>13</v>
      </c>
      <c r="I14" s="30" t="s">
        <v>13</v>
      </c>
      <c r="J14" s="46"/>
      <c r="K14" s="31" t="s">
        <v>116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30">
        <f t="shared" si="1"/>
        <v>8</v>
      </c>
      <c r="B15" s="37" t="s">
        <v>195</v>
      </c>
      <c r="C15" s="45" t="s">
        <v>196</v>
      </c>
      <c r="D15" s="46" t="s">
        <v>197</v>
      </c>
      <c r="E15" s="36" t="s">
        <v>1</v>
      </c>
      <c r="F15" s="30" t="s">
        <v>99</v>
      </c>
      <c r="G15" s="48" t="s">
        <v>198</v>
      </c>
      <c r="H15" s="34" t="s">
        <v>13</v>
      </c>
      <c r="I15" s="30" t="s">
        <v>13</v>
      </c>
      <c r="J15" s="46"/>
      <c r="K15" s="31" t="s">
        <v>116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30">
        <f t="shared" si="1"/>
        <v>9</v>
      </c>
      <c r="B16" s="37" t="s">
        <v>199</v>
      </c>
      <c r="C16" s="45" t="s">
        <v>200</v>
      </c>
      <c r="D16" s="46" t="s">
        <v>201</v>
      </c>
      <c r="E16" s="36" t="s">
        <v>1</v>
      </c>
      <c r="F16" s="30" t="s">
        <v>99</v>
      </c>
      <c r="G16" s="48" t="s">
        <v>202</v>
      </c>
      <c r="H16" s="34" t="s">
        <v>13</v>
      </c>
      <c r="I16" s="30" t="s">
        <v>13</v>
      </c>
      <c r="J16" s="46"/>
      <c r="K16" s="31" t="s">
        <v>116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30">
        <f t="shared" si="1"/>
        <v>10</v>
      </c>
      <c r="B17" s="37" t="s">
        <v>204</v>
      </c>
      <c r="C17" s="45" t="s">
        <v>205</v>
      </c>
      <c r="D17" s="46" t="s">
        <v>206</v>
      </c>
      <c r="E17" s="36" t="s">
        <v>1</v>
      </c>
      <c r="F17" s="30" t="s">
        <v>99</v>
      </c>
      <c r="G17" s="48" t="s">
        <v>208</v>
      </c>
      <c r="H17" s="34" t="s">
        <v>13</v>
      </c>
      <c r="I17" s="30" t="s">
        <v>13</v>
      </c>
      <c r="J17" s="46" t="s">
        <v>210</v>
      </c>
      <c r="K17" s="31" t="s">
        <v>116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30">
        <f t="shared" si="1"/>
        <v>11</v>
      </c>
      <c r="B18" s="37" t="s">
        <v>211</v>
      </c>
      <c r="C18" s="45" t="s">
        <v>214</v>
      </c>
      <c r="D18" s="46" t="s">
        <v>215</v>
      </c>
      <c r="E18" s="36" t="s">
        <v>1</v>
      </c>
      <c r="F18" s="30" t="s">
        <v>99</v>
      </c>
      <c r="G18" s="48" t="s">
        <v>217</v>
      </c>
      <c r="H18" s="34" t="s">
        <v>13</v>
      </c>
      <c r="I18" s="30" t="s">
        <v>13</v>
      </c>
      <c r="J18" s="46"/>
      <c r="K18" s="31" t="s">
        <v>116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30">
        <f t="shared" si="1"/>
        <v>12</v>
      </c>
      <c r="B19" s="37" t="s">
        <v>221</v>
      </c>
      <c r="C19" s="45" t="s">
        <v>222</v>
      </c>
      <c r="D19" s="46" t="s">
        <v>223</v>
      </c>
      <c r="E19" s="36" t="s">
        <v>1</v>
      </c>
      <c r="F19" s="30" t="s">
        <v>99</v>
      </c>
      <c r="G19" s="48" t="s">
        <v>224</v>
      </c>
      <c r="H19" s="34" t="s">
        <v>13</v>
      </c>
      <c r="I19" s="30" t="s">
        <v>13</v>
      </c>
      <c r="J19" s="46" t="s">
        <v>225</v>
      </c>
      <c r="K19" s="31" t="s">
        <v>116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30">
        <f t="shared" si="1"/>
        <v>13</v>
      </c>
      <c r="B20" s="37" t="s">
        <v>226</v>
      </c>
      <c r="C20" s="45" t="s">
        <v>227</v>
      </c>
      <c r="D20" s="46" t="s">
        <v>228</v>
      </c>
      <c r="E20" s="36" t="s">
        <v>1</v>
      </c>
      <c r="F20" s="30" t="s">
        <v>99</v>
      </c>
      <c r="G20" s="48" t="s">
        <v>229</v>
      </c>
      <c r="H20" s="34" t="s">
        <v>13</v>
      </c>
      <c r="I20" s="30" t="s">
        <v>13</v>
      </c>
      <c r="J20" s="46" t="s">
        <v>230</v>
      </c>
      <c r="K20" s="31" t="s">
        <v>116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0">
        <f t="shared" si="1"/>
        <v>14</v>
      </c>
      <c r="B21" s="37" t="s">
        <v>231</v>
      </c>
      <c r="C21" s="45" t="s">
        <v>232</v>
      </c>
      <c r="D21" s="46" t="s">
        <v>233</v>
      </c>
      <c r="E21" s="36" t="s">
        <v>1</v>
      </c>
      <c r="F21" s="30" t="s">
        <v>99</v>
      </c>
      <c r="G21" s="48" t="s">
        <v>208</v>
      </c>
      <c r="H21" s="34" t="s">
        <v>13</v>
      </c>
      <c r="I21" s="30" t="s">
        <v>13</v>
      </c>
      <c r="J21" s="46" t="s">
        <v>210</v>
      </c>
      <c r="K21" s="31" t="s">
        <v>116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0">
        <f t="shared" si="1"/>
        <v>15</v>
      </c>
      <c r="B22" s="37" t="s">
        <v>237</v>
      </c>
      <c r="C22" s="45" t="s">
        <v>238</v>
      </c>
      <c r="D22" s="46" t="s">
        <v>239</v>
      </c>
      <c r="E22" s="36" t="s">
        <v>1</v>
      </c>
      <c r="F22" s="30" t="s">
        <v>99</v>
      </c>
      <c r="G22" s="48" t="s">
        <v>217</v>
      </c>
      <c r="H22" s="34" t="s">
        <v>13</v>
      </c>
      <c r="I22" s="30" t="s">
        <v>13</v>
      </c>
      <c r="J22" s="46"/>
      <c r="K22" s="31" t="s">
        <v>116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0">
        <f t="shared" si="1"/>
        <v>16</v>
      </c>
      <c r="B23" s="37" t="s">
        <v>243</v>
      </c>
      <c r="C23" s="45" t="s">
        <v>244</v>
      </c>
      <c r="D23" s="46" t="s">
        <v>245</v>
      </c>
      <c r="E23" s="36" t="s">
        <v>1</v>
      </c>
      <c r="F23" s="30" t="s">
        <v>99</v>
      </c>
      <c r="G23" s="48" t="s">
        <v>246</v>
      </c>
      <c r="H23" s="34" t="s">
        <v>13</v>
      </c>
      <c r="I23" s="30" t="s">
        <v>13</v>
      </c>
      <c r="J23" s="46" t="s">
        <v>247</v>
      </c>
      <c r="K23" s="31" t="s">
        <v>116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0">
        <f t="shared" si="1"/>
        <v>17</v>
      </c>
      <c r="B24" s="58" t="s">
        <v>252</v>
      </c>
      <c r="C24" s="45" t="s">
        <v>253</v>
      </c>
      <c r="D24" s="46" t="s">
        <v>254</v>
      </c>
      <c r="E24" s="30" t="s">
        <v>12</v>
      </c>
      <c r="F24" s="30" t="s">
        <v>99</v>
      </c>
      <c r="G24" s="48" t="s">
        <v>13</v>
      </c>
      <c r="H24" s="34" t="s">
        <v>13</v>
      </c>
      <c r="I24" s="30" t="s">
        <v>13</v>
      </c>
      <c r="J24" s="46"/>
      <c r="K24" s="31" t="s">
        <v>116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0">
        <f t="shared" si="1"/>
        <v>18</v>
      </c>
      <c r="B25" s="58" t="s">
        <v>259</v>
      </c>
      <c r="C25" s="45" t="s">
        <v>260</v>
      </c>
      <c r="D25" s="46" t="s">
        <v>261</v>
      </c>
      <c r="E25" s="36" t="s">
        <v>1</v>
      </c>
      <c r="F25" s="48" t="s">
        <v>252</v>
      </c>
      <c r="G25" s="48" t="s">
        <v>262</v>
      </c>
      <c r="H25" s="34" t="s">
        <v>13</v>
      </c>
      <c r="I25" s="30" t="s">
        <v>13</v>
      </c>
      <c r="J25" s="46"/>
      <c r="K25" s="31" t="s">
        <v>116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0">
        <f t="shared" si="1"/>
        <v>19</v>
      </c>
      <c r="B26" s="58" t="s">
        <v>266</v>
      </c>
      <c r="C26" s="45" t="s">
        <v>267</v>
      </c>
      <c r="D26" s="46" t="s">
        <v>268</v>
      </c>
      <c r="E26" s="36" t="s">
        <v>1</v>
      </c>
      <c r="F26" s="48" t="s">
        <v>252</v>
      </c>
      <c r="G26" s="48" t="s">
        <v>271</v>
      </c>
      <c r="H26" s="34" t="s">
        <v>13</v>
      </c>
      <c r="I26" s="30" t="s">
        <v>13</v>
      </c>
      <c r="J26" s="46"/>
      <c r="K26" s="31" t="s">
        <v>116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2">
        <f t="shared" si="1"/>
        <v>20</v>
      </c>
      <c r="B27" s="59" t="s">
        <v>274</v>
      </c>
      <c r="C27" s="60" t="s">
        <v>277</v>
      </c>
      <c r="D27" s="61" t="s">
        <v>279</v>
      </c>
      <c r="E27" s="42" t="s">
        <v>12</v>
      </c>
      <c r="F27" s="42" t="s">
        <v>99</v>
      </c>
      <c r="G27" s="62" t="s">
        <v>13</v>
      </c>
      <c r="H27" s="47" t="s">
        <v>13</v>
      </c>
      <c r="I27" s="42" t="s">
        <v>13</v>
      </c>
      <c r="J27" s="61" t="s">
        <v>279</v>
      </c>
      <c r="K27" s="43" t="s">
        <v>116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2">
        <f t="shared" si="1"/>
        <v>21</v>
      </c>
      <c r="B28" s="59" t="s">
        <v>285</v>
      </c>
      <c r="C28" s="60" t="s">
        <v>286</v>
      </c>
      <c r="D28" s="61" t="s">
        <v>289</v>
      </c>
      <c r="E28" s="42" t="s">
        <v>1</v>
      </c>
      <c r="F28" s="62" t="s">
        <v>274</v>
      </c>
      <c r="G28" s="62" t="s">
        <v>290</v>
      </c>
      <c r="H28" s="62" t="s">
        <v>13</v>
      </c>
      <c r="I28" s="62" t="s">
        <v>13</v>
      </c>
      <c r="J28" s="61" t="s">
        <v>292</v>
      </c>
      <c r="K28" s="59" t="s">
        <v>116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2">
        <f t="shared" si="1"/>
        <v>22</v>
      </c>
      <c r="B29" s="59" t="s">
        <v>296</v>
      </c>
      <c r="C29" s="60" t="s">
        <v>297</v>
      </c>
      <c r="D29" s="61" t="s">
        <v>298</v>
      </c>
      <c r="E29" s="42" t="s">
        <v>1</v>
      </c>
      <c r="F29" s="62" t="s">
        <v>274</v>
      </c>
      <c r="G29" s="62" t="s">
        <v>290</v>
      </c>
      <c r="H29" s="62" t="s">
        <v>13</v>
      </c>
      <c r="I29" s="62" t="s">
        <v>13</v>
      </c>
      <c r="J29" s="61" t="s">
        <v>301</v>
      </c>
      <c r="K29" s="59" t="s">
        <v>116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6">
    <mergeCell ref="A1:K2"/>
    <mergeCell ref="A3:K3"/>
    <mergeCell ref="A4:B5"/>
    <mergeCell ref="C4:K4"/>
    <mergeCell ref="C5:K5"/>
    <mergeCell ref="A7:K7"/>
  </mergeCells>
  <printOptions/>
  <pageMargins bottom="0.7875" footer="0.0" header="0.0" left="0.511805555555556" right="0.511805555555556" top="0.78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1.57"/>
  </cols>
  <sheetData>
    <row r="1" ht="12.75" customHeight="1">
      <c r="A1" s="1">
        <v>2.0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6.0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/>
      <c r="O1" s="1"/>
      <c r="P1" s="1"/>
    </row>
    <row r="2" ht="12.75" customHeight="1">
      <c r="A2" s="1">
        <v>3.0</v>
      </c>
      <c r="B2" s="1" t="s">
        <v>11</v>
      </c>
      <c r="C2" s="1" t="s">
        <v>12</v>
      </c>
      <c r="D2" s="1" t="s">
        <v>2</v>
      </c>
      <c r="E2" s="1" t="s">
        <v>13</v>
      </c>
      <c r="F2" s="1" t="s">
        <v>14</v>
      </c>
      <c r="G2" s="1" t="s">
        <v>13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9</v>
      </c>
      <c r="M2" s="1" t="s">
        <v>10</v>
      </c>
      <c r="N2" s="1"/>
      <c r="O2" s="1"/>
      <c r="P2" s="1"/>
    </row>
    <row r="3" ht="12.75" customHeight="1">
      <c r="A3" s="1">
        <v>4.0</v>
      </c>
      <c r="B3" s="1" t="s">
        <v>19</v>
      </c>
      <c r="C3" s="1" t="s">
        <v>1</v>
      </c>
      <c r="D3" s="1" t="s">
        <v>11</v>
      </c>
      <c r="E3" s="1" t="s">
        <v>3</v>
      </c>
      <c r="F3" s="1" t="s">
        <v>4</v>
      </c>
      <c r="G3" s="1">
        <v>13.2</v>
      </c>
      <c r="H3" s="1" t="s">
        <v>20</v>
      </c>
      <c r="I3" s="1" t="s">
        <v>6</v>
      </c>
      <c r="J3" s="1" t="s">
        <v>21</v>
      </c>
      <c r="K3" s="1" t="s">
        <v>16</v>
      </c>
      <c r="L3" s="1" t="s">
        <v>22</v>
      </c>
      <c r="M3" s="1" t="s">
        <v>23</v>
      </c>
      <c r="N3" s="1" t="s">
        <v>24</v>
      </c>
      <c r="O3" s="1" t="s">
        <v>10</v>
      </c>
      <c r="P3" s="1"/>
    </row>
    <row r="4" ht="12.75" customHeight="1">
      <c r="A4" s="1">
        <v>5.0</v>
      </c>
      <c r="B4" s="1" t="s">
        <v>25</v>
      </c>
      <c r="C4" s="1" t="s">
        <v>12</v>
      </c>
      <c r="D4" s="1" t="s">
        <v>11</v>
      </c>
      <c r="E4" s="1" t="s">
        <v>13</v>
      </c>
      <c r="F4" s="1" t="s">
        <v>4</v>
      </c>
      <c r="G4" s="1" t="s">
        <v>13</v>
      </c>
      <c r="H4" s="1" t="s">
        <v>15</v>
      </c>
      <c r="I4" s="1" t="s">
        <v>16</v>
      </c>
      <c r="J4" s="1" t="s">
        <v>17</v>
      </c>
      <c r="K4" s="1" t="s">
        <v>9</v>
      </c>
      <c r="L4" s="1" t="s">
        <v>10</v>
      </c>
      <c r="M4" s="1" t="s">
        <v>16</v>
      </c>
      <c r="N4" s="1" t="s">
        <v>26</v>
      </c>
      <c r="O4" s="1"/>
      <c r="P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2.75" customHeight="1">
      <c r="A6" s="1" t="s">
        <v>27</v>
      </c>
      <c r="B6" s="1" t="s">
        <v>28</v>
      </c>
      <c r="C6" s="1" t="s">
        <v>29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2.75" customHeight="1">
      <c r="A7" s="1">
        <v>6.0</v>
      </c>
      <c r="B7" s="1" t="s">
        <v>30</v>
      </c>
      <c r="C7" s="1" t="s">
        <v>1</v>
      </c>
      <c r="D7" s="1" t="s">
        <v>25</v>
      </c>
      <c r="E7" s="1" t="s">
        <v>3</v>
      </c>
      <c r="F7" s="1" t="s">
        <v>4</v>
      </c>
      <c r="G7" s="1" t="s">
        <v>31</v>
      </c>
      <c r="H7" s="1" t="s">
        <v>32</v>
      </c>
      <c r="I7" s="1" t="s">
        <v>9</v>
      </c>
      <c r="J7" s="1" t="s">
        <v>33</v>
      </c>
      <c r="K7" s="1" t="s">
        <v>35</v>
      </c>
      <c r="L7" s="1"/>
      <c r="M7" s="1"/>
      <c r="N7" s="1"/>
      <c r="O7" s="1"/>
      <c r="P7" s="1"/>
    </row>
    <row r="8" ht="12.75" customHeight="1">
      <c r="A8" s="1">
        <v>7.0</v>
      </c>
      <c r="B8" s="1" t="s">
        <v>25</v>
      </c>
      <c r="C8" s="1" t="s">
        <v>36</v>
      </c>
      <c r="D8" s="1" t="s">
        <v>13</v>
      </c>
      <c r="E8" s="1" t="s">
        <v>25</v>
      </c>
      <c r="F8" s="1" t="s">
        <v>13</v>
      </c>
      <c r="G8" s="1" t="s">
        <v>14</v>
      </c>
      <c r="H8" s="1" t="s">
        <v>13</v>
      </c>
      <c r="I8" s="1" t="s">
        <v>13</v>
      </c>
      <c r="J8" s="1"/>
      <c r="K8" s="1"/>
      <c r="L8" s="1"/>
      <c r="M8" s="1"/>
      <c r="N8" s="1"/>
      <c r="O8" s="1"/>
      <c r="P8" s="1"/>
    </row>
    <row r="9" ht="12.75" customHeight="1">
      <c r="A9" s="1">
        <v>8.0</v>
      </c>
      <c r="B9" s="1" t="s">
        <v>37</v>
      </c>
      <c r="C9" s="1" t="s">
        <v>1</v>
      </c>
      <c r="D9" s="1" t="s">
        <v>25</v>
      </c>
      <c r="E9" s="1" t="s">
        <v>3</v>
      </c>
      <c r="F9" s="1" t="s">
        <v>4</v>
      </c>
      <c r="G9" s="1">
        <v>13.2</v>
      </c>
      <c r="H9" s="1" t="s">
        <v>20</v>
      </c>
      <c r="I9" s="1" t="s">
        <v>9</v>
      </c>
      <c r="J9" s="1" t="s">
        <v>39</v>
      </c>
      <c r="K9" s="1" t="s">
        <v>40</v>
      </c>
      <c r="L9" s="1" t="s">
        <v>41</v>
      </c>
      <c r="M9" s="1" t="s">
        <v>42</v>
      </c>
      <c r="N9" s="1"/>
      <c r="O9" s="1"/>
      <c r="P9" s="1"/>
    </row>
    <row r="10" ht="12.75" customHeight="1">
      <c r="A10" s="1">
        <v>9.0</v>
      </c>
      <c r="B10" s="1" t="s">
        <v>43</v>
      </c>
      <c r="C10" s="1" t="s">
        <v>12</v>
      </c>
      <c r="D10" s="1" t="s">
        <v>25</v>
      </c>
      <c r="E10" s="1" t="s">
        <v>13</v>
      </c>
      <c r="F10" s="1" t="s">
        <v>14</v>
      </c>
      <c r="G10" s="1" t="s">
        <v>13</v>
      </c>
      <c r="H10" s="1" t="s">
        <v>15</v>
      </c>
      <c r="I10" s="1" t="s">
        <v>16</v>
      </c>
      <c r="J10" s="1" t="s">
        <v>44</v>
      </c>
      <c r="K10" s="1" t="s">
        <v>9</v>
      </c>
      <c r="L10" s="1" t="s">
        <v>45</v>
      </c>
      <c r="M10" s="1"/>
      <c r="N10" s="1"/>
      <c r="O10" s="1"/>
      <c r="P10" s="1"/>
    </row>
    <row r="11" ht="12.75" customHeight="1">
      <c r="A11" s="1">
        <v>10.0</v>
      </c>
      <c r="B11" s="1" t="s">
        <v>46</v>
      </c>
      <c r="C11" s="1" t="s">
        <v>1</v>
      </c>
      <c r="D11" s="1" t="s">
        <v>43</v>
      </c>
      <c r="E11" s="1" t="s">
        <v>3</v>
      </c>
      <c r="F11" s="1" t="s">
        <v>4</v>
      </c>
      <c r="G11" s="1" t="s">
        <v>31</v>
      </c>
      <c r="H11" s="1" t="s">
        <v>47</v>
      </c>
      <c r="I11" s="1" t="s">
        <v>16</v>
      </c>
      <c r="J11" s="1" t="s">
        <v>45</v>
      </c>
      <c r="K11" s="1"/>
      <c r="L11" s="1"/>
      <c r="M11" s="1"/>
      <c r="N11" s="1"/>
      <c r="O11" s="1"/>
      <c r="P11" s="1"/>
    </row>
    <row r="12" ht="12.75" customHeight="1">
      <c r="A12" s="1">
        <v>11.0</v>
      </c>
      <c r="B12" s="1" t="s">
        <v>48</v>
      </c>
      <c r="C12" s="1" t="s">
        <v>1</v>
      </c>
      <c r="D12" s="1" t="s">
        <v>43</v>
      </c>
      <c r="E12" s="1" t="s">
        <v>3</v>
      </c>
      <c r="F12" s="1" t="s">
        <v>4</v>
      </c>
      <c r="G12" s="1">
        <v>13.2</v>
      </c>
      <c r="H12" s="1" t="s">
        <v>20</v>
      </c>
      <c r="I12" s="1" t="s">
        <v>9</v>
      </c>
      <c r="J12" s="1" t="s">
        <v>45</v>
      </c>
      <c r="K12" s="1"/>
      <c r="L12" s="1"/>
      <c r="M12" s="1"/>
      <c r="N12" s="1"/>
      <c r="O12" s="1"/>
      <c r="P12" s="1"/>
    </row>
    <row r="13" ht="12.75" customHeight="1">
      <c r="A13" s="1">
        <v>12.0</v>
      </c>
      <c r="B13" s="1" t="s">
        <v>49</v>
      </c>
      <c r="C13" s="1" t="s">
        <v>12</v>
      </c>
      <c r="D13" s="1" t="s">
        <v>25</v>
      </c>
      <c r="E13" s="1" t="s">
        <v>13</v>
      </c>
      <c r="F13" s="1" t="s">
        <v>14</v>
      </c>
      <c r="G13" s="1" t="s">
        <v>13</v>
      </c>
      <c r="H13" s="1" t="s">
        <v>15</v>
      </c>
      <c r="I13" s="1" t="s">
        <v>16</v>
      </c>
      <c r="J13" s="1" t="s">
        <v>17</v>
      </c>
      <c r="K13" s="1" t="s">
        <v>6</v>
      </c>
      <c r="L13" s="1" t="s">
        <v>50</v>
      </c>
      <c r="M13" s="1" t="s">
        <v>16</v>
      </c>
      <c r="N13" s="1" t="s">
        <v>51</v>
      </c>
      <c r="O13" s="1"/>
      <c r="P13" s="1"/>
    </row>
    <row r="14" ht="12.75" customHeight="1">
      <c r="A14" s="1">
        <v>13.0</v>
      </c>
      <c r="B14" s="1" t="s">
        <v>52</v>
      </c>
      <c r="C14" s="1" t="s">
        <v>1</v>
      </c>
      <c r="D14" s="1" t="s">
        <v>49</v>
      </c>
      <c r="E14" s="1" t="s">
        <v>3</v>
      </c>
      <c r="F14" s="1" t="s">
        <v>4</v>
      </c>
      <c r="G14" s="1">
        <v>13.2</v>
      </c>
      <c r="H14" s="1" t="s">
        <v>20</v>
      </c>
      <c r="I14" s="1" t="s">
        <v>9</v>
      </c>
      <c r="J14" s="1" t="s">
        <v>54</v>
      </c>
      <c r="K14" s="1" t="s">
        <v>55</v>
      </c>
      <c r="L14" s="1"/>
      <c r="M14" s="1"/>
      <c r="N14" s="1"/>
      <c r="O14" s="1"/>
      <c r="P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2.75" customHeight="1">
      <c r="A16" s="1" t="s">
        <v>56</v>
      </c>
      <c r="B16" s="1" t="s">
        <v>57</v>
      </c>
      <c r="C16" s="1" t="s">
        <v>16</v>
      </c>
      <c r="D16" s="1" t="s">
        <v>58</v>
      </c>
      <c r="E16" s="1" t="s">
        <v>59</v>
      </c>
      <c r="F16" s="1" t="s">
        <v>61</v>
      </c>
      <c r="G16" s="1" t="s">
        <v>62</v>
      </c>
      <c r="H16" s="1" t="s">
        <v>63</v>
      </c>
      <c r="I16" s="1"/>
      <c r="J16" s="1"/>
      <c r="K16" s="1"/>
      <c r="L16" s="1"/>
      <c r="M16" s="1"/>
      <c r="N16" s="1"/>
      <c r="O16" s="1"/>
      <c r="P16" s="1"/>
    </row>
    <row r="17" ht="12.75" customHeight="1">
      <c r="A17" s="1" t="s">
        <v>64</v>
      </c>
      <c r="B17" s="1" t="s">
        <v>65</v>
      </c>
      <c r="C17" s="1" t="s">
        <v>63</v>
      </c>
      <c r="D17" s="1" t="s">
        <v>66</v>
      </c>
      <c r="E17" s="1" t="s">
        <v>67</v>
      </c>
      <c r="F17" s="1" t="s">
        <v>68</v>
      </c>
      <c r="G17" s="1" t="s">
        <v>69</v>
      </c>
      <c r="H17" s="1" t="s">
        <v>71</v>
      </c>
      <c r="I17" s="1"/>
      <c r="J17" s="1"/>
      <c r="K17" s="1"/>
      <c r="L17" s="1"/>
      <c r="M17" s="1"/>
      <c r="N17" s="1"/>
      <c r="O17" s="1"/>
      <c r="P17" s="1"/>
    </row>
    <row r="18" ht="12.75" customHeight="1">
      <c r="A18" s="1" t="s">
        <v>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12.75" customHeight="1">
      <c r="A20" s="1">
        <v>14.0</v>
      </c>
      <c r="B20" s="1" t="s">
        <v>77</v>
      </c>
      <c r="C20" s="1" t="s">
        <v>12</v>
      </c>
      <c r="D20" s="1" t="s">
        <v>25</v>
      </c>
      <c r="E20" s="1" t="s">
        <v>13</v>
      </c>
      <c r="F20" s="1" t="s">
        <v>14</v>
      </c>
      <c r="G20" s="1" t="s">
        <v>13</v>
      </c>
      <c r="H20" s="1" t="s">
        <v>15</v>
      </c>
      <c r="I20" s="1" t="s">
        <v>16</v>
      </c>
      <c r="J20" s="1" t="s">
        <v>17</v>
      </c>
      <c r="K20" s="1" t="s">
        <v>6</v>
      </c>
      <c r="L20" s="1" t="s">
        <v>80</v>
      </c>
      <c r="M20" s="1" t="s">
        <v>16</v>
      </c>
      <c r="N20" s="1" t="s">
        <v>82</v>
      </c>
      <c r="O20" s="1"/>
      <c r="P20" s="1"/>
    </row>
    <row r="21" ht="12.75" customHeight="1">
      <c r="A21" s="1">
        <v>15.0</v>
      </c>
      <c r="B21" s="1" t="s">
        <v>83</v>
      </c>
      <c r="C21" s="1" t="s">
        <v>1</v>
      </c>
      <c r="D21" s="1" t="s">
        <v>77</v>
      </c>
      <c r="E21" s="1" t="s">
        <v>3</v>
      </c>
      <c r="F21" s="1" t="s">
        <v>4</v>
      </c>
      <c r="G21" s="1" t="s">
        <v>31</v>
      </c>
      <c r="H21" s="1" t="s">
        <v>47</v>
      </c>
      <c r="I21" s="1" t="s">
        <v>6</v>
      </c>
      <c r="J21" s="1" t="s">
        <v>80</v>
      </c>
      <c r="K21" s="1" t="s">
        <v>16</v>
      </c>
      <c r="L21" s="1" t="s">
        <v>82</v>
      </c>
      <c r="M21" s="1"/>
      <c r="N21" s="1"/>
      <c r="O21" s="1"/>
      <c r="P21" s="1"/>
    </row>
    <row r="22" ht="12.75" customHeight="1">
      <c r="A22" s="1">
        <v>16.0</v>
      </c>
      <c r="B22" s="1" t="s">
        <v>87</v>
      </c>
      <c r="C22" s="1" t="s">
        <v>1</v>
      </c>
      <c r="D22" s="1" t="s">
        <v>77</v>
      </c>
      <c r="E22" s="1" t="s">
        <v>3</v>
      </c>
      <c r="F22" s="1" t="s">
        <v>4</v>
      </c>
      <c r="G22" s="1" t="s">
        <v>31</v>
      </c>
      <c r="H22" s="1" t="s">
        <v>32</v>
      </c>
      <c r="I22" s="1" t="s">
        <v>88</v>
      </c>
      <c r="J22" s="1" t="s">
        <v>9</v>
      </c>
      <c r="K22" s="1" t="s">
        <v>33</v>
      </c>
      <c r="L22" s="1" t="s">
        <v>16</v>
      </c>
      <c r="M22" s="1" t="s">
        <v>26</v>
      </c>
      <c r="N22" s="1" t="s">
        <v>27</v>
      </c>
      <c r="O22" s="1" t="s">
        <v>89</v>
      </c>
      <c r="P22" s="1" t="s">
        <v>90</v>
      </c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2.75" customHeight="1">
      <c r="A24" s="1" t="s">
        <v>92</v>
      </c>
      <c r="B24" s="1" t="s">
        <v>93</v>
      </c>
      <c r="C24" s="1" t="s">
        <v>24</v>
      </c>
      <c r="D24" s="1" t="s">
        <v>94</v>
      </c>
      <c r="E24" s="1" t="s">
        <v>16</v>
      </c>
      <c r="F24" s="1" t="s">
        <v>22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2.75" customHeight="1">
      <c r="A25" s="1">
        <v>17.0</v>
      </c>
      <c r="B25" s="1" t="s">
        <v>95</v>
      </c>
      <c r="C25" s="1" t="s">
        <v>12</v>
      </c>
      <c r="D25" s="1" t="s">
        <v>25</v>
      </c>
      <c r="E25" s="1" t="s">
        <v>13</v>
      </c>
      <c r="F25" s="1" t="s">
        <v>14</v>
      </c>
      <c r="G25" s="1" t="s">
        <v>13</v>
      </c>
      <c r="H25" s="1" t="s">
        <v>15</v>
      </c>
      <c r="I25" s="1" t="s">
        <v>16</v>
      </c>
      <c r="J25" s="1" t="s">
        <v>17</v>
      </c>
      <c r="K25" s="1" t="s">
        <v>6</v>
      </c>
      <c r="L25" s="1" t="s">
        <v>96</v>
      </c>
      <c r="M25" s="1"/>
      <c r="N25" s="1"/>
      <c r="O25" s="1"/>
      <c r="P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2.75" customHeight="1">
      <c r="A27" s="1" t="s">
        <v>98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2.75" customHeight="1">
      <c r="A28" s="1">
        <v>0.0416666666666667</v>
      </c>
      <c r="B28" s="1" t="s">
        <v>100</v>
      </c>
      <c r="C28" s="1">
        <v>442.0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63</v>
      </c>
      <c r="I28" s="1" t="s">
        <v>106</v>
      </c>
      <c r="J28" s="1" t="s">
        <v>98</v>
      </c>
      <c r="K28" s="1"/>
      <c r="L28" s="1"/>
      <c r="M28" s="1"/>
      <c r="N28" s="1"/>
      <c r="O28" s="1"/>
      <c r="P28" s="1"/>
    </row>
    <row r="29" ht="12.75" customHeight="1">
      <c r="A29" s="1">
        <v>0.0833333333333333</v>
      </c>
      <c r="B29" s="1" t="s">
        <v>102</v>
      </c>
      <c r="C29" s="1" t="s">
        <v>103</v>
      </c>
      <c r="D29" s="1" t="s">
        <v>107</v>
      </c>
      <c r="E29" s="1" t="s">
        <v>9</v>
      </c>
      <c r="F29" s="1" t="s">
        <v>108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2.75" customHeight="1">
      <c r="A31" s="1">
        <v>18.0</v>
      </c>
      <c r="B31" s="1" t="s">
        <v>112</v>
      </c>
      <c r="C31" s="1" t="s">
        <v>1</v>
      </c>
      <c r="D31" s="1" t="s">
        <v>95</v>
      </c>
      <c r="E31" s="1" t="s">
        <v>3</v>
      </c>
      <c r="F31" s="1" t="s">
        <v>4</v>
      </c>
      <c r="G31" s="1">
        <v>3.0</v>
      </c>
      <c r="H31" s="1" t="s">
        <v>5</v>
      </c>
      <c r="I31" s="1" t="s">
        <v>6</v>
      </c>
      <c r="J31" s="1" t="s">
        <v>117</v>
      </c>
      <c r="K31" s="1" t="s">
        <v>8</v>
      </c>
      <c r="L31" s="1" t="s">
        <v>118</v>
      </c>
      <c r="M31" s="1" t="s">
        <v>119</v>
      </c>
      <c r="N31" s="1" t="s">
        <v>120</v>
      </c>
      <c r="O31" s="1" t="s">
        <v>121</v>
      </c>
      <c r="P31" s="1" t="s">
        <v>122</v>
      </c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2.75" customHeight="1">
      <c r="A33" s="1" t="s">
        <v>123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2.75" customHeight="1">
      <c r="A35" s="1">
        <v>19.0</v>
      </c>
      <c r="B35" s="1" t="s">
        <v>0</v>
      </c>
      <c r="C35" s="1" t="s">
        <v>1</v>
      </c>
      <c r="D35" s="1" t="s">
        <v>95</v>
      </c>
      <c r="E35" s="1" t="s">
        <v>3</v>
      </c>
      <c r="F35" s="1" t="s">
        <v>4</v>
      </c>
      <c r="G35" s="1">
        <v>6.0</v>
      </c>
      <c r="H35" s="1" t="s">
        <v>5</v>
      </c>
      <c r="I35" s="1" t="s">
        <v>16</v>
      </c>
      <c r="J35" s="1" t="s">
        <v>7</v>
      </c>
      <c r="K35" s="1" t="s">
        <v>8</v>
      </c>
      <c r="L35" s="1" t="s">
        <v>118</v>
      </c>
      <c r="M35" s="1" t="s">
        <v>119</v>
      </c>
      <c r="N35" s="1" t="s">
        <v>120</v>
      </c>
      <c r="O35" s="1" t="s">
        <v>121</v>
      </c>
      <c r="P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2.75" customHeight="1">
      <c r="A37" s="1" t="s">
        <v>122</v>
      </c>
      <c r="B37" s="1" t="s">
        <v>123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2.75" customHeight="1">
      <c r="A39" s="1">
        <v>20.0</v>
      </c>
      <c r="B39" s="1" t="s">
        <v>19</v>
      </c>
      <c r="C39" s="1" t="s">
        <v>1</v>
      </c>
      <c r="D39" s="1" t="s">
        <v>95</v>
      </c>
      <c r="E39" s="1" t="s">
        <v>3</v>
      </c>
      <c r="F39" s="1" t="s">
        <v>14</v>
      </c>
      <c r="G39" s="1">
        <v>13.2</v>
      </c>
      <c r="H39" s="1" t="s">
        <v>21</v>
      </c>
      <c r="I39" s="1" t="s">
        <v>16</v>
      </c>
      <c r="J39" s="1" t="s">
        <v>141</v>
      </c>
      <c r="K39" s="1" t="s">
        <v>142</v>
      </c>
      <c r="L39" s="1" t="s">
        <v>143</v>
      </c>
      <c r="M39" s="1" t="s">
        <v>9</v>
      </c>
      <c r="N39" s="1" t="s">
        <v>144</v>
      </c>
      <c r="O39" s="1" t="s">
        <v>145</v>
      </c>
      <c r="P39" s="1"/>
    </row>
    <row r="40" ht="12.75" customHeight="1">
      <c r="A40" s="1">
        <v>21.0</v>
      </c>
      <c r="B40" s="1" t="s">
        <v>146</v>
      </c>
      <c r="C40" s="1" t="s">
        <v>1</v>
      </c>
      <c r="D40" s="1" t="s">
        <v>95</v>
      </c>
      <c r="E40" s="1" t="s">
        <v>3</v>
      </c>
      <c r="F40" s="1" t="s">
        <v>4</v>
      </c>
      <c r="G40" s="1" t="s">
        <v>31</v>
      </c>
      <c r="H40" s="1" t="s">
        <v>32</v>
      </c>
      <c r="I40" s="1" t="s">
        <v>147</v>
      </c>
      <c r="J40" s="1" t="s">
        <v>123</v>
      </c>
      <c r="K40" s="1"/>
      <c r="L40" s="1"/>
      <c r="M40" s="1"/>
      <c r="N40" s="1"/>
      <c r="O40" s="1"/>
      <c r="P40" s="1"/>
    </row>
    <row r="41" ht="12.75" customHeight="1">
      <c r="A41" s="1">
        <v>22.0</v>
      </c>
      <c r="B41" s="1" t="s">
        <v>153</v>
      </c>
      <c r="C41" s="1" t="s">
        <v>1</v>
      </c>
      <c r="D41" s="1" t="s">
        <v>95</v>
      </c>
      <c r="E41" s="1" t="s">
        <v>3</v>
      </c>
      <c r="F41" s="1" t="s">
        <v>4</v>
      </c>
      <c r="G41" s="1">
        <v>13.2</v>
      </c>
      <c r="H41" s="1" t="s">
        <v>20</v>
      </c>
      <c r="I41" s="1" t="s">
        <v>6</v>
      </c>
      <c r="J41" s="1" t="s">
        <v>156</v>
      </c>
      <c r="K41" s="1"/>
      <c r="L41" s="1"/>
      <c r="M41" s="1"/>
      <c r="N41" s="1"/>
      <c r="O41" s="1"/>
      <c r="P41" s="1"/>
    </row>
    <row r="42" ht="12.75" customHeight="1">
      <c r="A42" s="1" t="s">
        <v>158</v>
      </c>
      <c r="B42" s="1" t="s">
        <v>160</v>
      </c>
      <c r="C42" s="1" t="s">
        <v>161</v>
      </c>
      <c r="D42" s="1" t="s">
        <v>9</v>
      </c>
      <c r="E42" s="1" t="s">
        <v>162</v>
      </c>
      <c r="F42" s="1" t="s">
        <v>9</v>
      </c>
      <c r="G42" s="1" t="s">
        <v>163</v>
      </c>
      <c r="H42" s="1"/>
      <c r="I42" s="1"/>
      <c r="J42" s="1"/>
      <c r="K42" s="1"/>
      <c r="L42" s="1"/>
      <c r="M42" s="1"/>
      <c r="N42" s="1"/>
      <c r="O42" s="1"/>
      <c r="P42" s="1"/>
    </row>
    <row r="43" ht="12.75" customHeight="1">
      <c r="A43" s="1">
        <v>23.0</v>
      </c>
      <c r="B43" s="1" t="s">
        <v>164</v>
      </c>
      <c r="C43" s="1" t="s">
        <v>1</v>
      </c>
      <c r="D43" s="1" t="s">
        <v>25</v>
      </c>
      <c r="E43" s="1" t="s">
        <v>3</v>
      </c>
      <c r="F43" s="1" t="s">
        <v>4</v>
      </c>
      <c r="G43" s="1">
        <v>13.2</v>
      </c>
      <c r="H43" s="1" t="s">
        <v>20</v>
      </c>
      <c r="I43" s="1" t="s">
        <v>9</v>
      </c>
      <c r="J43" s="1" t="s">
        <v>33</v>
      </c>
      <c r="K43" s="1" t="s">
        <v>16</v>
      </c>
      <c r="L43" s="1" t="s">
        <v>26</v>
      </c>
      <c r="M43" s="1" t="s">
        <v>6</v>
      </c>
      <c r="N43" s="1" t="s">
        <v>89</v>
      </c>
      <c r="O43" s="1"/>
      <c r="P43" s="1"/>
    </row>
    <row r="44" ht="12.75" customHeight="1">
      <c r="A44" s="1">
        <v>24.0</v>
      </c>
      <c r="B44" s="1" t="s">
        <v>171</v>
      </c>
      <c r="C44" s="1" t="s">
        <v>12</v>
      </c>
      <c r="D44" s="1" t="s">
        <v>11</v>
      </c>
      <c r="E44" s="1" t="s">
        <v>13</v>
      </c>
      <c r="F44" s="1" t="s">
        <v>4</v>
      </c>
      <c r="G44" s="1" t="s">
        <v>13</v>
      </c>
      <c r="H44" s="1" t="s">
        <v>15</v>
      </c>
      <c r="I44" s="1" t="s">
        <v>16</v>
      </c>
      <c r="J44" s="1" t="s">
        <v>17</v>
      </c>
      <c r="K44" s="1" t="s">
        <v>9</v>
      </c>
      <c r="L44" s="1" t="s">
        <v>10</v>
      </c>
      <c r="M44" s="1" t="s">
        <v>16</v>
      </c>
      <c r="N44" s="1" t="s">
        <v>26</v>
      </c>
      <c r="O44" s="1"/>
      <c r="P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2.75" customHeight="1">
      <c r="A46" s="1" t="s">
        <v>9</v>
      </c>
      <c r="B46" s="1" t="s">
        <v>177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2.75" customHeight="1">
      <c r="A47" s="1">
        <v>25.0</v>
      </c>
      <c r="B47" s="1" t="s">
        <v>182</v>
      </c>
      <c r="C47" s="1" t="s">
        <v>1</v>
      </c>
      <c r="D47" s="1" t="s">
        <v>171</v>
      </c>
      <c r="E47" s="1" t="s">
        <v>3</v>
      </c>
      <c r="F47" s="1" t="s">
        <v>4</v>
      </c>
      <c r="G47" s="1" t="s">
        <v>31</v>
      </c>
      <c r="H47" s="1" t="s">
        <v>32</v>
      </c>
      <c r="I47" s="1" t="s">
        <v>9</v>
      </c>
      <c r="J47" s="1" t="s">
        <v>33</v>
      </c>
      <c r="K47" s="1" t="s">
        <v>184</v>
      </c>
      <c r="L47" s="1"/>
      <c r="M47" s="1"/>
      <c r="N47" s="1"/>
      <c r="O47" s="1"/>
      <c r="P47" s="1"/>
    </row>
    <row r="48" ht="12.75" customHeight="1">
      <c r="A48" s="1">
        <v>26.0</v>
      </c>
      <c r="B48" s="1" t="s">
        <v>185</v>
      </c>
      <c r="C48" s="1" t="s">
        <v>36</v>
      </c>
      <c r="D48" s="1" t="s">
        <v>13</v>
      </c>
      <c r="E48" s="1" t="s">
        <v>171</v>
      </c>
      <c r="F48" s="1" t="s">
        <v>13</v>
      </c>
      <c r="G48" s="1" t="s">
        <v>14</v>
      </c>
      <c r="H48" s="1" t="s">
        <v>13</v>
      </c>
      <c r="I48" s="1" t="s">
        <v>13</v>
      </c>
      <c r="J48" s="1"/>
      <c r="K48" s="1"/>
      <c r="L48" s="1"/>
      <c r="M48" s="1"/>
      <c r="N48" s="1"/>
      <c r="O48" s="1"/>
      <c r="P48" s="1"/>
    </row>
    <row r="49" ht="12.75" customHeight="1">
      <c r="A49" s="1">
        <v>27.0</v>
      </c>
      <c r="B49" s="1" t="s">
        <v>37</v>
      </c>
      <c r="C49" s="1" t="s">
        <v>1</v>
      </c>
      <c r="D49" s="1" t="s">
        <v>171</v>
      </c>
      <c r="E49" s="1" t="s">
        <v>3</v>
      </c>
      <c r="F49" s="1" t="s">
        <v>4</v>
      </c>
      <c r="G49" s="1">
        <v>13.2</v>
      </c>
      <c r="H49" s="1" t="s">
        <v>20</v>
      </c>
      <c r="I49" s="1" t="s">
        <v>9</v>
      </c>
      <c r="J49" s="1" t="s">
        <v>39</v>
      </c>
      <c r="K49" s="1" t="s">
        <v>40</v>
      </c>
      <c r="L49" s="1" t="s">
        <v>41</v>
      </c>
      <c r="M49" s="1" t="s">
        <v>42</v>
      </c>
      <c r="N49" s="1"/>
      <c r="O49" s="1"/>
      <c r="P49" s="1"/>
    </row>
    <row r="50" ht="12.75" customHeight="1">
      <c r="A50" s="1">
        <v>28.0</v>
      </c>
      <c r="B50" s="1" t="s">
        <v>43</v>
      </c>
      <c r="C50" s="1" t="s">
        <v>12</v>
      </c>
      <c r="D50" s="1" t="s">
        <v>171</v>
      </c>
      <c r="E50" s="1" t="s">
        <v>13</v>
      </c>
      <c r="F50" s="1" t="s">
        <v>14</v>
      </c>
      <c r="G50" s="1" t="s">
        <v>13</v>
      </c>
      <c r="H50" s="1" t="s">
        <v>15</v>
      </c>
      <c r="I50" s="1" t="s">
        <v>16</v>
      </c>
      <c r="J50" s="1" t="s">
        <v>44</v>
      </c>
      <c r="K50" s="1" t="s">
        <v>9</v>
      </c>
      <c r="L50" s="1" t="s">
        <v>45</v>
      </c>
      <c r="M50" s="1"/>
      <c r="N50" s="1"/>
      <c r="O50" s="1"/>
      <c r="P50" s="1"/>
    </row>
    <row r="51" ht="12.75" customHeight="1">
      <c r="A51" s="1">
        <v>29.0</v>
      </c>
      <c r="B51" s="1" t="s">
        <v>46</v>
      </c>
      <c r="C51" s="1" t="s">
        <v>1</v>
      </c>
      <c r="D51" s="1" t="s">
        <v>43</v>
      </c>
      <c r="E51" s="1" t="s">
        <v>3</v>
      </c>
      <c r="F51" s="1" t="s">
        <v>4</v>
      </c>
      <c r="G51" s="1" t="s">
        <v>31</v>
      </c>
      <c r="H51" s="1" t="s">
        <v>47</v>
      </c>
      <c r="I51" s="1" t="s">
        <v>16</v>
      </c>
      <c r="J51" s="1" t="s">
        <v>45</v>
      </c>
      <c r="K51" s="1"/>
      <c r="L51" s="1"/>
      <c r="M51" s="1"/>
      <c r="N51" s="1"/>
      <c r="O51" s="1"/>
      <c r="P51" s="1"/>
    </row>
    <row r="52" ht="12.75" customHeight="1">
      <c r="A52" s="1">
        <v>30.0</v>
      </c>
      <c r="B52" s="1" t="s">
        <v>48</v>
      </c>
      <c r="C52" s="1" t="s">
        <v>1</v>
      </c>
      <c r="D52" s="1" t="s">
        <v>43</v>
      </c>
      <c r="E52" s="1" t="s">
        <v>3</v>
      </c>
      <c r="F52" s="1" t="s">
        <v>4</v>
      </c>
      <c r="G52" s="1">
        <v>13.2</v>
      </c>
      <c r="H52" s="1" t="s">
        <v>20</v>
      </c>
      <c r="I52" s="1" t="s">
        <v>9</v>
      </c>
      <c r="J52" s="1" t="s">
        <v>45</v>
      </c>
      <c r="K52" s="1"/>
      <c r="L52" s="1"/>
      <c r="M52" s="1"/>
      <c r="N52" s="1"/>
      <c r="O52" s="1"/>
      <c r="P52" s="1"/>
    </row>
    <row r="53" ht="12.75" customHeight="1">
      <c r="A53" s="1">
        <v>31.0</v>
      </c>
      <c r="B53" s="1" t="s">
        <v>49</v>
      </c>
      <c r="C53" s="1" t="s">
        <v>12</v>
      </c>
      <c r="D53" s="1" t="s">
        <v>171</v>
      </c>
      <c r="E53" s="1" t="s">
        <v>13</v>
      </c>
      <c r="F53" s="1" t="s">
        <v>14</v>
      </c>
      <c r="G53" s="1" t="s">
        <v>13</v>
      </c>
      <c r="H53" s="1" t="s">
        <v>15</v>
      </c>
      <c r="I53" s="1" t="s">
        <v>16</v>
      </c>
      <c r="J53" s="1" t="s">
        <v>17</v>
      </c>
      <c r="K53" s="1" t="s">
        <v>6</v>
      </c>
      <c r="L53" s="1" t="s">
        <v>50</v>
      </c>
      <c r="M53" s="1" t="s">
        <v>9</v>
      </c>
      <c r="N53" s="1" t="s">
        <v>54</v>
      </c>
      <c r="O53" s="1"/>
      <c r="P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2026-07-30T14:38:00Z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DF528F55855748C0925C64C2964A1011_12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