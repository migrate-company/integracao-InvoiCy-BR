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10086\Desktop\"/>
    </mc:Choice>
  </mc:AlternateContent>
  <bookViews>
    <workbookView xWindow="0" yWindow="0" windowWidth="20490" windowHeight="7305" tabRatio="800"/>
  </bookViews>
  <sheets>
    <sheet name="WSConsMDFeEntrada" sheetId="10" r:id="rId1"/>
    <sheet name="Retorno_WSConsMDFeEntrada" sheetId="7" r:id="rId2"/>
  </sheets>
  <definedNames>
    <definedName name="_xlnm._FilterDatabase" localSheetId="0" hidden="1">WSConsMDFeEntrada!$A$1:$J$8</definedName>
    <definedName name="CabecalhoEnvio" localSheetId="0">WSConsMDFeEntrada!$A$4</definedName>
    <definedName name="ConstCivilEnvio" localSheetId="0">WSConsMDFeEntrada!#REF!</definedName>
    <definedName name="DedEnvio" localSheetId="0">WSConsMDFeEntrada!#REF!</definedName>
    <definedName name="EnvioParcela" localSheetId="0">WSConsMDFeEntrada!#REF!</definedName>
    <definedName name="ErrosRetornoEnvio" localSheetId="1">Retorno_WSConsMDFeEntrada!#REF!</definedName>
    <definedName name="ErrosRetornoEnvioItem" localSheetId="1">Retorno_WSConsMDFeEntrada!#REF!</definedName>
    <definedName name="InfEnvio" localSheetId="0">WSConsMDFeEntrada!#REF!</definedName>
    <definedName name="IntermServicoEnvio" localSheetId="0">WSConsMDFeEntrada!#REF!</definedName>
    <definedName name="ItemEnvio" localSheetId="0">WSConsMDFeEntrada!#REF!</definedName>
    <definedName name="ListaDedEnvio" localSheetId="0">WSConsMDFeEntrada!#REF!</definedName>
    <definedName name="ListaEnvio" localSheetId="0">WSConsMDFeEntrada!#REF!</definedName>
    <definedName name="ListaItensEnvio" localSheetId="0">WSConsMDFeEntrada!#REF!</definedName>
    <definedName name="ListaRPSRetornoEnvio" localSheetId="1">Retorno_WSConsMDFeEntrada!$A$12</definedName>
    <definedName name="MensagemRetornoEnvio" localSheetId="1">Retorno_WSConsMDFeEntrada!$A$6</definedName>
    <definedName name="NFSERetornoEnvio" localSheetId="1">Retorno_WSConsMDFeEntrada!$A$20</definedName>
    <definedName name="RPSEnvio" localSheetId="0">WSConsMDFeEntrada!#REF!</definedName>
    <definedName name="RPSRetornoEnvio" localSheetId="1">Retorno_WSConsMDFeEntrada!$A$13</definedName>
    <definedName name="RPSSubsEnvio" localSheetId="0">WSConsMDFeEntrada!#REF!</definedName>
    <definedName name="SDTRecepcaoRPSEnvioV2" localSheetId="0">WSConsMDFeEntrada!$A$2</definedName>
    <definedName name="SDTRecepcaoRPSRetornoV2" localSheetId="1">Retorno_WSConsMDFeEntrada!#REF!</definedName>
    <definedName name="ServicoEnvio" localSheetId="0">WSConsMDFeEntrada!#REF!</definedName>
    <definedName name="TomadorEnvio" localSheetId="0">WSConsMDFeEntrada!#REF!</definedName>
    <definedName name="ValoresEnvio" localSheetId="0">WSConsMDFeEntrada!#REF!</definedName>
  </definedNames>
  <calcPr calcId="152511" iterateDelta="1E-4"/>
</workbook>
</file>

<file path=xl/calcChain.xml><?xml version="1.0" encoding="utf-8"?>
<calcChain xmlns="http://schemas.openxmlformats.org/spreadsheetml/2006/main">
  <c r="B6" i="10" l="1"/>
  <c r="A6" i="10"/>
  <c r="A8" i="7" l="1"/>
  <c r="B8" i="7" s="1"/>
  <c r="A9" i="7"/>
  <c r="B9" i="7" s="1"/>
  <c r="A10" i="7"/>
  <c r="B10" i="7" s="1"/>
  <c r="A11" i="7"/>
  <c r="B11" i="7" s="1"/>
  <c r="A5" i="7"/>
  <c r="B5" i="7" s="1"/>
  <c r="A8" i="10"/>
  <c r="B8" i="10" s="1"/>
  <c r="A5" i="10"/>
  <c r="B5" i="10" s="1"/>
  <c r="A4" i="10"/>
  <c r="B4" i="10" s="1"/>
  <c r="A3" i="10"/>
  <c r="B3" i="10" s="1"/>
  <c r="A2" i="10"/>
  <c r="B2" i="10" s="1"/>
  <c r="A16" i="7"/>
  <c r="B16" i="7" s="1"/>
  <c r="A15" i="7"/>
  <c r="B15" i="7" s="1"/>
  <c r="A14" i="7"/>
  <c r="B14" i="7" s="1"/>
  <c r="A13" i="7"/>
  <c r="B13" i="7" s="1"/>
  <c r="A12" i="7"/>
  <c r="B12" i="7" s="1"/>
  <c r="A7" i="7"/>
  <c r="B7" i="7" s="1"/>
  <c r="A6" i="7"/>
  <c r="B6" i="7" s="1"/>
  <c r="A2" i="7"/>
  <c r="B2" i="7" s="1"/>
  <c r="H4" i="10" l="1"/>
  <c r="H5" i="10"/>
  <c r="H14" i="7"/>
</calcChain>
</file>

<file path=xl/sharedStrings.xml><?xml version="1.0" encoding="utf-8"?>
<sst xmlns="http://schemas.openxmlformats.org/spreadsheetml/2006/main" count="170" uniqueCount="81">
  <si>
    <t>Nº</t>
  </si>
  <si>
    <t>Seq</t>
  </si>
  <si>
    <t>XML</t>
  </si>
  <si>
    <t>Descrição</t>
  </si>
  <si>
    <t>Ele</t>
  </si>
  <si>
    <t>Tipo</t>
  </si>
  <si>
    <t>Ocorrência</t>
  </si>
  <si>
    <t>Pai</t>
  </si>
  <si>
    <t>Observação</t>
  </si>
  <si>
    <t>Versão</t>
  </si>
  <si>
    <t>G</t>
  </si>
  <si>
    <t>-</t>
  </si>
  <si>
    <t>E</t>
  </si>
  <si>
    <t>1-1</t>
  </si>
  <si>
    <t>N(15.0)</t>
  </si>
  <si>
    <t>N(8.0)</t>
  </si>
  <si>
    <t>Elemento Superior da Estrutura</t>
  </si>
  <si>
    <t>1.0.0.0</t>
  </si>
  <si>
    <t>C05</t>
  </si>
  <si>
    <t>Chave de acesso</t>
  </si>
  <si>
    <t>Código da Mensagem</t>
  </si>
  <si>
    <t>Descrição da Mensagem</t>
  </si>
  <si>
    <t>V(2000)</t>
  </si>
  <si>
    <t>C04</t>
  </si>
  <si>
    <t>Documentos</t>
  </si>
  <si>
    <t>Tipo do Arquivo</t>
  </si>
  <si>
    <t>CNPJ do Emitente</t>
  </si>
  <si>
    <t>C01</t>
  </si>
  <si>
    <t>N(1)</t>
  </si>
  <si>
    <t>V(44)</t>
  </si>
  <si>
    <t>V(14)</t>
  </si>
  <si>
    <t>V(3)</t>
  </si>
  <si>
    <t>DistribuicaoDFe</t>
  </si>
  <si>
    <t>ModeloDocumento</t>
  </si>
  <si>
    <t>V(10)</t>
  </si>
  <si>
    <t>Versao</t>
  </si>
  <si>
    <t>Versão do layout</t>
  </si>
  <si>
    <t>N(2.2)</t>
  </si>
  <si>
    <t>UsarUltimoNSU</t>
  </si>
  <si>
    <t>Indica se o InvoiCy deve ou não usar o último NSU</t>
  </si>
  <si>
    <t>C(1)</t>
  </si>
  <si>
    <t>S - Sim; N - Não</t>
  </si>
  <si>
    <t>NSUEspecifico</t>
  </si>
  <si>
    <t>Utilizar NSU específico para fazer a consulta</t>
  </si>
  <si>
    <t>C(15)</t>
  </si>
  <si>
    <t>0-1</t>
  </si>
  <si>
    <t>Caso o cliente queira consultar por um NSU específico, informar neste campo e colocar o atributo UsarUltimoNSU como "N". Campo obrigatório, caso "UsarUltimoNSU" estiver preenchido com N. Para preencher o NSU, informar as 15 posições, ex: 000000000000123</t>
  </si>
  <si>
    <t>RetornoDFe</t>
  </si>
  <si>
    <t>UltimoNSU</t>
  </si>
  <si>
    <t>Último NSU pesquisado no Ambiente Nacional. Se for o caso, o solicitante pode continuar a consulta a partir deste NSU para obter novos resultados</t>
  </si>
  <si>
    <t>MaximoNSU</t>
  </si>
  <si>
    <t>1-2</t>
  </si>
  <si>
    <t>Maior NSU existente no Ambiente Nacional para a empresa</t>
  </si>
  <si>
    <t>DocumentosItem</t>
  </si>
  <si>
    <t>NSU do Documento</t>
  </si>
  <si>
    <t>DocCNPJEmitente</t>
  </si>
  <si>
    <t>DocNumero</t>
  </si>
  <si>
    <t>DocSerie</t>
  </si>
  <si>
    <t>DocChaAcesso</t>
  </si>
  <si>
    <t>DocNSU</t>
  </si>
  <si>
    <t>DocTipoArquivo</t>
  </si>
  <si>
    <t>DocXML</t>
  </si>
  <si>
    <t>XML do documento de acordo com o tipo de arquivo</t>
  </si>
  <si>
    <t>Lv(2M)</t>
  </si>
  <si>
    <t>XML do documento em base64.</t>
  </si>
  <si>
    <t>1-50</t>
  </si>
  <si>
    <t>Situacao</t>
  </si>
  <si>
    <t>SitCodigo</t>
  </si>
  <si>
    <t>SitDescricao</t>
  </si>
  <si>
    <t>C13</t>
  </si>
  <si>
    <t>CNPJ do emissor do documento</t>
  </si>
  <si>
    <t>Chave de acesso do documento</t>
  </si>
  <si>
    <t>NSU do documento</t>
  </si>
  <si>
    <t>1-Resumo do documento | 2-Documento completo | 3 - Resumo do Evento | 4 - Evento completo</t>
  </si>
  <si>
    <t>CNPJEmissor</t>
  </si>
  <si>
    <t>tpAmb</t>
  </si>
  <si>
    <t>Ambiente</t>
  </si>
  <si>
    <t>Número do MDF-e</t>
  </si>
  <si>
    <t>Série do MDF-e</t>
  </si>
  <si>
    <t>Informar 3.00</t>
  </si>
  <si>
    <t>1-Produção; 2-Homologação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</si>
</sst>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indent="4"/>
    </xf>
    <xf numFmtId="0" fontId="2" fillId="2" borderId="1" xfId="0" applyFont="1" applyFill="1" applyBorder="1" applyAlignment="1">
      <alignment horizontal="left" vertical="center" indent="5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3"/>
    </xf>
    <xf numFmtId="0" fontId="2" fillId="2" borderId="1" xfId="0" applyFont="1" applyFill="1" applyBorder="1" applyAlignment="1">
      <alignment horizontal="left" vertical="center" indent="2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indent="2"/>
    </xf>
    <xf numFmtId="0" fontId="2" fillId="2" borderId="0" xfId="0" applyFont="1" applyFill="1" applyBorder="1" applyAlignment="1">
      <alignment horizontal="justify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RowHeight="12.75" x14ac:dyDescent="0.25"/>
  <cols>
    <col min="1" max="1" width="4.42578125" style="13" bestFit="1" customWidth="1"/>
    <col min="2" max="2" width="5.5703125" style="13" bestFit="1" customWidth="1"/>
    <col min="3" max="3" width="30.85546875" style="14" customWidth="1"/>
    <col min="4" max="4" width="48.42578125" style="14" bestFit="1" customWidth="1"/>
    <col min="5" max="5" width="3.5703125" style="13" bestFit="1" customWidth="1"/>
    <col min="6" max="6" width="9.42578125" style="13" bestFit="1" customWidth="1"/>
    <col min="7" max="7" width="10.28515625" style="13" customWidth="1"/>
    <col min="8" max="8" width="5" style="13" customWidth="1"/>
    <col min="9" max="9" width="61.28515625" style="14" customWidth="1"/>
    <col min="10" max="10" width="14" style="13" customWidth="1"/>
    <col min="11" max="16384" width="9.140625" style="14"/>
  </cols>
  <sheetData>
    <row r="1" spans="1:10" x14ac:dyDescent="0.2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19" t="s">
        <v>9</v>
      </c>
    </row>
    <row r="2" spans="1:10" s="18" customFormat="1" x14ac:dyDescent="0.25">
      <c r="A2" s="6">
        <f>ROW()-1</f>
        <v>1</v>
      </c>
      <c r="B2" s="5" t="str">
        <f>CONCATENATE("C",IF(A2&lt;=9,0,),A2)</f>
        <v>C01</v>
      </c>
      <c r="C2" s="17" t="s">
        <v>32</v>
      </c>
      <c r="D2" s="8" t="s">
        <v>16</v>
      </c>
      <c r="E2" s="5" t="s">
        <v>10</v>
      </c>
      <c r="F2" s="5" t="s">
        <v>11</v>
      </c>
      <c r="G2" s="12" t="s">
        <v>13</v>
      </c>
      <c r="H2" s="5" t="s">
        <v>11</v>
      </c>
      <c r="I2" s="1"/>
      <c r="J2" s="6" t="s">
        <v>17</v>
      </c>
    </row>
    <row r="3" spans="1:10" s="18" customFormat="1" x14ac:dyDescent="0.25">
      <c r="A3" s="6">
        <f>ROW()-1</f>
        <v>2</v>
      </c>
      <c r="B3" s="5" t="str">
        <f>CONCATENATE("C",IF(A3&lt;=9,0,),A3)</f>
        <v>C02</v>
      </c>
      <c r="C3" s="26" t="s">
        <v>33</v>
      </c>
      <c r="D3" s="9" t="s">
        <v>16</v>
      </c>
      <c r="E3" s="4" t="s">
        <v>12</v>
      </c>
      <c r="F3" s="4" t="s">
        <v>34</v>
      </c>
      <c r="G3" s="11" t="s">
        <v>13</v>
      </c>
      <c r="H3" s="4" t="s">
        <v>27</v>
      </c>
      <c r="I3" s="2"/>
      <c r="J3" s="3" t="s">
        <v>17</v>
      </c>
    </row>
    <row r="4" spans="1:10" x14ac:dyDescent="0.25">
      <c r="A4" s="3">
        <f t="shared" ref="A4:A8" si="0">ROW()-1</f>
        <v>3</v>
      </c>
      <c r="B4" s="4" t="str">
        <f t="shared" ref="B4:B6" si="1">CONCATENATE("C",IF(A4&lt;=9,0,),A4)</f>
        <v>C03</v>
      </c>
      <c r="C4" s="26" t="s">
        <v>35</v>
      </c>
      <c r="D4" s="10" t="s">
        <v>36</v>
      </c>
      <c r="E4" s="4" t="s">
        <v>12</v>
      </c>
      <c r="F4" s="4" t="s">
        <v>37</v>
      </c>
      <c r="G4" s="11" t="s">
        <v>13</v>
      </c>
      <c r="H4" s="4" t="str">
        <f>$B$2</f>
        <v>C01</v>
      </c>
      <c r="I4" s="2" t="s">
        <v>79</v>
      </c>
      <c r="J4" s="3" t="s">
        <v>17</v>
      </c>
    </row>
    <row r="5" spans="1:10" x14ac:dyDescent="0.25">
      <c r="A5" s="3">
        <f t="shared" si="0"/>
        <v>4</v>
      </c>
      <c r="B5" s="4" t="str">
        <f t="shared" si="1"/>
        <v>C04</v>
      </c>
      <c r="C5" s="26" t="s">
        <v>74</v>
      </c>
      <c r="D5" s="7" t="s">
        <v>26</v>
      </c>
      <c r="E5" s="4" t="s">
        <v>12</v>
      </c>
      <c r="F5" s="4" t="s">
        <v>30</v>
      </c>
      <c r="G5" s="11" t="s">
        <v>13</v>
      </c>
      <c r="H5" s="4" t="str">
        <f>$B$2</f>
        <v>C01</v>
      </c>
      <c r="I5" s="10"/>
      <c r="J5" s="3" t="s">
        <v>17</v>
      </c>
    </row>
    <row r="6" spans="1:10" x14ac:dyDescent="0.25">
      <c r="A6" s="3">
        <f t="shared" si="0"/>
        <v>5</v>
      </c>
      <c r="B6" s="4" t="str">
        <f t="shared" si="1"/>
        <v>C05</v>
      </c>
      <c r="C6" s="26" t="s">
        <v>75</v>
      </c>
      <c r="D6" s="7" t="s">
        <v>76</v>
      </c>
      <c r="E6" s="4"/>
      <c r="F6" s="4" t="s">
        <v>28</v>
      </c>
      <c r="G6" s="11" t="s">
        <v>13</v>
      </c>
      <c r="H6" s="4" t="s">
        <v>27</v>
      </c>
      <c r="I6" s="10" t="s">
        <v>80</v>
      </c>
      <c r="J6" s="3" t="s">
        <v>17</v>
      </c>
    </row>
    <row r="7" spans="1:10" x14ac:dyDescent="0.25">
      <c r="A7" s="3">
        <v>5</v>
      </c>
      <c r="B7" s="4" t="s">
        <v>18</v>
      </c>
      <c r="C7" s="26" t="s">
        <v>38</v>
      </c>
      <c r="D7" s="7" t="s">
        <v>39</v>
      </c>
      <c r="E7" s="4" t="s">
        <v>12</v>
      </c>
      <c r="F7" s="4" t="s">
        <v>40</v>
      </c>
      <c r="G7" s="11" t="s">
        <v>13</v>
      </c>
      <c r="H7" s="4" t="s">
        <v>27</v>
      </c>
      <c r="I7" s="10" t="s">
        <v>41</v>
      </c>
      <c r="J7" s="3" t="s">
        <v>17</v>
      </c>
    </row>
    <row r="8" spans="1:10" ht="51" x14ac:dyDescent="0.25">
      <c r="A8" s="3">
        <f t="shared" si="0"/>
        <v>7</v>
      </c>
      <c r="B8" s="4" t="str">
        <f>CONCATENATE("C",IF(A8&lt;=9,0,),A8)</f>
        <v>C07</v>
      </c>
      <c r="C8" s="26" t="s">
        <v>42</v>
      </c>
      <c r="D8" s="7" t="s">
        <v>43</v>
      </c>
      <c r="E8" s="4" t="s">
        <v>12</v>
      </c>
      <c r="F8" s="4" t="s">
        <v>44</v>
      </c>
      <c r="G8" s="11" t="s">
        <v>45</v>
      </c>
      <c r="H8" s="4" t="s">
        <v>27</v>
      </c>
      <c r="I8" s="10" t="s">
        <v>46</v>
      </c>
      <c r="J8" s="3" t="s">
        <v>17</v>
      </c>
    </row>
    <row r="9" spans="1:10" x14ac:dyDescent="0.25">
      <c r="A9" s="21"/>
      <c r="B9" s="27"/>
      <c r="C9" s="28"/>
      <c r="D9" s="29"/>
      <c r="E9" s="27"/>
      <c r="F9" s="27"/>
      <c r="G9" s="30"/>
      <c r="H9" s="27"/>
      <c r="I9" s="31"/>
      <c r="J9" s="21"/>
    </row>
    <row r="10" spans="1:10" x14ac:dyDescent="0.25">
      <c r="I10" s="20"/>
      <c r="J10" s="21"/>
    </row>
  </sheetData>
  <conditionalFormatting sqref="A2:J2 G8:J9 A8:E9 A7:B7 A4:E6 G4:J6">
    <cfRule type="expression" dxfId="22" priority="9">
      <formula>ISEVEN(ROW())</formula>
    </cfRule>
  </conditionalFormatting>
  <conditionalFormatting sqref="J10">
    <cfRule type="expression" dxfId="21" priority="8">
      <formula>ISEVEN(ROW())</formula>
    </cfRule>
  </conditionalFormatting>
  <conditionalFormatting sqref="J10">
    <cfRule type="expression" dxfId="20" priority="7">
      <formula>ISEVEN(ROW())</formula>
    </cfRule>
  </conditionalFormatting>
  <conditionalFormatting sqref="J1">
    <cfRule type="expression" dxfId="19" priority="6">
      <formula>ISEVEN(ROW())</formula>
    </cfRule>
  </conditionalFormatting>
  <conditionalFormatting sqref="J1">
    <cfRule type="expression" dxfId="18" priority="5">
      <formula>ISEVEN(ROW())</formula>
    </cfRule>
  </conditionalFormatting>
  <conditionalFormatting sqref="A3:J3">
    <cfRule type="expression" dxfId="17" priority="4">
      <formula>ISEVEN(ROW())</formula>
    </cfRule>
  </conditionalFormatting>
  <conditionalFormatting sqref="F4:F6 F8:F9">
    <cfRule type="expression" dxfId="16" priority="3">
      <formula>ISEVEN(ROW())</formula>
    </cfRule>
  </conditionalFormatting>
  <conditionalFormatting sqref="G7:J7 C7:E7">
    <cfRule type="expression" dxfId="15" priority="2">
      <formula>ISEVEN(ROW())</formula>
    </cfRule>
  </conditionalFormatting>
  <conditionalFormatting sqref="F7">
    <cfRule type="expression" dxfId="14" priority="1">
      <formula>ISEVEN(ROW())</formula>
    </cfRule>
  </conditionalFormatting>
  <dataValidations count="2">
    <dataValidation type="list" errorStyle="warning" allowBlank="1" showDropDown="1" showInputMessage="1" showErrorMessage="1" sqref="G2:G9">
      <formula1>"1-1,1-N,0-1,0-N"</formula1>
    </dataValidation>
    <dataValidation type="list" errorStyle="warning" allowBlank="1" showDropDown="1" showInputMessage="1" showErrorMessage="1" sqref="E2:E9">
      <formula1>"E,G,CE,CG,A"</formula1>
    </dataValidation>
  </dataValidations>
  <pageMargins left="0.51181102362204722" right="0.51181102362204722" top="0.78740157480314965" bottom="0.78740157480314965" header="0.31496062992125984" footer="0.31496062992125984"/>
  <pageSetup paperSize="9" scale="76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ySplit="1" topLeftCell="A5" activePane="bottomLeft" state="frozen"/>
      <selection pane="bottomLeft" activeCell="D13" sqref="D13"/>
    </sheetView>
  </sheetViews>
  <sheetFormatPr defaultRowHeight="12.75" x14ac:dyDescent="0.25"/>
  <cols>
    <col min="1" max="1" width="4.42578125" style="13" bestFit="1" customWidth="1"/>
    <col min="2" max="2" width="5.5703125" style="13" bestFit="1" customWidth="1"/>
    <col min="3" max="3" width="30.85546875" style="14" customWidth="1"/>
    <col min="4" max="4" width="48.42578125" style="14" bestFit="1" customWidth="1"/>
    <col min="5" max="5" width="3.5703125" style="13" bestFit="1" customWidth="1"/>
    <col min="6" max="6" width="9.42578125" style="13" bestFit="1" customWidth="1"/>
    <col min="7" max="7" width="11" style="13" bestFit="1" customWidth="1"/>
    <col min="8" max="8" width="5.85546875" style="13" customWidth="1"/>
    <col min="9" max="9" width="58.42578125" style="14" customWidth="1"/>
    <col min="10" max="10" width="14" style="13" customWidth="1"/>
    <col min="11" max="16384" width="9.140625" style="14"/>
  </cols>
  <sheetData>
    <row r="1" spans="1:10" x14ac:dyDescent="0.2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19" t="s">
        <v>9</v>
      </c>
    </row>
    <row r="2" spans="1:10" s="18" customFormat="1" x14ac:dyDescent="0.25">
      <c r="A2" s="6">
        <f>ROW()-1</f>
        <v>1</v>
      </c>
      <c r="B2" s="5" t="str">
        <f>CONCATENATE("C",IF(A2&lt;=9,0,),A2)</f>
        <v>C01</v>
      </c>
      <c r="C2" s="17" t="s">
        <v>47</v>
      </c>
      <c r="D2" s="8" t="s">
        <v>16</v>
      </c>
      <c r="E2" s="5" t="s">
        <v>10</v>
      </c>
      <c r="F2" s="5" t="s">
        <v>11</v>
      </c>
      <c r="G2" s="12" t="s">
        <v>13</v>
      </c>
      <c r="H2" s="5" t="s">
        <v>11</v>
      </c>
      <c r="I2" s="1"/>
      <c r="J2" s="6" t="s">
        <v>17</v>
      </c>
    </row>
    <row r="3" spans="1:10" s="18" customFormat="1" ht="38.25" x14ac:dyDescent="0.25">
      <c r="A3" s="3"/>
      <c r="B3" s="4"/>
      <c r="C3" s="32" t="s">
        <v>48</v>
      </c>
      <c r="D3" s="9"/>
      <c r="E3" s="4" t="s">
        <v>12</v>
      </c>
      <c r="F3" s="4" t="s">
        <v>44</v>
      </c>
      <c r="G3" s="11" t="s">
        <v>13</v>
      </c>
      <c r="H3" s="4" t="s">
        <v>27</v>
      </c>
      <c r="I3" s="9" t="s">
        <v>49</v>
      </c>
      <c r="J3" s="3"/>
    </row>
    <row r="4" spans="1:10" s="18" customFormat="1" x14ac:dyDescent="0.25">
      <c r="A4" s="3"/>
      <c r="B4" s="4"/>
      <c r="C4" s="32" t="s">
        <v>50</v>
      </c>
      <c r="D4" s="9"/>
      <c r="E4" s="4" t="s">
        <v>12</v>
      </c>
      <c r="F4" s="4" t="s">
        <v>44</v>
      </c>
      <c r="G4" s="11" t="s">
        <v>51</v>
      </c>
      <c r="H4" s="4" t="s">
        <v>27</v>
      </c>
      <c r="I4" s="9" t="s">
        <v>52</v>
      </c>
      <c r="J4" s="3"/>
    </row>
    <row r="5" spans="1:10" s="18" customFormat="1" x14ac:dyDescent="0.25">
      <c r="A5" s="6">
        <f>ROW()-1</f>
        <v>4</v>
      </c>
      <c r="B5" s="5" t="str">
        <f>CONCATENATE("C",IF(A5&lt;=9,0,),A5)</f>
        <v>C04</v>
      </c>
      <c r="C5" s="24" t="s">
        <v>24</v>
      </c>
      <c r="D5" s="8"/>
      <c r="E5" s="5"/>
      <c r="F5" s="5"/>
      <c r="G5" s="12" t="s">
        <v>13</v>
      </c>
      <c r="H5" s="5" t="s">
        <v>27</v>
      </c>
      <c r="I5" s="1"/>
      <c r="J5" s="3" t="s">
        <v>17</v>
      </c>
    </row>
    <row r="6" spans="1:10" s="18" customFormat="1" x14ac:dyDescent="0.25">
      <c r="A6" s="6">
        <f t="shared" ref="A6:A16" si="0">ROW()-1</f>
        <v>5</v>
      </c>
      <c r="B6" s="5" t="str">
        <f t="shared" ref="B6:B16" si="1">CONCATENATE("C",IF(A6&lt;=9,0,),A6)</f>
        <v>C05</v>
      </c>
      <c r="C6" s="25" t="s">
        <v>53</v>
      </c>
      <c r="D6" s="6"/>
      <c r="E6" s="5" t="s">
        <v>10</v>
      </c>
      <c r="F6" s="5" t="s">
        <v>11</v>
      </c>
      <c r="G6" s="12" t="s">
        <v>65</v>
      </c>
      <c r="H6" s="5" t="s">
        <v>23</v>
      </c>
      <c r="I6" s="8"/>
      <c r="J6" s="6" t="s">
        <v>17</v>
      </c>
    </row>
    <row r="7" spans="1:10" x14ac:dyDescent="0.25">
      <c r="A7" s="3">
        <f t="shared" si="0"/>
        <v>6</v>
      </c>
      <c r="B7" s="4" t="str">
        <f t="shared" si="1"/>
        <v>C06</v>
      </c>
      <c r="C7" s="16" t="s">
        <v>55</v>
      </c>
      <c r="D7" s="7" t="s">
        <v>26</v>
      </c>
      <c r="E7" s="4" t="s">
        <v>12</v>
      </c>
      <c r="F7" s="4" t="s">
        <v>14</v>
      </c>
      <c r="G7" s="11" t="s">
        <v>13</v>
      </c>
      <c r="H7" s="4" t="s">
        <v>18</v>
      </c>
      <c r="I7" s="9" t="s">
        <v>70</v>
      </c>
      <c r="J7" s="3" t="s">
        <v>17</v>
      </c>
    </row>
    <row r="8" spans="1:10" x14ac:dyDescent="0.25">
      <c r="A8" s="3">
        <f t="shared" si="0"/>
        <v>7</v>
      </c>
      <c r="B8" s="4" t="str">
        <f t="shared" ref="B8" si="2">CONCATENATE("C",IF(A8&lt;=9,0,),A8)</f>
        <v>C07</v>
      </c>
      <c r="C8" s="16" t="s">
        <v>56</v>
      </c>
      <c r="D8" s="7" t="s">
        <v>77</v>
      </c>
      <c r="E8" s="4" t="s">
        <v>12</v>
      </c>
      <c r="F8" s="4" t="s">
        <v>14</v>
      </c>
      <c r="G8" s="11" t="s">
        <v>13</v>
      </c>
      <c r="H8" s="4" t="s">
        <v>18</v>
      </c>
      <c r="I8" s="9"/>
      <c r="J8" s="3" t="s">
        <v>17</v>
      </c>
    </row>
    <row r="9" spans="1:10" x14ac:dyDescent="0.25">
      <c r="A9" s="3">
        <f t="shared" si="0"/>
        <v>8</v>
      </c>
      <c r="B9" s="4" t="str">
        <f t="shared" ref="B9:B11" si="3">CONCATENATE("C",IF(A9&lt;=9,0,),A9)</f>
        <v>C08</v>
      </c>
      <c r="C9" s="16" t="s">
        <v>57</v>
      </c>
      <c r="D9" s="7" t="s">
        <v>78</v>
      </c>
      <c r="E9" s="4"/>
      <c r="F9" s="4" t="s">
        <v>31</v>
      </c>
      <c r="G9" s="11" t="s">
        <v>13</v>
      </c>
      <c r="H9" s="4" t="s">
        <v>18</v>
      </c>
      <c r="I9" s="9"/>
      <c r="J9" s="3" t="s">
        <v>17</v>
      </c>
    </row>
    <row r="10" spans="1:10" x14ac:dyDescent="0.25">
      <c r="A10" s="3">
        <f t="shared" si="0"/>
        <v>9</v>
      </c>
      <c r="B10" s="4" t="str">
        <f t="shared" si="3"/>
        <v>C09</v>
      </c>
      <c r="C10" s="16" t="s">
        <v>58</v>
      </c>
      <c r="D10" s="10" t="s">
        <v>19</v>
      </c>
      <c r="E10" s="4"/>
      <c r="F10" s="4" t="s">
        <v>29</v>
      </c>
      <c r="G10" s="11" t="s">
        <v>13</v>
      </c>
      <c r="H10" s="4" t="s">
        <v>18</v>
      </c>
      <c r="I10" s="9" t="s">
        <v>71</v>
      </c>
      <c r="J10" s="3" t="s">
        <v>17</v>
      </c>
    </row>
    <row r="11" spans="1:10" x14ac:dyDescent="0.25">
      <c r="A11" s="3">
        <f t="shared" si="0"/>
        <v>10</v>
      </c>
      <c r="B11" s="4" t="str">
        <f t="shared" si="3"/>
        <v>C10</v>
      </c>
      <c r="C11" s="16" t="s">
        <v>59</v>
      </c>
      <c r="D11" s="10" t="s">
        <v>54</v>
      </c>
      <c r="E11" s="4"/>
      <c r="F11" s="4" t="s">
        <v>14</v>
      </c>
      <c r="G11" s="11" t="s">
        <v>13</v>
      </c>
      <c r="H11" s="4" t="s">
        <v>18</v>
      </c>
      <c r="I11" s="9" t="s">
        <v>72</v>
      </c>
      <c r="J11" s="3" t="s">
        <v>17</v>
      </c>
    </row>
    <row r="12" spans="1:10" ht="25.5" x14ac:dyDescent="0.25">
      <c r="A12" s="3">
        <f t="shared" si="0"/>
        <v>11</v>
      </c>
      <c r="B12" s="4" t="str">
        <f t="shared" si="1"/>
        <v>C11</v>
      </c>
      <c r="C12" s="16" t="s">
        <v>60</v>
      </c>
      <c r="D12" s="10" t="s">
        <v>25</v>
      </c>
      <c r="E12" s="4" t="s">
        <v>12</v>
      </c>
      <c r="F12" s="4" t="s">
        <v>28</v>
      </c>
      <c r="G12" s="11" t="s">
        <v>13</v>
      </c>
      <c r="H12" s="4" t="s">
        <v>18</v>
      </c>
      <c r="I12" s="9" t="s">
        <v>73</v>
      </c>
      <c r="J12" s="3" t="s">
        <v>17</v>
      </c>
    </row>
    <row r="13" spans="1:10" x14ac:dyDescent="0.25">
      <c r="A13" s="3">
        <f t="shared" si="0"/>
        <v>12</v>
      </c>
      <c r="B13" s="4" t="str">
        <f t="shared" si="1"/>
        <v>C12</v>
      </c>
      <c r="C13" s="16" t="s">
        <v>61</v>
      </c>
      <c r="D13" s="10" t="s">
        <v>62</v>
      </c>
      <c r="E13" s="4" t="s">
        <v>12</v>
      </c>
      <c r="F13" s="4" t="s">
        <v>63</v>
      </c>
      <c r="G13" s="11" t="s">
        <v>13</v>
      </c>
      <c r="H13" s="4" t="s">
        <v>18</v>
      </c>
      <c r="I13" s="9" t="s">
        <v>64</v>
      </c>
      <c r="J13" s="3" t="s">
        <v>17</v>
      </c>
    </row>
    <row r="14" spans="1:10" s="18" customFormat="1" x14ac:dyDescent="0.25">
      <c r="A14" s="6">
        <f t="shared" si="0"/>
        <v>13</v>
      </c>
      <c r="B14" s="5" t="str">
        <f t="shared" si="1"/>
        <v>C13</v>
      </c>
      <c r="C14" s="24" t="s">
        <v>66</v>
      </c>
      <c r="D14" s="6"/>
      <c r="E14" s="5" t="s">
        <v>10</v>
      </c>
      <c r="F14" s="5" t="s">
        <v>11</v>
      </c>
      <c r="G14" s="12" t="s">
        <v>13</v>
      </c>
      <c r="H14" s="5" t="str">
        <f>$B$2</f>
        <v>C01</v>
      </c>
      <c r="I14" s="8"/>
      <c r="J14" s="6" t="s">
        <v>17</v>
      </c>
    </row>
    <row r="15" spans="1:10" x14ac:dyDescent="0.25">
      <c r="A15" s="3">
        <f t="shared" si="0"/>
        <v>14</v>
      </c>
      <c r="B15" s="4" t="str">
        <f t="shared" si="1"/>
        <v>C14</v>
      </c>
      <c r="C15" s="15" t="s">
        <v>67</v>
      </c>
      <c r="D15" s="7" t="s">
        <v>20</v>
      </c>
      <c r="E15" s="4" t="s">
        <v>12</v>
      </c>
      <c r="F15" s="4" t="s">
        <v>15</v>
      </c>
      <c r="G15" s="11" t="s">
        <v>13</v>
      </c>
      <c r="H15" s="4" t="s">
        <v>69</v>
      </c>
      <c r="I15" s="9"/>
      <c r="J15" s="3" t="s">
        <v>17</v>
      </c>
    </row>
    <row r="16" spans="1:10" x14ac:dyDescent="0.25">
      <c r="A16" s="3">
        <f t="shared" si="0"/>
        <v>15</v>
      </c>
      <c r="B16" s="4" t="str">
        <f t="shared" si="1"/>
        <v>C15</v>
      </c>
      <c r="C16" s="15" t="s">
        <v>68</v>
      </c>
      <c r="D16" s="7" t="s">
        <v>21</v>
      </c>
      <c r="E16" s="4" t="s">
        <v>12</v>
      </c>
      <c r="F16" s="4" t="s">
        <v>22</v>
      </c>
      <c r="G16" s="11" t="s">
        <v>13</v>
      </c>
      <c r="H16" s="4" t="s">
        <v>69</v>
      </c>
      <c r="I16" s="9"/>
      <c r="J16" s="3" t="s">
        <v>17</v>
      </c>
    </row>
    <row r="19" spans="1:10" x14ac:dyDescent="0.25">
      <c r="A19" s="14"/>
      <c r="B19" s="14"/>
      <c r="E19" s="14"/>
      <c r="F19" s="14"/>
      <c r="G19" s="14"/>
      <c r="H19" s="14"/>
      <c r="J19" s="14"/>
    </row>
    <row r="20" spans="1:10" x14ac:dyDescent="0.25">
      <c r="A20" s="14"/>
      <c r="B20" s="14"/>
      <c r="E20" s="14"/>
      <c r="F20" s="14"/>
      <c r="G20" s="14"/>
      <c r="H20" s="14"/>
      <c r="J20" s="14"/>
    </row>
    <row r="21" spans="1:10" x14ac:dyDescent="0.25">
      <c r="A21" s="14"/>
      <c r="B21" s="14"/>
      <c r="E21" s="14"/>
      <c r="F21" s="14"/>
      <c r="G21" s="14"/>
      <c r="H21" s="14"/>
      <c r="J21" s="14"/>
    </row>
  </sheetData>
  <conditionalFormatting sqref="A2:J7 H8:H13">
    <cfRule type="expression" dxfId="13" priority="22">
      <formula>ISEVEN(ROW())</formula>
    </cfRule>
  </conditionalFormatting>
  <conditionalFormatting sqref="A12:C12 E9:F11 A9:B11 E12 I10:I12 G9 J11 J13 G11:G12 I9:J9">
    <cfRule type="expression" dxfId="12" priority="32">
      <formula>ISEVEN(ROW())</formula>
    </cfRule>
  </conditionalFormatting>
  <conditionalFormatting sqref="A13:G13 G10 I13">
    <cfRule type="expression" dxfId="11" priority="29">
      <formula>ISEVEN(ROW())</formula>
    </cfRule>
  </conditionalFormatting>
  <conditionalFormatting sqref="J1">
    <cfRule type="expression" dxfId="10" priority="31">
      <formula>ISEVEN(ROW())</formula>
    </cfRule>
  </conditionalFormatting>
  <conditionalFormatting sqref="J1">
    <cfRule type="expression" dxfId="9" priority="30">
      <formula>ISEVEN(ROW())</formula>
    </cfRule>
  </conditionalFormatting>
  <conditionalFormatting sqref="A14:J14">
    <cfRule type="expression" dxfId="8" priority="28">
      <formula>ISEVEN(ROW())</formula>
    </cfRule>
  </conditionalFormatting>
  <conditionalFormatting sqref="A15:J15">
    <cfRule type="expression" dxfId="7" priority="27">
      <formula>ISEVEN(ROW())</formula>
    </cfRule>
  </conditionalFormatting>
  <conditionalFormatting sqref="A16:J16">
    <cfRule type="expression" dxfId="6" priority="26">
      <formula>ISEVEN(ROW())</formula>
    </cfRule>
  </conditionalFormatting>
  <conditionalFormatting sqref="C10:D10">
    <cfRule type="expression" dxfId="5" priority="16">
      <formula>ISEVEN(ROW())</formula>
    </cfRule>
  </conditionalFormatting>
  <conditionalFormatting sqref="C11 C9:D9">
    <cfRule type="expression" dxfId="4" priority="17">
      <formula>ISEVEN(ROW())</formula>
    </cfRule>
  </conditionalFormatting>
  <conditionalFormatting sqref="D11">
    <cfRule type="expression" dxfId="3" priority="5">
      <formula>ISEVEN(ROW())</formula>
    </cfRule>
  </conditionalFormatting>
  <conditionalFormatting sqref="D12">
    <cfRule type="expression" dxfId="2" priority="6">
      <formula>ISEVEN(ROW())</formula>
    </cfRule>
  </conditionalFormatting>
  <conditionalFormatting sqref="A8:G8 J10 J12 I8:J8">
    <cfRule type="expression" dxfId="1" priority="4">
      <formula>ISEVEN(ROW())</formula>
    </cfRule>
  </conditionalFormatting>
  <conditionalFormatting sqref="F12">
    <cfRule type="expression" dxfId="0" priority="2">
      <formula>ISEVEN(ROW())</formula>
    </cfRule>
  </conditionalFormatting>
  <dataValidations count="2">
    <dataValidation type="list" errorStyle="warning" allowBlank="1" showDropDown="1" showInputMessage="1" showErrorMessage="1" sqref="G2:G16">
      <formula1>"1-1,1-N,0-1,0-N"</formula1>
    </dataValidation>
    <dataValidation type="list" errorStyle="warning" allowBlank="1" showDropDown="1" showInputMessage="1" showErrorMessage="1" sqref="E2:E16">
      <formula1>"E,G,CE,CG,A"</formula1>
    </dataValidation>
  </dataValidations>
  <pageMargins left="0.25" right="0.25" top="0.75" bottom="0.75" header="0.3" footer="0.3"/>
  <pageSetup paperSize="9" scale="92" fitToHeight="0" orientation="landscape" verticalDpi="0" r:id="rId1"/>
  <ignoredErrors>
    <ignoredError sqref="G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WSConsMDFeEntrada</vt:lpstr>
      <vt:lpstr>Retorno_WSConsMDFeEntrada</vt:lpstr>
      <vt:lpstr>WSConsMDFeEntrada!CabecalhoEnvio</vt:lpstr>
      <vt:lpstr>Retorno_WSConsMDFeEntrada!ListaRPSRetornoEnvio</vt:lpstr>
      <vt:lpstr>Retorno_WSConsMDFeEntrada!MensagemRetornoEnvio</vt:lpstr>
      <vt:lpstr>Retorno_WSConsMDFeEntrada!NFSERetornoEnvio</vt:lpstr>
      <vt:lpstr>Retorno_WSConsMDFeEntrada!RPSRetornoEnvio</vt:lpstr>
      <vt:lpstr>WSConsMDFeEntrada!SDTRecepcaoRPSEnvioV2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Jandir R. Gehlen</dc:creator>
  <cp:lastModifiedBy>Bruna D. Kalschne</cp:lastModifiedBy>
  <cp:lastPrinted>2014-07-22T13:27:20Z</cp:lastPrinted>
  <dcterms:created xsi:type="dcterms:W3CDTF">2014-03-03T20:57:17Z</dcterms:created>
  <dcterms:modified xsi:type="dcterms:W3CDTF">2017-02-21T17:25:04Z</dcterms:modified>
</cp:coreProperties>
</file>