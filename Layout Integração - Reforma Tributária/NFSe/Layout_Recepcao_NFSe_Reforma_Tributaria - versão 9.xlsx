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vio_Recepção de RPS" sheetId="1" r:id="rId5"/>
    <sheet state="visible" name="Retorno_Recepção de RPS" sheetId="2" r:id="rId6"/>
    <sheet state="visible" name="Natureza de Operação" sheetId="3" r:id="rId7"/>
    <sheet state="visible" name="Versões com alterações RT" sheetId="4" r:id="rId8"/>
  </sheets>
  <definedNames>
    <definedName localSheetId="1" name="ListaRPSRetornoEnvio">'Retorno_Recepção de RPS'!$A$7</definedName>
    <definedName localSheetId="1" name="MensagemRetornoEnvio">'Retorno_Recepção de RPS'!$A$3</definedName>
    <definedName localSheetId="0" name="ConstCivilEnvio">'Envio_Recepção de RPS'!$A$423</definedName>
    <definedName localSheetId="1" name="NFSERetornoEnvio">'Retorno_Recepção de RPS'!$A$20</definedName>
    <definedName localSheetId="0" name="ListaDedEnvio">'Envio_Recepção de RPS'!$A$458</definedName>
    <definedName localSheetId="0" name="ItemEnvio">'Envio_Recepção de RPS'!$A$78</definedName>
    <definedName localSheetId="0" name="DedEnvio">'Envio_Recepção de RPS'!$A$459</definedName>
    <definedName localSheetId="1" name="RPSRetornoEnvio">'Retorno_Recepção de RPS'!$A$8</definedName>
    <definedName localSheetId="0" name="ServicoEnvio">'Envio_Recepção de RPS'!$A$155</definedName>
    <definedName localSheetId="0" name="RPSEnvio">'Envio_Recepção de RPS'!$A$9</definedName>
    <definedName localSheetId="0" name="IntermServicoEnvio">'Envio_Recepção de RPS'!$A$384</definedName>
    <definedName localSheetId="0" name="SDTRecepcaoRPSEnvioV2">'Envio_Recepção de RPS'!$A$2</definedName>
    <definedName localSheetId="0" name="TomadorEnvio">'Envio_Recepção de RPS'!$A$355</definedName>
    <definedName localSheetId="0" name="RPSSubsEnvio">'Envio_Recepção de RPS'!$A$49</definedName>
    <definedName localSheetId="0" name="ValoresEnvio">'Envio_Recepção de RPS'!$A$183</definedName>
    <definedName localSheetId="0" name="CabecalhoEnvio">'Envio_Recepção de RPS'!$A$3</definedName>
    <definedName localSheetId="0" name="ListaItensEnvio">'Envio_Recepção de RPS'!$A$77</definedName>
    <definedName localSheetId="0" name="EnvioParcela">'Envio_Recepção de RPS'!$A$146</definedName>
    <definedName hidden="1" localSheetId="0" name="_xlnm._FilterDatabase">'Envio_Recepção de RPS'!$A$1:$X$698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tc={277d8f06-90a3-4655-a153-1148c4505955}</author>
    <author>tc={f1bec09c-1fbe-4c86-9ef7-1f708af335da}</author>
  </authors>
  <commentList>
    <comment authorId="0" xr:uid="{277d8f06-90a3-4655-a153-1148c4505955}" ref="C1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conferir necessidade de manter
</t>
      </text>
    </comment>
    <comment authorId="1" xr:uid="{f1bec09c-1fbe-4c86-9ef7-1f708af335da}" ref="C4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falta a tag ListaMaterial
</t>
      </text>
    </comment>
  </commentList>
</comments>
</file>

<file path=xl/sharedStrings.xml><?xml version="1.0" encoding="utf-8"?>
<sst xmlns="http://schemas.openxmlformats.org/spreadsheetml/2006/main" count="6499" uniqueCount="2138">
  <si>
    <t>Versão InvoiCy</t>
  </si>
  <si>
    <t>Nº</t>
  </si>
  <si>
    <t>Naturezas da operação utilizadas em cada padrão ou município.</t>
  </si>
  <si>
    <t>Seq</t>
  </si>
  <si>
    <t>Observações</t>
  </si>
  <si>
    <t>XML</t>
  </si>
  <si>
    <t>Descrição</t>
  </si>
  <si>
    <t>Ele</t>
  </si>
  <si>
    <t>Tipo</t>
  </si>
  <si>
    <t>Ocorrência</t>
  </si>
  <si>
    <t>Pai</t>
  </si>
  <si>
    <t>Observação</t>
  </si>
  <si>
    <t>Versão</t>
  </si>
  <si>
    <t>(...)</t>
  </si>
  <si>
    <t xml:space="preserve">XML </t>
  </si>
  <si>
    <t>2.90.9.0</t>
  </si>
  <si>
    <t>Aplicação de Negócio</t>
  </si>
  <si>
    <t>Campos atualizados para Reforma Tributária na NT004, padrão NFPaulistana e IPM</t>
  </si>
  <si>
    <t>Valores Padrão do InvoiCy</t>
  </si>
  <si>
    <t>2.91.0.0</t>
  </si>
  <si>
    <t>Inclusão de novos campos exclusivos para Reforma Tributário no padrão INFISC</t>
  </si>
  <si>
    <t>Município = zero significa que o valor é válido para todos municípios daquele padrão. Município &gt;0 significa que aquele município possui valores diferentes.</t>
  </si>
  <si>
    <t>2.92.5.0</t>
  </si>
  <si>
    <t>Ajustes conforme NT005 e atualizações do padrão NFPaulistana</t>
  </si>
  <si>
    <t>Documento</t>
  </si>
  <si>
    <t>Naturezas de Operação</t>
  </si>
  <si>
    <t>Elemento Superior da Estrutura</t>
  </si>
  <si>
    <t>2.98.0.4</t>
  </si>
  <si>
    <t>Ajustes conforme NT007</t>
  </si>
  <si>
    <t>Padrão</t>
  </si>
  <si>
    <t>G</t>
  </si>
  <si>
    <t>3.1.0.0</t>
  </si>
  <si>
    <t>Município</t>
  </si>
  <si>
    <t>Ajustes conforme NT009 (após a primeira quinzena de agosto/2026, utilizar layout na versão 8, com ajustes no grupo Imovel)</t>
  </si>
  <si>
    <t>Código do InvoiCy</t>
  </si>
  <si>
    <t>-</t>
  </si>
  <si>
    <t>3.3.0.0</t>
  </si>
  <si>
    <t>Valor no município</t>
  </si>
  <si>
    <t>Ajustes conforme NT009 v1.01</t>
  </si>
  <si>
    <t>1-1</t>
  </si>
  <si>
    <t>RAIZ</t>
  </si>
  <si>
    <t>Preenchimento obrigatório</t>
  </si>
  <si>
    <t>1.0.0.0</t>
  </si>
  <si>
    <t>Tributação no município</t>
  </si>
  <si>
    <t>3enet</t>
  </si>
  <si>
    <t>Envio</t>
  </si>
  <si>
    <t>Tributação no Municipio</t>
  </si>
  <si>
    <t>Tributação fora do município</t>
  </si>
  <si>
    <t>Tributação fora do municipio</t>
  </si>
  <si>
    <t>DocModelo</t>
  </si>
  <si>
    <t>Isenção</t>
  </si>
  <si>
    <t>Imune</t>
  </si>
  <si>
    <t>Imunidade</t>
  </si>
  <si>
    <t>Modelo do documento</t>
  </si>
  <si>
    <t>Exigibilidade suspensa por decisão judicial</t>
  </si>
  <si>
    <t>Imp. devido fora do município sem obrigação de ret. na fonte</t>
  </si>
  <si>
    <t>Observação: não impactadas alterações da NT006</t>
  </si>
  <si>
    <t>Exigibilidade suspensa por procedimento administrativo</t>
  </si>
  <si>
    <t>E</t>
  </si>
  <si>
    <t>Exigível</t>
  </si>
  <si>
    <t>C(10)</t>
  </si>
  <si>
    <t>ÁBACO</t>
  </si>
  <si>
    <t>Não incidência</t>
  </si>
  <si>
    <t>Exportação</t>
  </si>
  <si>
    <t>ISS fixo</t>
  </si>
  <si>
    <t>Substituição tributária</t>
  </si>
  <si>
    <t>Simples Nacional</t>
  </si>
  <si>
    <t>Será retornado “NFSe”</t>
  </si>
  <si>
    <t>Isenção parcial</t>
  </si>
  <si>
    <t>Ágili 2</t>
  </si>
  <si>
    <t>Cancelado</t>
  </si>
  <si>
    <t>ISS retido pelo tomador/intermediário</t>
  </si>
  <si>
    <t>ModeloDocumento</t>
  </si>
  <si>
    <t>Modelo de documento a ser enviado</t>
  </si>
  <si>
    <t>Não tributável</t>
  </si>
  <si>
    <t>DocNumero</t>
  </si>
  <si>
    <t>Número do RPS.</t>
  </si>
  <si>
    <t>Micro Empreendedor Individual (MEI)</t>
  </si>
  <si>
    <t>N(15)</t>
  </si>
  <si>
    <t>C01</t>
  </si>
  <si>
    <t>Serviço para imóvel (Construção Civil)</t>
  </si>
  <si>
    <t>Informar: NFSE</t>
  </si>
  <si>
    <t>Serviço em via pública</t>
  </si>
  <si>
    <t>DocSerie</t>
  </si>
  <si>
    <t>Tributada integralmente com ISSRF</t>
  </si>
  <si>
    <t>Série do Documeno</t>
  </si>
  <si>
    <t>ArrecadaNet</t>
  </si>
  <si>
    <t>v(5)</t>
  </si>
  <si>
    <t>Tributada com redução da base de cálculo</t>
  </si>
  <si>
    <t>Tributada com redução da base de cálculo com ISSRF</t>
  </si>
  <si>
    <t>Tributada com redução da base de cálculo com Sub. Tributária</t>
  </si>
  <si>
    <t>DocIDUnico</t>
  </si>
  <si>
    <t>Controle de Numeração de RPS</t>
  </si>
  <si>
    <t>Não tributada - ISS regime estimativa</t>
  </si>
  <si>
    <t>C(200)</t>
  </si>
  <si>
    <t>Não Tributada - ISS construção civil recolhido antecipadamente</t>
  </si>
  <si>
    <t>0-1</t>
  </si>
  <si>
    <t>Não Tributada - Ato Cooperado</t>
  </si>
  <si>
    <t>Versao</t>
  </si>
  <si>
    <t>2.45.0</t>
  </si>
  <si>
    <t>Versão do Layout do documento</t>
  </si>
  <si>
    <t>Simples Nacional e com o ISS retido na fonte</t>
  </si>
  <si>
    <t>Assessor Publico</t>
  </si>
  <si>
    <t>Tributação no município (Normal)</t>
  </si>
  <si>
    <t>Substituição tributária pelo agenciador ou intermediário da prestação do serviço</t>
  </si>
  <si>
    <t>DocProtocolo</t>
  </si>
  <si>
    <t>Número do Protocolo</t>
  </si>
  <si>
    <t>N(2.2)</t>
  </si>
  <si>
    <t>Optante do Super Simples</t>
  </si>
  <si>
    <t>v(50)</t>
  </si>
  <si>
    <t>Simples Nacional e substituição tributária</t>
  </si>
  <si>
    <t>Cancelada</t>
  </si>
  <si>
    <t>ISSRetidoAnteriormenteSubstitutoTributario</t>
  </si>
  <si>
    <t>Informar a versão do layout do arquivo XML. Ex: 1.00</t>
  </si>
  <si>
    <t>Não Tributada</t>
  </si>
  <si>
    <t>DocPDFBase64</t>
  </si>
  <si>
    <t>Espelho RPS em PDF e em base 64</t>
  </si>
  <si>
    <t>Tributada com redução da base de cálculo ou alíquota e com ISS retido na fonte</t>
  </si>
  <si>
    <t>v(2M)</t>
  </si>
  <si>
    <t>ISS MEI</t>
  </si>
  <si>
    <t>Tributada com reducao da base de cálculo ou alíquota e sujeita ao regime da substituicao tributária</t>
  </si>
  <si>
    <t>Normal Prefeitura</t>
  </si>
  <si>
    <t>Tributada com reducao da base de cálculo  ou aliquota e com o ISS retido anteriormente pelo substituto tributário</t>
  </si>
  <si>
    <t>DocPDFDownload</t>
  </si>
  <si>
    <t>Link para download do Espelho RPS em PDF.</t>
  </si>
  <si>
    <t>Não-tributável em Lins</t>
  </si>
  <si>
    <t>v(1000)</t>
  </si>
  <si>
    <t>Nao tributada em razao do destino dos bens ou objetos - Mercadorias para a industrializacao ou comercializacao</t>
  </si>
  <si>
    <t>Isenta/Imune</t>
  </si>
  <si>
    <t>Nao tributada em razao do diferimento da prestacao do servico</t>
  </si>
  <si>
    <t>ChaveParceiro</t>
  </si>
  <si>
    <t>Chave de Parceiro</t>
  </si>
  <si>
    <t>DocXMLBase64</t>
  </si>
  <si>
    <t>XML da NFS-e em base 64.</t>
  </si>
  <si>
    <t>Tributado no município, porém Isento</t>
  </si>
  <si>
    <t>C(30)</t>
  </si>
  <si>
    <t>Normal</t>
  </si>
  <si>
    <t>Tributado Fora do município, porém Isento</t>
  </si>
  <si>
    <t>Campo exclusivo para integração através do InvoiCy Conector. Não é necessário preenchimento na integração direta via WebServices. A chave de parceiro é fornecida pela Migrate ao parceiro no ato da efetivação do contrato comercial. A chave de parceiro é única para cada parceiro.</t>
  </si>
  <si>
    <t>Tributado no município, porém Imune</t>
  </si>
  <si>
    <t>DocXMLDownload</t>
  </si>
  <si>
    <t>XML Download do Documento</t>
  </si>
  <si>
    <t>Cancelada/Extraviada</t>
  </si>
  <si>
    <t>Tributado Fora do município, porém Imune</t>
  </si>
  <si>
    <t>SIMEI</t>
  </si>
  <si>
    <t>Tributado no município, porém Exigibilidade Suspensa</t>
  </si>
  <si>
    <t>Tratamento Fiscal Diferenciado</t>
  </si>
  <si>
    <t>Tributado Fora do município, porém Exigibilidade Suspensa</t>
  </si>
  <si>
    <t>DocArquivo</t>
  </si>
  <si>
    <t>Arquivo de Envio em base 64</t>
  </si>
  <si>
    <t>Imune  Lei Federal</t>
  </si>
  <si>
    <t>ChaveAcesso</t>
  </si>
  <si>
    <t>Chave de Acesso</t>
  </si>
  <si>
    <t>Somente para prefeituras que utilizam a integração via arquivo</t>
  </si>
  <si>
    <t>C(50)</t>
  </si>
  <si>
    <t>Estimado</t>
  </si>
  <si>
    <t>Imposto devido no município, com retenção na fonte (serviço prestado no município)</t>
  </si>
  <si>
    <t>DocExtensaoArquivo</t>
  </si>
  <si>
    <t>Campo exclusivo para integração através do InvoiCy Conector. Não é necessário preenchimento na integração direta via WebServices.A chave de acesso é gerada no cadastro de uma nova empresa no InvoiCy. Ao concluir o cadastro de uma empresa, a chave de acesso será exibida. Esta chave é única para cada empresa cadastrada, e identifica a empresa emissora do documento no InvoiCy.</t>
  </si>
  <si>
    <t>Extensão do Arquivo de Envio (DocArquivo)</t>
  </si>
  <si>
    <t>Imposto devido no município, sem retenção na fonte (serviço prestado no município)</t>
  </si>
  <si>
    <t>MEI MICROEMPREENDEDOR</t>
  </si>
  <si>
    <t>Não tributável (serviço prestado no município)</t>
  </si>
  <si>
    <t>ASTEN</t>
  </si>
  <si>
    <t>DocImpPrefeitura</t>
  </si>
  <si>
    <t>Imprimir</t>
  </si>
  <si>
    <t>Simples Nacional (serviço prestado no município)</t>
  </si>
  <si>
    <t>Link para impressão no sistema da prefeitura</t>
  </si>
  <si>
    <t>Efetuar a impressão automática dos documentos efetivados</t>
  </si>
  <si>
    <t>C(1)</t>
  </si>
  <si>
    <t>Imposto devido no município, com retenção na fonte (serviço prestado fora do município)</t>
  </si>
  <si>
    <t>Preencher com S - Sim; ou N - Não</t>
  </si>
  <si>
    <t>Imposto devido no município, sem retenção na fonte (serviço prestado fora do município)</t>
  </si>
  <si>
    <t>Imposto devido fora do município, com retenção na fonte (serviço prestado fora do município)</t>
  </si>
  <si>
    <t>Imposto devido fora do município, sem retenção na fonte (serviço prestado fora do município)</t>
  </si>
  <si>
    <t>Não tributável (serviço prestado fora do município)</t>
  </si>
  <si>
    <t>Simples Nacional (serviço prestado fora do Município)</t>
  </si>
  <si>
    <t>BETHA 1</t>
  </si>
  <si>
    <t>ApelidoImpressora</t>
  </si>
  <si>
    <t>Apelido da impressora que foi cadastrada no InvoiCy Conector</t>
  </si>
  <si>
    <t>Não tributável (serviço prestado no exterior)</t>
  </si>
  <si>
    <t>C(300)</t>
  </si>
  <si>
    <t>Serviço no município - ISS mensal sem retenção na fonte</t>
  </si>
  <si>
    <t>Se não informar essa tag, o documento será enviado para a impressora padrão configurada no InvoiCy Conector.</t>
  </si>
  <si>
    <t>Serviço no município - ISS mensal com retenção na fonte</t>
  </si>
  <si>
    <t>Construção civil - no município - ISS mensal sem retenção na fonte</t>
  </si>
  <si>
    <t>Construção civil - no município - ISS mensal com retenção na fonte</t>
  </si>
  <si>
    <t>Serviço em outro município – ISS mensal sem retenção na fonte</t>
  </si>
  <si>
    <t>C08</t>
  </si>
  <si>
    <t>Serviço em outro município – ISS mensal com retenção na fonte</t>
  </si>
  <si>
    <t>RPS</t>
  </si>
  <si>
    <t>Construção civil - outro município - ISS mensal sem retenção na fonte</t>
  </si>
  <si>
    <t>BETHA 1 Sequencial</t>
  </si>
  <si>
    <t>Exclusivo para os padrões que permitem a captura da URL de impressão.
Necessário tratamento para substituir o caracter "&amp;amp;" por "&amp;"</t>
  </si>
  <si>
    <t>1.5.0.0</t>
  </si>
  <si>
    <t>Construção civil - outro município - ISS mensal com retenção na fonte</t>
  </si>
  <si>
    <t>Serviço não enquadrada nas situações anteriores - sem retenção</t>
  </si>
  <si>
    <t>DocCompleto</t>
  </si>
  <si>
    <t>Retorno do XML do InoviCy com informações atualizadas</t>
  </si>
  <si>
    <t>Serviço não enquadrada nas situações anteriores - com retenção</t>
  </si>
  <si>
    <t>ISS devido para o município (Simples Nacional)</t>
  </si>
  <si>
    <t>ISS devido para outro município (Simples Nacional)</t>
  </si>
  <si>
    <t>Escritório Contábil (Simples Nacional)</t>
  </si>
  <si>
    <t>NFSe</t>
  </si>
  <si>
    <t>ISS retido pelo tomador/intermediário (Simples Nacional)</t>
  </si>
  <si>
    <t>Dados NFS-e</t>
  </si>
  <si>
    <t>Operação imune, isenta ou não tributada (Simples Nacional)</t>
  </si>
  <si>
    <t>BETHA 2</t>
  </si>
  <si>
    <t>RPSNumero</t>
  </si>
  <si>
    <t>Número do RPS</t>
  </si>
  <si>
    <t>N(15.0)</t>
  </si>
  <si>
    <t>NFSeNumero</t>
  </si>
  <si>
    <t>Número da NFS-e</t>
  </si>
  <si>
    <t>Exigibilidade suspensa por processo administrativo</t>
  </si>
  <si>
    <t>Atenção: alguns padrões exigem seguir a sequência de numeração do RPS. Mesmo que mude a série, somente reinicie a numeração se tiver certeza.</t>
  </si>
  <si>
    <t>NFSeCodVerificacao</t>
  </si>
  <si>
    <t>Código de Verificação da NFS-e</t>
  </si>
  <si>
    <t>Situacao</t>
  </si>
  <si>
    <t>RPSSerie</t>
  </si>
  <si>
    <t>Série do RPS</t>
  </si>
  <si>
    <t>SitCodigo</t>
  </si>
  <si>
    <t>C(5)</t>
  </si>
  <si>
    <t>Código da Situação</t>
  </si>
  <si>
    <t>N(8)</t>
  </si>
  <si>
    <t>Atenção: alguns padrões exigem utilizar determinada série. Verificar nos artigos de particularidades e no cadastro da empresa na prefeitura.</t>
  </si>
  <si>
    <t>Não Incidência</t>
  </si>
  <si>
    <t>BOANF</t>
  </si>
  <si>
    <t>SitDescricao</t>
  </si>
  <si>
    <t>Descrição da Situação</t>
  </si>
  <si>
    <t>RPSTipo</t>
  </si>
  <si>
    <t>Tipo do RPS</t>
  </si>
  <si>
    <t>N(1.0)</t>
  </si>
  <si>
    <t>BSIT-BR</t>
  </si>
  <si>
    <t>Informar 1 – Recibo Provisório de Serviços</t>
  </si>
  <si>
    <t>CECAM</t>
  </si>
  <si>
    <t>Serviço na sede do prestador</t>
  </si>
  <si>
    <t>Serviço fora do Município</t>
  </si>
  <si>
    <t>Serviço para Imóvel (Construção Civil)</t>
  </si>
  <si>
    <t>IDUnico</t>
  </si>
  <si>
    <t>CENTI</t>
  </si>
  <si>
    <t>O mesmo ID não poderá ser utilizado para outra nota; Essa tag irá substituir o número do RPS e a série do documento enviado; Quando o campo IDUnico for preenchido, o campo série passa a ser opcional; Para mais informações https://desenvolvedores.migrate.info/2021/12/10/controle-de-numeracao-de-rps/</t>
  </si>
  <si>
    <t>Comunix</t>
  </si>
  <si>
    <t>Retida</t>
  </si>
  <si>
    <t>M.E.I Micro Empresa Individual</t>
  </si>
  <si>
    <t>Iss Devido Fora Do Município</t>
  </si>
  <si>
    <t>Conam</t>
  </si>
  <si>
    <t>Tributado</t>
  </si>
  <si>
    <t>Isenção / Imunidade</t>
  </si>
  <si>
    <t>Suspensão</t>
  </si>
  <si>
    <t>ISS Fixo</t>
  </si>
  <si>
    <t>CONSIST</t>
  </si>
  <si>
    <t>Outro município</t>
  </si>
  <si>
    <t>Normal -A recolher</t>
  </si>
  <si>
    <t>Retido na fonte</t>
  </si>
  <si>
    <t>MEI</t>
  </si>
  <si>
    <t>COPLAN</t>
  </si>
  <si>
    <t>2.45.0.0</t>
  </si>
  <si>
    <t>DATAPUBLIC</t>
  </si>
  <si>
    <t>Tributável</t>
  </si>
  <si>
    <t>Isento ISS</t>
  </si>
  <si>
    <t>nNFSeJudicial</t>
  </si>
  <si>
    <t>Número da NFSe para emissão via Decisão Judicial</t>
  </si>
  <si>
    <t>Não Incidência no Município</t>
  </si>
  <si>
    <t>Smente deve ser preenchida em casos de emissão dia Decisão Judicial</t>
  </si>
  <si>
    <t>Tributável Simples Nacional</t>
  </si>
  <si>
    <t>Tributável MEI</t>
  </si>
  <si>
    <t>DB NFSE</t>
  </si>
  <si>
    <t>DEISS</t>
  </si>
  <si>
    <t>Tributaçao No Município</t>
  </si>
  <si>
    <t>T</t>
  </si>
  <si>
    <t>dEmis</t>
  </si>
  <si>
    <t>Data de emissão</t>
  </si>
  <si>
    <t>Tributação Fora do Município</t>
  </si>
  <si>
    <t>R</t>
  </si>
  <si>
    <t>DateTime</t>
  </si>
  <si>
    <t>I</t>
  </si>
  <si>
    <t>Formato: AAAA-MM-DDTHH:MM:SS</t>
  </si>
  <si>
    <t>DigiFred</t>
  </si>
  <si>
    <t>dCompetencia</t>
  </si>
  <si>
    <t>Data da competência</t>
  </si>
  <si>
    <t>DSFNET</t>
  </si>
  <si>
    <t>C</t>
  </si>
  <si>
    <t>F</t>
  </si>
  <si>
    <t>K</t>
  </si>
  <si>
    <t>LocalPrestServ</t>
  </si>
  <si>
    <t>Indicador do Local de Prestação do Serviço</t>
  </si>
  <si>
    <t>Tributável Fixo</t>
  </si>
  <si>
    <t>Tributável S. N.</t>
  </si>
  <si>
    <t>H</t>
  </si>
  <si>
    <t>Micro Empreendedor Individual</t>
  </si>
  <si>
    <t>M</t>
  </si>
  <si>
    <t>DUETO 1</t>
  </si>
  <si>
    <t>1-No Município Sem Retenção 
2-No Município Com Retenção 
3-Fora do Município Sem Retenção 
4-Fora do Município Com Retenção 
5-Fora do Município com pagamento no local
6-Outro Município (Exterior)"
7-No Municipio sem retenção Simples Nacional
8-No Municipio Tributacao Fixa Anual
9-No Municipio sem recolhimento
10 - No Município (e-Governe ISS RTC)
11 - Domicílio principal do adquirente (e-Governe ISS RTC)
12 - Local da entrega ou disponibilização (e-Governe ISS RTC)
13 - Local da prestação (e-Governe ISS RTC)
14 - Local do evento (e-Governe ISS RTC)
15 - Local do imóvel (e-Governe ISS RTC)
16 - Local incidência IBS (e-Governe ISS RTC)
17 - Via explorada (e-Governe ISS RTC)
*Obs: Tópicos 7, 8 e 9 exclusivos padrão Governa</t>
  </si>
  <si>
    <t>1.14.0.0</t>
  </si>
  <si>
    <t>Identificação do local de prestação do serviço (dentro ou fora do município) e da incidência ou não de retenção do imposto.</t>
  </si>
  <si>
    <t>DUETO 2</t>
  </si>
  <si>
    <t>natOp</t>
  </si>
  <si>
    <t>Código da Natureza de Operação / Exigibilidade de ISS</t>
  </si>
  <si>
    <t>N(3.0)</t>
  </si>
  <si>
    <t>Utilizar valores da tabela unificada de naturezas de operação que consta na aba Natureza de Operação. Também é possível visualizar quais naturezas são aceitas no município da empresa, bem como para quais valores será convertido através do painel de controle de NFS-e no InvoiCy.</t>
  </si>
  <si>
    <t>A Natureza da Operação (Também conhecida como Exigibilidade ISS nos sistemas que se baseiam na ABRASF 2.0+) é definida pelo serviço prestado, levando-se em consideração também o enquadramento tributário da empresa. Essa informação é extremamente importante na emissão da Nota Fiscal, pois é neste momento que se define a exata tributação da operação e qualquer erro, causará falta de recolhimento do imposto devido, pagamento a maior ou menor, até mesmo pagamento indevido, nos casos, por exemplo, de operações imunes, isentas, suspensas ou base de cálculo reduzida.</t>
  </si>
  <si>
    <t>E&amp;L</t>
  </si>
  <si>
    <t>Operacao</t>
  </si>
  <si>
    <t xml:space="preserve">Operação de tributação </t>
  </si>
  <si>
    <t>C(2)</t>
  </si>
  <si>
    <t>E&amp;L 2.0</t>
  </si>
  <si>
    <t>Exclusivo do padrão DSFNET.
A–Sem dedução
B–Com dedução/materiais
C-Imune/Isenta de ISSQN
D-Devolução
J-Intermediação</t>
  </si>
  <si>
    <t>eISS</t>
  </si>
  <si>
    <t>EMBRAS SIAP.NET</t>
  </si>
  <si>
    <t>EQUIPLANO</t>
  </si>
  <si>
    <t>NumProcesso</t>
  </si>
  <si>
    <t>Número do processo</t>
  </si>
  <si>
    <t>V(30)</t>
  </si>
  <si>
    <t>E-RECEITAS</t>
  </si>
  <si>
    <t>Número do processo judicial ou administrativo de suspensão da exigibilidade. É obrigatório e informado somente quando declarada a suspensão da exigibilidade do tributo</t>
  </si>
  <si>
    <t>FacilitaISS</t>
  </si>
  <si>
    <t>benefIdNac</t>
  </si>
  <si>
    <t>Tipo do benefício Municipal</t>
  </si>
  <si>
    <t>N (1)</t>
  </si>
  <si>
    <t>FGMAISS</t>
  </si>
  <si>
    <t>exigibilidade suspensa por decisão judicial</t>
  </si>
  <si>
    <r>
      <rPr>
        <rFont val="Calibri"/>
        <color rgb="FF000000"/>
        <sz val="11.0"/>
      </rPr>
      <t xml:space="preserve">Valores aceitos:
1 - Alíquota Diferenciada;
2 - Redução da BC;
3 - Isenção
</t>
    </r>
    <r>
      <rPr>
        <rFont val="Calibri"/>
        <b/>
        <color rgb="FF000000"/>
        <sz val="11.0"/>
      </rPr>
      <t>Uso específico para NFS-e Modelo Nacional</t>
    </r>
  </si>
  <si>
    <t>Exigibilidade Suspensa por Processo Administrativo</t>
  </si>
  <si>
    <t>2.62.1.0</t>
  </si>
  <si>
    <t>FintelISS</t>
  </si>
  <si>
    <t>benefNumero</t>
  </si>
  <si>
    <t>Identificação da Lei parametrizada pelo município que define o benefício no sistema nacional.</t>
  </si>
  <si>
    <t>V (14)</t>
  </si>
  <si>
    <r>
      <rPr>
        <rFont val="Calibri"/>
        <color rgb="FF000000"/>
        <sz val="11.0"/>
      </rPr>
      <t xml:space="preserve">Tem a seguinte regra de formação: 7 dígitos com o código IBGE do município + 4 dígitos com número sequencial. Deve ser obtido da parametrização do município de incidência do ISSQN.
</t>
    </r>
    <r>
      <rPr>
        <rFont val="Calibri"/>
        <b/>
        <color rgb="FF000000"/>
        <sz val="11.0"/>
      </rPr>
      <t>Uso específico para NFS-e Modelo Nacional</t>
    </r>
  </si>
  <si>
    <t>FISS-LEX</t>
  </si>
  <si>
    <t>RegEspTrib</t>
  </si>
  <si>
    <t>Freire</t>
  </si>
  <si>
    <t>Código de identificação do regime especial de tributação</t>
  </si>
  <si>
    <t>N(2.0)</t>
  </si>
  <si>
    <t>1 – Microempresa municipal
2 – Estimativa
3 – Sociedade de profissionais
4 – Cooperativa
5 – Microempresário Individual (MEI)
6 – Microempresário e Empresa de Pequeno Porte (ME EPP)
7 – Optante pelo Simples Nacional (Exclusivo Elotech e GLC Consultoria 2.0)
8 - Tributação Normal  (Exclusivo E&amp;L)
9 - Autônomo (Exclusivo E&amp;L)
10 - Variável (Exclusivo GLC Consultoria 2.0)
11 - Lucro Real (Exclusivo Digifred)
12 - Lucro Presumido (Exclusivo Digifred)
13 - Sociedade de Profissionais Pessoa Jurídica (Exclusivo SEMFAZ)
14 - Não  (Exclusivo NF-Eletrônica)
15 - Notas Totalizadoras  (Exclusivo NF-Eletrônica)
16 - Inscrito no PRODEVAL  (Exclusivo NF-Eletrônica)</t>
  </si>
  <si>
    <t>1.15.0.0</t>
  </si>
  <si>
    <t>O Regime especial de tributação representa o enquadramento tributário da empresa junto a prefeitura.</t>
  </si>
  <si>
    <t>Generativa</t>
  </si>
  <si>
    <t>OptSN</t>
  </si>
  <si>
    <t>Optante Simples Nacional</t>
  </si>
  <si>
    <t>GENFE</t>
  </si>
  <si>
    <r>
      <rPr>
        <rFont val="Calibri"/>
        <color rgb="FF000000"/>
        <sz val="11.0"/>
      </rPr>
      <t xml:space="preserve">1-Sim
2-Não
3-SIMEI (Exclusivo do padrão INFISC)
4 - Optante Pendente: CNPJ optante ainda em processo de regularização
</t>
    </r>
    <r>
      <rPr>
        <rFont val="Calibri"/>
        <b/>
        <color rgb="FF000000"/>
        <sz val="11.0"/>
      </rPr>
      <t xml:space="preserve"> 5 - Optante - Microempresa ou Empresa de Pequeno Porte (ME/EPP);
</t>
    </r>
    <r>
      <rPr>
        <rFont val="Calibri"/>
        <color rgb="FF000000"/>
        <sz val="11.0"/>
      </rPr>
      <t xml:space="preserve">7 - Simples Federal (Alíquota 1,0%)
8 - Simples Federal (Alíquota 0,5%)
9- Simples Municipal NFPAULISTANA
As opções 7, 8 e 9 são exclusivos para o uso no padrão NF Paulista – município de São Paulo/SP e Padrão Nota Blu - Blumenau/SC)
</t>
    </r>
  </si>
  <si>
    <t>GESPAM</t>
  </si>
  <si>
    <t>regApTribSN</t>
  </si>
  <si>
    <t>Regime de tributação para empresas Opt. SN ME/EPP que ultrapassam sublimite</t>
  </si>
  <si>
    <t>GINFES</t>
  </si>
  <si>
    <r>
      <rPr>
        <rFont val="Calibri"/>
        <color rgb="FF000000"/>
        <sz val="11.0"/>
      </rPr>
      <t xml:space="preserve">Opção para que o contribuinte optante pelo Simples Nacional ME/EPP (opSimpNac = 3) possa indicar, ao emitir o documento fiscal, em qual regime de apuração os tributos federais e municipal estão inseridos, caso tenha ultrapassado algum sublimite ou limite definido para o Simples Nacional.
</t>
    </r>
    <r>
      <rPr>
        <rFont val="Calibri"/>
        <b/>
        <color rgb="FF000000"/>
        <sz val="11.0"/>
      </rPr>
      <t>Esta informação não leva em consideração o regime de apuração do IBS e da CBS que devem ser informados no campo regApIBSCBSSN.</t>
    </r>
    <r>
      <rPr>
        <rFont val="Calibri"/>
        <color rgb="FF000000"/>
        <sz val="11.0"/>
      </rPr>
      <t xml:space="preserve">
1 – Regime de apuração dos tributos federais e municipal pelo SN; 
2 – Regime de apuração dos tributos federais pelo SN e o ISSQN pela NFS-e conforme respectiva legislação municipal do tributo;
3 – Regime de apuração dos tributos federais e municipal pela NFS-e conforme respectivas legislações federal e municipal de cada tributo;
</t>
    </r>
    <r>
      <rPr>
        <rFont val="Calibri"/>
        <b/>
        <color rgb="FF000000"/>
        <sz val="11.0"/>
      </rPr>
      <t>Uso específico para NFS-e Modelo Nacional</t>
    </r>
  </si>
  <si>
    <t>1 - Um MEI, identificado como tal na data de competência informada na DPS após a verificação na base de dados do Simples Nacional, será tratado sempre como MEI no Sistema Nacional NFS-e, independentemente de quaisquer circustâncias que o próprio MEI tenha detectado que o descaracterize como MEI. A informação da situação do MEI sempre será aquela que for verificada no Simples Nacional na data de competência informada na DPS.
2 - Uma ME/EPP deixará de apurar o ISSQN pelo Simples Nacional quando atribuir ao campo regAPTribSN os valores 2 ou 3, conforme leiaute DPS.</t>
  </si>
  <si>
    <t>GOIANIA</t>
  </si>
  <si>
    <t>regApIBSCBSSN</t>
  </si>
  <si>
    <t>GOVERNA</t>
  </si>
  <si>
    <t>Regime de Apuração Tributária pelo Simples Nacional para IBS e CBS.</t>
  </si>
  <si>
    <t>Isento</t>
  </si>
  <si>
    <t>Autônomo(Fixo)</t>
  </si>
  <si>
    <t>M.E.I.</t>
  </si>
  <si>
    <r>
      <rPr>
        <rFont val="Calibri"/>
        <color rgb="FF000000"/>
        <sz val="11.0"/>
      </rPr>
      <t xml:space="preserve">Regime de Apuração Tributária pelo Simples Nacional para </t>
    </r>
    <r>
      <rPr>
        <rFont val="Calibri"/>
        <b/>
        <color rgb="FF000000"/>
        <sz val="11.0"/>
      </rPr>
      <t xml:space="preserve">IBS </t>
    </r>
    <r>
      <rPr>
        <rFont val="Calibri"/>
        <color rgb="FF000000"/>
        <sz val="11.0"/>
      </rPr>
      <t xml:space="preserve">e </t>
    </r>
    <r>
      <rPr>
        <rFont val="Calibri"/>
        <b/>
        <color rgb="FF000000"/>
        <sz val="11.0"/>
      </rPr>
      <t>CBS</t>
    </r>
    <r>
      <rPr>
        <rFont val="Calibri"/>
        <color rgb="FF000000"/>
        <sz val="11.0"/>
      </rPr>
      <t xml:space="preserve">.
1 - IBS e CBS apurados pelo SN;
2 - CBS apurada pelo SN e IBS apurado pelo regime regular;
3 - IBS e CBS apurados pelo regime regular.
</t>
    </r>
    <r>
      <rPr>
        <rFont val="Calibri"/>
        <b/>
        <color rgb="FF000000"/>
        <sz val="11.0"/>
      </rPr>
      <t>Uso específico para Reforma Tributária</t>
    </r>
  </si>
  <si>
    <t>Quando opSimpNac = 4 (Pendente), a NFS-e gerada só vai possuir as informações duplicadas de vIBSTot e vCBS (como contribuinte regular) e vIBSSN e vCBSSN quando regApIBSCBSSN = 1.</t>
  </si>
  <si>
    <t>Governa TXT</t>
  </si>
  <si>
    <t>Outro Municipio</t>
  </si>
  <si>
    <t>IncCult</t>
  </si>
  <si>
    <t>Incentivador Cultural</t>
  </si>
  <si>
    <t>Retido na Fonte</t>
  </si>
  <si>
    <t>1-Sim
2-Não
3 – Optante pelo Simples Nacional em início de atividade (primeiras três competências) 
4 – Serviço prestado no Programa Minha Casa Minha Vida (até 3 salários mínimos)
Opções 3 e 4 são exclusivas do padrão SigCorp Londrina</t>
  </si>
  <si>
    <t>Governo Digital</t>
  </si>
  <si>
    <t>tpImunidade</t>
  </si>
  <si>
    <t>Identificação da Imunidade do ISSQN – somente para o caso de Imunidade</t>
  </si>
  <si>
    <t>Governo Eletrônico</t>
  </si>
  <si>
    <t>Valores aceitos:
0 - Imunidade (tipo não informado na nota de origem);
1 - Patrimônio, renda ou serviços, uns dos outros (CF88, Art 150, VI, a);
2 - Templos de qualquer culto (CF88, Art 150, VI, b);
3 - Patrimônio, renda ou serviços dos partidos políticos, inclusive suas fundações, das entidades sindicais dos trabalhadores, das instituições de educação e de assistência social, sem fins lucrativos, atendidos os requisitos da lei (CF88, Art 150, VI, c);
4 - Livros, jornais, periódicos e o papel destinado a sua impressão (CF88, Art 150, VI, d);
5 - Fonogramas e videofonogramas musicais produzidos no Brasil contendo obras musicais ou literomusicais de autores brasileiros e/ou obras em geral interpretadas por artistas brasileiros bem como os suportes materiais ou arquivos digitais que os contenham, salvo na etapa de replicação industrial de mídias ópticas de leitura a laser. (CF88, Art 150, VI, e);</t>
  </si>
  <si>
    <t>INFISC - Caxias do Sul</t>
  </si>
  <si>
    <t>tpSusp</t>
  </si>
  <si>
    <t>Opção para Exigibilidade suspensa</t>
  </si>
  <si>
    <r>
      <rPr>
        <rFont val="Calibri"/>
        <color rgb="FF000000"/>
        <sz val="11.0"/>
      </rPr>
      <t xml:space="preserve">Valores aceitos:
1 - Exigibilidade Suspensa por Decisão Judicial;
2 - Exigibilidade Suspensa por Processo Administrativo;
Desambiguação padrão nacional:
Quem preenche atualmente Natop com os valores 5 ou 6 não necessita alteração. O sistema irá preencher tribISSQN com 2 (não incidência) e tpSusp conforme a opção escolhida.
</t>
    </r>
    <r>
      <rPr>
        <rFont val="Calibri"/>
        <b/>
        <color rgb="FF000000"/>
        <sz val="11.0"/>
      </rPr>
      <t>Uso específico para NFS-e Modelo Nacional</t>
    </r>
  </si>
  <si>
    <t>INFISC - Farroupilha</t>
  </si>
  <si>
    <t>INFISC - Santiago</t>
  </si>
  <si>
    <t>tpNFSeDebito</t>
  </si>
  <si>
    <t>Tipo de NFS-e de Ajuste de Débito (finNFSe=2).</t>
  </si>
  <si>
    <r>
      <rPr>
        <rFont val="Calibri"/>
        <color rgb="FF000000"/>
        <sz val="11.0"/>
      </rPr>
      <t xml:space="preserve">Valores aceitos:
01=Transferência de créditos para Cooperativas
02=Anulação de Crédito por Saídas Imunes/Isentas
03=Débitos de notas fiscais não processadas na apuração
04=Multa e juros
05=Transferência de crédito na sucessão
06=Pagamento Antecipado
</t>
    </r>
    <r>
      <rPr>
        <rFont val="Calibri"/>
        <b/>
        <color rgb="FF000000"/>
        <sz val="11.0"/>
      </rPr>
      <t>Uso específico para Reforma Tributária</t>
    </r>
  </si>
  <si>
    <t>INFISC - Sapucaia</t>
  </si>
  <si>
    <t>INFISC Campo Bom</t>
  </si>
  <si>
    <t>tpNFSeCredito</t>
  </si>
  <si>
    <t>Tipo de NFS-e de Ajuste de Crédito (finNFSe=1).</t>
  </si>
  <si>
    <r>
      <rPr>
        <rFont val="Calibri"/>
        <color rgb="FF000000"/>
        <sz val="11.0"/>
      </rPr>
      <t xml:space="preserve">01=Multa e juros
05=Transferência de crédito na sucessão
</t>
    </r>
    <r>
      <rPr>
        <rFont val="Calibri"/>
        <b/>
        <color rgb="FF000000"/>
        <sz val="11.0"/>
      </rPr>
      <t>Uso específico para Reforma Tributária</t>
    </r>
  </si>
  <si>
    <t>IPM</t>
  </si>
  <si>
    <t>Tributada Integralmente</t>
  </si>
  <si>
    <t>Tributado integralmente (Tomador)</t>
  </si>
  <si>
    <t>Status</t>
  </si>
  <si>
    <t>Status do RPS</t>
  </si>
  <si>
    <t>Isenta</t>
  </si>
  <si>
    <t>Não Tributada - ISS regime Fixo</t>
  </si>
  <si>
    <t>Tributada Integralmente e sujeita à Subs Tributária</t>
  </si>
  <si>
    <t>1-Normal
2-Cancelada
3-Extraviado
4-Contingência
5-Inutilização
A opção 3 é exclusiva do padrão NF Paulista – município de São Paulo/SP.
Opções 4 e 5 são exclusivos do padrão INFISC.</t>
  </si>
  <si>
    <t>Tributada Integralmente com ISSRF</t>
  </si>
  <si>
    <t>Tributada com redução da BC e sujeita à Subst. Tributária</t>
  </si>
  <si>
    <t>Não Tributada - ISS regime Estimativa</t>
  </si>
  <si>
    <t>Não Tributada - ISS Construção Civil</t>
  </si>
  <si>
    <t>cVerificaRPS</t>
  </si>
  <si>
    <t>Código de Verificação de RPS</t>
  </si>
  <si>
    <t>ISANETO</t>
  </si>
  <si>
    <t>Alguns padrões precisam liberar uma faixa de RPS no site da prefeitura antes de emitir. Além do número do RPS, é necessário informar o código de verificação que é fornecido nesta lista.</t>
  </si>
  <si>
    <t>ISISS</t>
  </si>
  <si>
    <t>EmpreitadaGlobal</t>
  </si>
  <si>
    <t>Empreitada Global</t>
  </si>
  <si>
    <t>ISS Fortaleza</t>
  </si>
  <si>
    <t>Tributação no Município</t>
  </si>
  <si>
    <t>1-Sim (específico para construção civil)
2-Não
Campo Exclusivo e obrigatório no padrão INFISC.</t>
  </si>
  <si>
    <t>ISS Intel</t>
  </si>
  <si>
    <t>tpAmb</t>
  </si>
  <si>
    <t>Tipo de Ambiente</t>
  </si>
  <si>
    <t>ISS Online AEG</t>
  </si>
  <si>
    <t>N(1)</t>
  </si>
  <si>
    <t>Ambiente em que a empresa está cadastrada no InvoiCy.
1-Produção; 2-Homologação.</t>
  </si>
  <si>
    <t>finNFSe</t>
  </si>
  <si>
    <t>Indicador da finalidade da emissão de NFS-e</t>
  </si>
  <si>
    <r>
      <rPr>
        <rFont val="Calibri"/>
        <b val="0"/>
        <color rgb="FF000000"/>
        <sz val="11.0"/>
      </rPr>
      <t>0 = NFS-e regular
1 = NFS-e de crédito
2 = NFS-e de débito</t>
    </r>
    <r>
      <rPr>
        <rFont val="Calibri"/>
        <b/>
        <color rgb="FF000000"/>
        <sz val="11.0"/>
      </rPr>
      <t xml:space="preserve">
Uso específico para Reforma Tributária</t>
    </r>
  </si>
  <si>
    <t>2.89.0.0</t>
  </si>
  <si>
    <t>ISS On-line Supernova</t>
  </si>
  <si>
    <t>indDoacao</t>
  </si>
  <si>
    <t>Indica uma Operação de Doação</t>
  </si>
  <si>
    <t>Uso específico para Reforma Tributária</t>
  </si>
  <si>
    <t>ISS Simples SpConsig</t>
  </si>
  <si>
    <t>Isenção / Imune</t>
  </si>
  <si>
    <r>
      <rPr>
        <rFont val="Calibri"/>
        <b/>
        <color rgb="FF000000"/>
        <sz val="11.0"/>
      </rPr>
      <t>1)Doação com contraprestação</t>
    </r>
    <r>
      <rPr>
        <rFont val="Calibri"/>
        <color rgb="FF000000"/>
        <sz val="11.0"/>
      </rPr>
      <t xml:space="preserve">;  NFS-e deve ser emitida a valor de mercado.
indDoacao: Não deve ser informado; gEstornoCred: Não deve ser informado; cClassTrib: Tributação Regular.
</t>
    </r>
    <r>
      <rPr>
        <rFont val="Calibri"/>
        <b/>
        <color rgb="FF000000"/>
        <sz val="11.0"/>
      </rPr>
      <t>2) Doação sem contraprestação;</t>
    </r>
    <r>
      <rPr>
        <rFont val="Calibri"/>
        <color rgb="FF000000"/>
        <sz val="11.0"/>
      </rPr>
      <t xml:space="preserve">
2.1) Quando não houve apropriação de créditos anteriores: 
Deve-se emitir NFS-e a valor de
 mercado. Como não houve créditos na entrada, deve-se realizar a doação sem qualquer estorno.
indDoacao: Deve ser informado; gEstornoCred: Não deve ser informado; cClassTrib: "410003 - Doações sem contraprestação em benefício do doador";
2.2) Quando houve apropriação de créditos anteriores:
2.2.a) Pode-se estornar os créditos de entrada ao informar valores de IBS e de CBS no grupo gEstornoCred. Nesse caso, deve-se realizar um cálculo dos créditos obtidos na entrada para serem informados no grupo de estorno; indDoacao: Deve ser informado; gEstornoCred: Deve ser informado; cClassTrib: "410026 - Doação com anulação de crédito";
2.2.b) Pode-se tributar a operação de doação de forma equivalente a uma operação com incidência regular. Nesse caso, não há estorno e a NFS-e deve ser emitida a valor de mercado;
indDoacao: Deve ser informado; gEstornoCred: Não deve ser informado; cClassTrib: Tributação regular.</t>
    </r>
  </si>
  <si>
    <t>ISS a Recolher</t>
  </si>
  <si>
    <t>ISS Retido</t>
  </si>
  <si>
    <t>Não Tributável</t>
  </si>
  <si>
    <t>indFinal</t>
  </si>
  <si>
    <t>Simples Nacional ISS Retido na Fonte</t>
  </si>
  <si>
    <t>Indica operação de uso ou consumo pessoal.
0=Não 1=Sim</t>
  </si>
  <si>
    <t>ISS.NET</t>
  </si>
  <si>
    <t>V(1)</t>
  </si>
  <si>
    <r>
      <rPr>
        <rFont val="Calibri"/>
        <b val="0"/>
        <color rgb="FF000000"/>
        <sz val="11.0"/>
      </rPr>
      <t xml:space="preserve">0 = Operação de venda para terceiros
1 = Operação de uso ou consumo pessoal do adquirente ou destinatário.
</t>
    </r>
    <r>
      <rPr>
        <rFont val="Calibri"/>
        <b/>
        <color rgb="FF000000"/>
        <sz val="11.0"/>
      </rPr>
      <t xml:space="preserve">
Uso específico para Reforma Tributária</t>
    </r>
  </si>
  <si>
    <t>ISS4R</t>
  </si>
  <si>
    <t>cIndOp</t>
  </si>
  <si>
    <t>Código indicador da operação de fornecimento, conforme tabela “código indicador de operação”</t>
  </si>
  <si>
    <t>V(6)</t>
  </si>
  <si>
    <t>ISSe</t>
  </si>
  <si>
    <t>tpEnteGov</t>
  </si>
  <si>
    <t>Tipo de ente governamental
Para administração pública direta e suas autarquias e fundações:
1 = União
2 = Estado
3 = Distrito Federal
4 = Município</t>
  </si>
  <si>
    <t>ISSNFe Online</t>
  </si>
  <si>
    <t>ISSWeb Camaçari</t>
  </si>
  <si>
    <t>xTpEnteGov</t>
  </si>
  <si>
    <t>Se tpEnteGov informado for igual a 9 = outro, este campo deve informar qual a descrição do ente. Exemplo: "Comitê Gestor do IBS".</t>
  </si>
  <si>
    <t>C(100)</t>
  </si>
  <si>
    <t>ISSWeb Fiorilli</t>
  </si>
  <si>
    <t>JANELA UNICA</t>
  </si>
  <si>
    <t>Uso específico para Reforma Tributária IPM</t>
  </si>
  <si>
    <t>Exigibilidade Suspensa por Decisão Judicial</t>
  </si>
  <si>
    <t>JFISS Digital</t>
  </si>
  <si>
    <t>indDest</t>
  </si>
  <si>
    <t>A respeito do Destinatário dos serviços:
0 – O tomador identificado na NFS-e é o adquirente e o destinatário do fornecimento (tomador = adquirente = destinatário);
1 – O tomador e o adquirente são a mesma pessoa, mas o destinatário é uma pessoa física ou jurídica ou equiparada diversa do indicado como tomador/adquirente ou se trata de um estabelecimento do adquirente diferente do indicado no campo “tomador” (tomador = adquirente ≠ destinatário).</t>
  </si>
  <si>
    <t>JGBAIAO</t>
  </si>
  <si>
    <t>tpOper</t>
  </si>
  <si>
    <t>Tipo de Operação com Entes Governanementais ou outros
serviços sobre bens imóveis:
1 – Fornecimento com pagamento posterior;
2 - Recebimento do pagamento com fornecimento já realizado;
3 – Fornecimento com pagamento já realizado;
4 – Recebimento do pagamento com fornecimento posterior;
5 – Fornecimento e recebimento do pagamento concomitantes</t>
  </si>
  <si>
    <t>LEXSOM</t>
  </si>
  <si>
    <t>MEMORY</t>
  </si>
  <si>
    <t>indZFMALC</t>
  </si>
  <si>
    <t>Indicador da operação de fornecimento favorecido com alíquota
zero de CBS</t>
  </si>
  <si>
    <r>
      <rPr>
        <rFont val="Calibri"/>
        <b val="0"/>
        <color rgb="FF000000"/>
        <sz val="11.0"/>
      </rPr>
      <t xml:space="preserve">0 - Não;
1 - Sim.
</t>
    </r>
    <r>
      <rPr>
        <rFont val="Calibri"/>
        <b/>
        <color rgb="FF000000"/>
        <sz val="11.0"/>
      </rPr>
      <t>Uso específico para Reforma Tributária</t>
    </r>
  </si>
  <si>
    <t>Se indZFMALC=1, o valor da alíquota da CBS será 0 (zero).
O campo indZFMALC só deve ser informado se observadas as seguintes regras:
1) cIndOp deve ser 010101, 010102, 010103, 010106, 020101, 020201, 020301, 030101, 030102, 050101, 050102, 050201, 060101, 070101, 070102, 100301, 100302, 100401, 100501, 100502 ou 100601;
2) Fornecedor e destinatário dentro da Zona Franca de Manaus (ZFM); ou fornecedor e destinatário dentro da mesma Área de Livre Comércio (ALC).</t>
  </si>
  <si>
    <t>Metrópolis</t>
  </si>
  <si>
    <t>NFSOutrasinformacoes</t>
  </si>
  <si>
    <t>Outras informações</t>
  </si>
  <si>
    <t>MITRA</t>
  </si>
  <si>
    <t>C(1000)</t>
  </si>
  <si>
    <t>Sempre será Impresso no Espelho do RPS do InvoiCy. Porém, só envia para as prefeituras do Betha, IPM, E&amp;L, SimplISS, Prescon e INFISC. Se você utilizar o espelho do RPS gerado pelo InvoiCy, sempre terá essa informação impressa! Obs: Caso seja enviado menos de 58 caracteres, o layout Betha concatena o link do espelho da NFS-e neste campo.</t>
  </si>
  <si>
    <t>NF Paulistana</t>
  </si>
  <si>
    <t>No Municipio</t>
  </si>
  <si>
    <t>RPSCanhoto</t>
  </si>
  <si>
    <t>Fora do Município</t>
  </si>
  <si>
    <t>Canhoto do RPS (INFISC)</t>
  </si>
  <si>
    <t>P</t>
  </si>
  <si>
    <t>Tributada no Município, porém Isento.</t>
  </si>
  <si>
    <t>A</t>
  </si>
  <si>
    <t>Campo exclusivo do padrão INFISC. Gerar espelho?
0 - Não
1 - Cabeçalho
2 - Rodapé</t>
  </si>
  <si>
    <t>1.20.0.0</t>
  </si>
  <si>
    <t>Tributada fora do Município, porém Isento.</t>
  </si>
  <si>
    <t>B</t>
  </si>
  <si>
    <t>Tributada no Município, porém Imune.</t>
  </si>
  <si>
    <t>Tributada fora do Município, porém Imune.</t>
  </si>
  <si>
    <t>N</t>
  </si>
  <si>
    <t>Tributada no Município, porém Exigibilidade Suspensa</t>
  </si>
  <si>
    <t>X</t>
  </si>
  <si>
    <t>Arquivo</t>
  </si>
  <si>
    <t>Arquivo de retorno</t>
  </si>
  <si>
    <t>Tributada fora do Município, porém Exigibilidade Suspensa</t>
  </si>
  <si>
    <t>V</t>
  </si>
  <si>
    <t>V(2M)</t>
  </si>
  <si>
    <t>NF-Eletronica</t>
  </si>
  <si>
    <t>Enviar o arquivo  em base64. Para mais informações de envio consultar o tópico de Orientações aos municípios que integram com o InvoiCy NFS-e através de arquivo</t>
  </si>
  <si>
    <t>Issqn isento</t>
  </si>
  <si>
    <t>Issqn imune</t>
  </si>
  <si>
    <t>Issqn fixo</t>
  </si>
  <si>
    <t>Simei</t>
  </si>
  <si>
    <t>ExtensaoArquivo</t>
  </si>
  <si>
    <t>Extensão do arquivo de envio</t>
  </si>
  <si>
    <t>Issqn estimado</t>
  </si>
  <si>
    <t>NFPSe</t>
  </si>
  <si>
    <t>Tributada integralmente</t>
  </si>
  <si>
    <t>TXT, XML ou CSV. Informar somente se preencher a tag Arquivo.</t>
  </si>
  <si>
    <t>Tributada por meio de imposto fixo</t>
  </si>
  <si>
    <t>Tributada integralmente e regime da substituição tributária</t>
  </si>
  <si>
    <t>Tributada integralmente e regime do Simples Nacional</t>
  </si>
  <si>
    <t>RPSSubs</t>
  </si>
  <si>
    <t>Tributada integralmente e com ISQN retido na fonte</t>
  </si>
  <si>
    <t>Tributada com redução da base de cálculo ou alíquota</t>
  </si>
  <si>
    <t>Tributada integralmente, regime do SN e ISQN retido na fonte</t>
  </si>
  <si>
    <t>Tributada integralmente e subs. tribut. pelo intermediário</t>
  </si>
  <si>
    <t>Tributada integralmente,regime do SN e da subst. tributária</t>
  </si>
  <si>
    <t>Tributada integralmente e com o ISQN retido pelo subs.tribut</t>
  </si>
  <si>
    <t>Tributada com redução da BC ou alíq. com ISQN retido na font</t>
  </si>
  <si>
    <t>SubsNumero</t>
  </si>
  <si>
    <t>Número do RPS a ser substituído</t>
  </si>
  <si>
    <t>Tributada com Red da B.C e sujeita ao regime da subst. Trib.</t>
  </si>
  <si>
    <t>Tributada com Red da B.C e com ISSQN Ret. anteriormente</t>
  </si>
  <si>
    <t>Não tributada em razão do destino dos bens ou objetos</t>
  </si>
  <si>
    <t>Não tributada em razão do diferimento da prestação do serv.</t>
  </si>
  <si>
    <t>NFPSe WS</t>
  </si>
  <si>
    <t>Tritutada integralmente</t>
  </si>
  <si>
    <t>Número do RPS que será substituído. O RPS informado neste campo, deverá ter sido convertido para NFS-e na prefeitura.</t>
  </si>
  <si>
    <t>Tributada por meio do imposto fixo</t>
  </si>
  <si>
    <t>SubsSerie</t>
  </si>
  <si>
    <t>Série do RPS a ser substituído</t>
  </si>
  <si>
    <t>Não tributada</t>
  </si>
  <si>
    <t>Tributada com redução da BC ou alíq. e sujeita subs. Tribut.</t>
  </si>
  <si>
    <t>Tributada com red da BC ou alíq. com ISQN ret subs. Tribut.</t>
  </si>
  <si>
    <t>Não tributada em razão do deferimento da prest. do serviço</t>
  </si>
  <si>
    <t>NFSD</t>
  </si>
  <si>
    <t>SubsTipo</t>
  </si>
  <si>
    <t>Tipo do RPS a ser substituído</t>
  </si>
  <si>
    <t>NFSe NET</t>
  </si>
  <si>
    <t>SubsNFSeNumero</t>
  </si>
  <si>
    <t>Número da NFS-e substituída</t>
  </si>
  <si>
    <t>NFSE-Ecidade</t>
  </si>
  <si>
    <t>Exclusivo do padrão DSFNet</t>
  </si>
  <si>
    <t>NFWEB</t>
  </si>
  <si>
    <t>Operação Normal</t>
  </si>
  <si>
    <t>SubsDEmisNFSe</t>
  </si>
  <si>
    <t>Data de Emissão da NFS-e Substituída</t>
  </si>
  <si>
    <t>Operação Isenta/Imune</t>
  </si>
  <si>
    <t>Operação efetuada em outro Municipio</t>
  </si>
  <si>
    <t>Formato: AAAA-MM-DDTHH:MM:SS
Exclusivo do padrão DSFNet</t>
  </si>
  <si>
    <t>ISS Suspenso por Decisão Judicial</t>
  </si>
  <si>
    <t>J</t>
  </si>
  <si>
    <t>NOTA BLU</t>
  </si>
  <si>
    <t>tributação no município</t>
  </si>
  <si>
    <t>tributação fora do município</t>
  </si>
  <si>
    <t>isenção</t>
  </si>
  <si>
    <t>SubsChave</t>
  </si>
  <si>
    <t>Chave de Acesso NFSe Substituída</t>
  </si>
  <si>
    <t>V(50)</t>
  </si>
  <si>
    <t>Nota Carioca</t>
  </si>
  <si>
    <t>Nota Natalense</t>
  </si>
  <si>
    <t>SubsCodMotivo</t>
  </si>
  <si>
    <t>Código do Motivo da substituição</t>
  </si>
  <si>
    <t>Nota Salvador</t>
  </si>
  <si>
    <r>
      <rPr>
        <rFont val="Calibri"/>
        <color rgb="FF000000"/>
        <sz val="11.0"/>
      </rPr>
      <t xml:space="preserve">Os valores aceitos são:
01 - Desenquadramento de NFS-e do Simples Nacional;
02 - Enquadramento de NFS-e no Simples Nacional;
03 - Inclusão Retroativa de Imunidade/Isenção para NFS-e;
04 - Exclusão Retroativa de Imunidade/Isenção para NFS-e;
05 - Rejeição de NFS-e pelo tomador ou pelo intermediário se responsável pelo recolhimento do tributo;
99 – Outros;
</t>
    </r>
    <r>
      <rPr>
        <rFont val="Calibri"/>
        <b/>
        <color rgb="FF000000"/>
        <sz val="11.0"/>
      </rPr>
      <t>Uso específico para NFS-e Modelo Nacional</t>
    </r>
  </si>
  <si>
    <t>PMJP</t>
  </si>
  <si>
    <t>SubsDescMotivo</t>
  </si>
  <si>
    <t>Descrição do Motivo da substituição</t>
  </si>
  <si>
    <t>V(255)</t>
  </si>
  <si>
    <t>Portal Facil</t>
  </si>
  <si>
    <r>
      <rPr>
        <rFont val="Calibri"/>
        <color rgb="FF000000"/>
        <sz val="11.0"/>
      </rPr>
      <t xml:space="preserve">Ao ser informado, deve conter no mínimo 15 caracteres.
</t>
    </r>
    <r>
      <rPr>
        <rFont val="Calibri"/>
        <b/>
        <color rgb="FF000000"/>
        <sz val="11.0"/>
      </rPr>
      <t>Uso específico para NFS-e Modelo Nacional</t>
    </r>
  </si>
  <si>
    <t>PRODATA</t>
  </si>
  <si>
    <t>Prestador</t>
  </si>
  <si>
    <t>Pública</t>
  </si>
  <si>
    <t>ISS devido para Itajaí</t>
  </si>
  <si>
    <t>ISS devido para outro município</t>
  </si>
  <si>
    <t>Operação imune, isenta ou não tributada</t>
  </si>
  <si>
    <t>ISS Fixo (Soc. Profissionais)</t>
  </si>
  <si>
    <t>MEI (Simples Nacional)</t>
  </si>
  <si>
    <t>Operação imune, isenta ou não tributada (Simples Nacional</t>
  </si>
  <si>
    <t>Tributação devida para Timóteo</t>
  </si>
  <si>
    <t>Tributação fora do Município</t>
  </si>
  <si>
    <t>CNPJ_prest</t>
  </si>
  <si>
    <t>CNPJ do prestador</t>
  </si>
  <si>
    <t>CE</t>
  </si>
  <si>
    <t>Tributação fixa</t>
  </si>
  <si>
    <t>C (14)</t>
  </si>
  <si>
    <t>Tributação retida pelo Tomador</t>
  </si>
  <si>
    <t>Tributação retida pelo Tomador (Prestador Simples Nacional)</t>
  </si>
  <si>
    <t>ISS devido para Mafra</t>
  </si>
  <si>
    <t>ISS devido para outro Município</t>
  </si>
  <si>
    <t>ISENTO</t>
  </si>
  <si>
    <t>IMUNE</t>
  </si>
  <si>
    <t>ISS FIXO</t>
  </si>
  <si>
    <t>ISS devido para Mafra (Simples Nacional)</t>
  </si>
  <si>
    <t>O CNPJ ou CPF deverão ser informados com os zeros não significativos.</t>
  </si>
  <si>
    <t>ISS retido pelo tomador</t>
  </si>
  <si>
    <t>ISS devido para outro Município (Simples Nacional)</t>
  </si>
  <si>
    <t>ISS retido pelo tomador (Simples Nacional)</t>
  </si>
  <si>
    <t>RLZ</t>
  </si>
  <si>
    <t>xNome</t>
  </si>
  <si>
    <t>Razão Social ou Nome do prestador</t>
  </si>
  <si>
    <t>C (60)</t>
  </si>
  <si>
    <t>SAATRI</t>
  </si>
  <si>
    <t>SAPITUR</t>
  </si>
  <si>
    <t>imune</t>
  </si>
  <si>
    <t>xFant</t>
  </si>
  <si>
    <t>exigibilidade suspensa por processo administrativo</t>
  </si>
  <si>
    <t>Nome fantasia</t>
  </si>
  <si>
    <t>não incidência</t>
  </si>
  <si>
    <t>exportação</t>
  </si>
  <si>
    <t>SEMFAZ</t>
  </si>
  <si>
    <t>SH3</t>
  </si>
  <si>
    <t>IM</t>
  </si>
  <si>
    <t>Inscrição Municipal</t>
  </si>
  <si>
    <t>V (20)</t>
  </si>
  <si>
    <t>SIAM</t>
  </si>
  <si>
    <t>SIAPPA</t>
  </si>
  <si>
    <t>Tributado no Prestador</t>
  </si>
  <si>
    <t>S</t>
  </si>
  <si>
    <t>IE</t>
  </si>
  <si>
    <t>Inscrição Estadual</t>
  </si>
  <si>
    <t>Tributado no Tomador</t>
  </si>
  <si>
    <t>Atividade sem retenção</t>
  </si>
  <si>
    <t>Sigcorp Bauru</t>
  </si>
  <si>
    <t>tp</t>
  </si>
  <si>
    <t>não tributado</t>
  </si>
  <si>
    <t>nt</t>
  </si>
  <si>
    <t>isenta</t>
  </si>
  <si>
    <t>is</t>
  </si>
  <si>
    <t>Sem caracteres de formatação (ponto, barra, hífen, etc.)</t>
  </si>
  <si>
    <t>im</t>
  </si>
  <si>
    <t>Tributado no tomador</t>
  </si>
  <si>
    <t>tt</t>
  </si>
  <si>
    <t>Sigcorp Cianorte</t>
  </si>
  <si>
    <t>Sigcorp Ivaiporã</t>
  </si>
  <si>
    <t>CMC</t>
  </si>
  <si>
    <t>Cadastro Mobiliário do Contribuinte</t>
  </si>
  <si>
    <t>SIGcorp Londrina</t>
  </si>
  <si>
    <t>Tributada no prestador</t>
  </si>
  <si>
    <t>outro município</t>
  </si>
  <si>
    <t>si</t>
  </si>
  <si>
    <t>Tributado Fixo</t>
  </si>
  <si>
    <t>tf</t>
  </si>
  <si>
    <t>ca</t>
  </si>
  <si>
    <t>Tributada no tomador</t>
  </si>
  <si>
    <t>SigCORP Marilia</t>
  </si>
  <si>
    <t>CAEPF</t>
  </si>
  <si>
    <t>Número do Cadastro de Atividade Econômica da Pessoa Física do prestador do Serviço</t>
  </si>
  <si>
    <t>Sigcorp Mogi Guaçu</t>
  </si>
  <si>
    <t>Tributo no Tomador</t>
  </si>
  <si>
    <t>Uso específico para NFS-e Modelo Nacional</t>
  </si>
  <si>
    <t>Sigcorp Rio Grande</t>
  </si>
  <si>
    <t>enderPrest</t>
  </si>
  <si>
    <t>TAG de grupo do endereço do prestador</t>
  </si>
  <si>
    <t>Retido Fora</t>
  </si>
  <si>
    <t>rf</t>
  </si>
  <si>
    <t>SIGCORP S.J. de Meriti</t>
  </si>
  <si>
    <t>Sigcorp São Goncalo</t>
  </si>
  <si>
    <t>TpEnd</t>
  </si>
  <si>
    <t>Tipo de endereço</t>
  </si>
  <si>
    <t>C (30)</t>
  </si>
  <si>
    <t>Sigcorp TXT</t>
  </si>
  <si>
    <t>Tributada</t>
  </si>
  <si>
    <t>U</t>
  </si>
  <si>
    <t>cancelado</t>
  </si>
  <si>
    <t>tomador</t>
  </si>
  <si>
    <t>xLgr</t>
  </si>
  <si>
    <t>SimplISS</t>
  </si>
  <si>
    <t>Logradouro</t>
  </si>
  <si>
    <t>SISNFE BAURU</t>
  </si>
  <si>
    <t>nro</t>
  </si>
  <si>
    <t>Número</t>
  </si>
  <si>
    <t>SJP</t>
  </si>
  <si>
    <t>SMARapd SIL Tecnologia WS</t>
  </si>
  <si>
    <t>xCpl</t>
  </si>
  <si>
    <t>Complemento</t>
  </si>
  <si>
    <t>SMARAPDSIL WS2</t>
  </si>
  <si>
    <t>xBairro</t>
  </si>
  <si>
    <t>Bairro</t>
  </si>
  <si>
    <t>Solução Pública</t>
  </si>
  <si>
    <t>SysISS</t>
  </si>
  <si>
    <t>cMun</t>
  </si>
  <si>
    <t>Código do município</t>
  </si>
  <si>
    <t>N (7)</t>
  </si>
  <si>
    <t>Consulte nosso artigo para mais informações.</t>
  </si>
  <si>
    <t>System</t>
  </si>
  <si>
    <t>Tecnos</t>
  </si>
  <si>
    <t>Thema</t>
  </si>
  <si>
    <t>Imposto devido no município, com obrigação de ret. na fonte</t>
  </si>
  <si>
    <t>Imposto devido no município, sem obrigação de ret. na fonte</t>
  </si>
  <si>
    <t>UF</t>
  </si>
  <si>
    <t>Sigla da UF</t>
  </si>
  <si>
    <t>C (2)</t>
  </si>
  <si>
    <t>ISSQN Fixo</t>
  </si>
  <si>
    <t>Ex: RS, SP, MG.</t>
  </si>
  <si>
    <t>Imp. recolhido pelo regime único de arrecadação S.N.</t>
  </si>
  <si>
    <t>Imposto devido no município, com obrigação de Ret. na fonte</t>
  </si>
  <si>
    <t>Imp. devido fora do município com obrigação de ret. na fonte</t>
  </si>
  <si>
    <t>CEP</t>
  </si>
  <si>
    <t>Código do CEP</t>
  </si>
  <si>
    <t>V (8)</t>
  </si>
  <si>
    <t>Imposto recolhido pelo regime único de arrecadação S.N.</t>
  </si>
  <si>
    <t>Imposto devido no município</t>
  </si>
  <si>
    <t>fone</t>
  </si>
  <si>
    <t>Telefone</t>
  </si>
  <si>
    <t>Imposto recolhido pelo regime único de arrecadação</t>
  </si>
  <si>
    <t>Imposto recolhido por guia sem escrituração</t>
  </si>
  <si>
    <t>Imposto Devido no municipio, com obrigação de ret. na fonte</t>
  </si>
  <si>
    <t>Imposto devido no municipio, sem obrigação de ret. na fonte</t>
  </si>
  <si>
    <t>Imposto devido no municipio, sem obrigação ret. na fonte</t>
  </si>
  <si>
    <t>Email</t>
  </si>
  <si>
    <t>E-mail</t>
  </si>
  <si>
    <t>Imposto devido fora municipio, com obrigação ret. na fonte</t>
  </si>
  <si>
    <t>C (1000)</t>
  </si>
  <si>
    <t>Imposto devido fora municipio, sem obrigação ret. na fonte</t>
  </si>
  <si>
    <t>Imposto devido fora de Passo Fundo</t>
  </si>
  <si>
    <t>ListaItens</t>
  </si>
  <si>
    <t>Imposto recolhido com valor fixo</t>
  </si>
  <si>
    <t>Imposto recolhido Regime Único Arrecadação(Simples Nacional)</t>
  </si>
  <si>
    <t>A orientação é preencher sempre essa tag, bem como a tag valores (mesmas informações, mas agrupadas em 1 item). Nas prefeituras que aceitam N itens, serão enviados os N itens, caso contrário, será enviado somente 1 item agrupado.</t>
  </si>
  <si>
    <t>Item</t>
  </si>
  <si>
    <t>1-N</t>
  </si>
  <si>
    <t>TINUS</t>
  </si>
  <si>
    <t>Não informar este grupo quando a integração for API Rest.</t>
  </si>
  <si>
    <t>TINUS - UPLOAD</t>
  </si>
  <si>
    <t>ItemSeq</t>
  </si>
  <si>
    <t>Número sequencial do item</t>
  </si>
  <si>
    <t>N(4.0)</t>
  </si>
  <si>
    <t>TIPLAN</t>
  </si>
  <si>
    <t>Tributos Municipais</t>
  </si>
  <si>
    <t>Operação normal (tributação normal)</t>
  </si>
  <si>
    <t>Operação efetuada em outro Município</t>
  </si>
  <si>
    <t>Operação isenta ou não tributável no Município</t>
  </si>
  <si>
    <t>ItemCod</t>
  </si>
  <si>
    <t>Código do item</t>
  </si>
  <si>
    <t>C(255)</t>
  </si>
  <si>
    <t>Tributos Web - Elotech</t>
  </si>
  <si>
    <t>ItemDesc</t>
  </si>
  <si>
    <t>Descrição do item</t>
  </si>
  <si>
    <t>VLCNET</t>
  </si>
  <si>
    <t>C(4000)</t>
  </si>
  <si>
    <t>Tributado Fora do Município</t>
  </si>
  <si>
    <t>Para quebra de linha, utilizar o comando !CHR13!.</t>
  </si>
  <si>
    <t>Mico Empreendedor Individual (MEI)</t>
  </si>
  <si>
    <t>Imposto devido no município, com retenção na fonte</t>
  </si>
  <si>
    <t>ItemQtde</t>
  </si>
  <si>
    <t>WebISS 1</t>
  </si>
  <si>
    <t>Quantidade do item</t>
  </si>
  <si>
    <t>N(15.2)</t>
  </si>
  <si>
    <t>WebISS 2</t>
  </si>
  <si>
    <t>ItemvUnit</t>
  </si>
  <si>
    <t>Valor unitário</t>
  </si>
  <si>
    <t>ItemuMed</t>
  </si>
  <si>
    <t>Código da unidade de medida do item</t>
  </si>
  <si>
    <t>ItemvlDed</t>
  </si>
  <si>
    <t>Valor de dedução do item</t>
  </si>
  <si>
    <t>Os valores de deduções são referentes a aquisição de materiais que foram utilizados na prestação do serviço. Esse valor deve ser deduzido da base de cálculo do ISSQN para não haver bitributação.</t>
  </si>
  <si>
    <t>ItemTributavel</t>
  </si>
  <si>
    <t>Item tributável</t>
  </si>
  <si>
    <t>Obrigatório nos padrões DSFNET e Elotech.
S – Item Tributável
N – Não tributável
Para o preenchimento do campo orienta-se a consultar o tópico DSFNET e Atividades de itens de serviços com marcação Não tributável – DSFNET</t>
  </si>
  <si>
    <t>ItemcCnae</t>
  </si>
  <si>
    <t>Código CNAE do item</t>
  </si>
  <si>
    <t>O CNAE (Classificação Nacional de Atividades Econômicas) é uma classificação atribuída à empresa conforme o ramo de atuação e atividade.</t>
  </si>
  <si>
    <t>ItemTributMunicipio</t>
  </si>
  <si>
    <t>Código de tributação do município</t>
  </si>
  <si>
    <t>C(20)</t>
  </si>
  <si>
    <t>Preencher conforme está no cadastro da empresa no município.</t>
  </si>
  <si>
    <t>O Código de tributação Municipal está relacionado com o Item da Lista de serviços, que é a classificação federal para os serviços tributáveis. Como um item da lista pode estar relacionado a várias regras tributárias, as prefeituras criaram o código de tributação municipal para manter um controle granular e específico. Dessa forma, essa informação varia de acordo com a empresa e o município, e deve ser adquirida junto ao órgão responsável no município.</t>
  </si>
  <si>
    <t>ItemnAlvara</t>
  </si>
  <si>
    <t>Numero do Alvará do item</t>
  </si>
  <si>
    <t>C(15)</t>
  </si>
  <si>
    <t>ItemvIss</t>
  </si>
  <si>
    <t>Valor do ISS do item</t>
  </si>
  <si>
    <t>N(16.2)</t>
  </si>
  <si>
    <t>Valor do ISSQN (Imposto sobre Serviço de Qualquer Natureza), também conhecido como ISS (Imposto sobre Serviço).</t>
  </si>
  <si>
    <t>ItemvDesconto</t>
  </si>
  <si>
    <t>Valor do desconto do item</t>
  </si>
  <si>
    <t>ItemAliquota</t>
  </si>
  <si>
    <t>Valor da alíquota de ISS do item</t>
  </si>
  <si>
    <t>N(8.4)</t>
  </si>
  <si>
    <t>Preferencialmente no formato decimal. Ex: 0.05 para 5%.</t>
  </si>
  <si>
    <t>ItemVlrTotal</t>
  </si>
  <si>
    <t>Valor total do item</t>
  </si>
  <si>
    <t>N(15.4)</t>
  </si>
  <si>
    <t>É o resultado da multiplicação do valor unitário pela quantidade (ItemQtde * ItemvUnit)</t>
  </si>
  <si>
    <t>ItemBaseCalculo</t>
  </si>
  <si>
    <t>Base de cálculo do item</t>
  </si>
  <si>
    <t>Valor total do item subtraído das deduções (ItemVlrTotal - ItemvlDed) e em alguns casos também descontos.</t>
  </si>
  <si>
    <t>ItemvlrISSRetido</t>
  </si>
  <si>
    <t>Valor do ISS Retido do item</t>
  </si>
  <si>
    <t xml:space="preserve"> </t>
  </si>
  <si>
    <t>ItemIssRetido</t>
  </si>
  <si>
    <t>Existe retenção de ISS no item?</t>
  </si>
  <si>
    <t xml:space="preserve">1 - Sim
2 - Não </t>
  </si>
  <si>
    <t>ItemRespRetencao</t>
  </si>
  <si>
    <t>Responsável pela retenção do item</t>
  </si>
  <si>
    <t>Em padrões ABRASF, o campo só deve ser informado se ISSRetido = 1. No padrão IPM, o campo pode ser obrigatório (Valores 1 e 3).
1 – Tomador / Não Tributar para Prestador;
2 – Intermediário;
3 – Prestador / Tributar para Prestador.</t>
  </si>
  <si>
    <t>ItemIteListServico</t>
  </si>
  <si>
    <t>Código do item da lista de serviço</t>
  </si>
  <si>
    <t>Enviar sempre no formato com ponto. Ex: 08.01, 14.04.</t>
  </si>
  <si>
    <t>O Item da Lista de Serviço é uma classificação Federal dos serviços tributáveis, regulamentado pela Lei Complementar 116/2003. Os itens da legislação podem ser consultados aqui - http://www.planalto.gov.br/ccivil_03/leis/LCP/Lcp116.htm. Mas vale ressaltar que cada prefeitura cadastra o item da empresa, então pode variar. A empresa deve consultar junto ao órgão competente no município qual item utilizar.</t>
  </si>
  <si>
    <t>itemCodTributNacional</t>
  </si>
  <si>
    <t>Código de tributação Nacional do item</t>
  </si>
  <si>
    <r>
      <rPr>
        <rFont val="Calibri"/>
        <color rgb="FF000000"/>
        <sz val="11.0"/>
      </rPr>
      <t xml:space="preserve">Atualmente o padrão Nacional não recebe estrutura de itens. Campo previsto para uso futuro.
</t>
    </r>
    <r>
      <rPr>
        <rFont val="Calibri"/>
        <b/>
        <color rgb="FF000000"/>
        <sz val="11.0"/>
      </rPr>
      <t>Uso específico para NFS-e Modelo Nacional</t>
    </r>
  </si>
  <si>
    <t>ItemExigibilidadeISS</t>
  </si>
  <si>
    <t>Código da Natureza de Operação / Exigibilidade de ISS do item</t>
  </si>
  <si>
    <t>Mesmos valores da natureza da operação do RPS.</t>
  </si>
  <si>
    <t>A mesma orientação da NatOp se aplica nesse campo. Ele aparece no item, nos casos em que a prefeitura permite que os itens tenham naturezas de operação distintos.</t>
  </si>
  <si>
    <t>ItemcMunIncidencia</t>
  </si>
  <si>
    <t>Município de incidência do item</t>
  </si>
  <si>
    <t>N(7.0)</t>
  </si>
  <si>
    <t>Código do município onde é a incidência do imposto. Consulte nosso artigo para mais informações.</t>
  </si>
  <si>
    <t>ItemNumProcesso</t>
  </si>
  <si>
    <t>Número do processo do item</t>
  </si>
  <si>
    <t>ItemDedTipo</t>
  </si>
  <si>
    <t>Tipo da Dedução</t>
  </si>
  <si>
    <t>M - Material;
S - Sub empreitada.</t>
  </si>
  <si>
    <t>ItemDedCPFRef</t>
  </si>
  <si>
    <t>CPF da nota de referência da Dedução</t>
  </si>
  <si>
    <t>V(11)</t>
  </si>
  <si>
    <t>Exclusivo do padrão Elotech</t>
  </si>
  <si>
    <t>ItemDedCNPJRef</t>
  </si>
  <si>
    <t>CNPJ da nota de referência da Dedução</t>
  </si>
  <si>
    <t>V(14)</t>
  </si>
  <si>
    <t>ItemDedNFRef</t>
  </si>
  <si>
    <t>Número da nota de referência da Dedução</t>
  </si>
  <si>
    <t>ItemDedvlTotRef</t>
  </si>
  <si>
    <t>Valor da nota de referência da Dedução</t>
  </si>
  <si>
    <t>ItemDedPer</t>
  </si>
  <si>
    <t>Percentual de dedução</t>
  </si>
  <si>
    <t>ItemVlrLiquido</t>
  </si>
  <si>
    <t>Valor Líquido do item</t>
  </si>
  <si>
    <t>ItemValAliqINSS</t>
  </si>
  <si>
    <t>Aliquota do INSS</t>
  </si>
  <si>
    <t>N(6.4)</t>
  </si>
  <si>
    <t>Informar preferencialmente no formato decimal. Ex: 0,05 para 5%.</t>
  </si>
  <si>
    <t>ItemValINSS</t>
  </si>
  <si>
    <t>Valor do INSS</t>
  </si>
  <si>
    <t>ItemValBCINSS</t>
  </si>
  <si>
    <t>Base de cálculo do INSS</t>
  </si>
  <si>
    <t>ItemValAliqIR</t>
  </si>
  <si>
    <t>Aliquota do IR</t>
  </si>
  <si>
    <t>ItemValIR</t>
  </si>
  <si>
    <t>Valor do IR</t>
  </si>
  <si>
    <t>ItemValBCIRRF</t>
  </si>
  <si>
    <t>Base de cálculo do Imposto de Renda Retido na Fonte</t>
  </si>
  <si>
    <t>ItemValAliqCOFINS</t>
  </si>
  <si>
    <t>Aliquota do COFINS</t>
  </si>
  <si>
    <t>ItemValCOFINS</t>
  </si>
  <si>
    <t>Valor do COFINS</t>
  </si>
  <si>
    <t>ItemValBCCOFINS</t>
  </si>
  <si>
    <t>Base de cálculo do COFINS</t>
  </si>
  <si>
    <t>ItemValAliqCSLL</t>
  </si>
  <si>
    <t>Aliquota do CSLL</t>
  </si>
  <si>
    <t>ItemValCSLL</t>
  </si>
  <si>
    <t>Valor do CSLL</t>
  </si>
  <si>
    <t>ItemValBCCSLL</t>
  </si>
  <si>
    <t>Base de cálculo da CSLL</t>
  </si>
  <si>
    <t>ItemValAliqPIS</t>
  </si>
  <si>
    <t>Aliquota do PIS</t>
  </si>
  <si>
    <t>ItemValPIS</t>
  </si>
  <si>
    <t>Valor do PIS</t>
  </si>
  <si>
    <t>ItemValBCPIS</t>
  </si>
  <si>
    <t>Base de cálculo do PIS</t>
  </si>
  <si>
    <t>ItemRedBC</t>
  </si>
  <si>
    <t>Valor da redução da base de cálculo do ISS do item</t>
  </si>
  <si>
    <t>Informar quando o ISS do item não é retido</t>
  </si>
  <si>
    <t>3.29.0.0</t>
  </si>
  <si>
    <t>ItemRedBCRetido</t>
  </si>
  <si>
    <t>Valor da redução da base de cálculo do ISS retido do item</t>
  </si>
  <si>
    <t>Informar quando o ISS do item é retido</t>
  </si>
  <si>
    <t>ItemBCRetido</t>
  </si>
  <si>
    <t>Valor da base de cálculo do ISS retido do item</t>
  </si>
  <si>
    <t>ItemValAliqISSRetido</t>
  </si>
  <si>
    <t>Alíquota do ISS retido do item</t>
  </si>
  <si>
    <t>ItemPaisImpDevido</t>
  </si>
  <si>
    <t>País onde o imposto é devido do Item</t>
  </si>
  <si>
    <t>"BR" para Brasil e "EX" para exterior. Lista de siglas https://en.wikipedia.org/wiki/ISO_3166-1_alpha-2</t>
  </si>
  <si>
    <t>ItemJustDed</t>
  </si>
  <si>
    <t>Descrição justificativa da dedução do Item</t>
  </si>
  <si>
    <t>Justificativa de dedução (padrão Equiplano) e Justificativa de Outras Retenções (padrão Governa).</t>
  </si>
  <si>
    <t>ItemvOutrasRetencoes</t>
  </si>
  <si>
    <t>Valor das outras retenções do Item</t>
  </si>
  <si>
    <t>Específico Padrão System</t>
  </si>
  <si>
    <t>1.19.0.0</t>
  </si>
  <si>
    <t>ItemDescIncondicionado</t>
  </si>
  <si>
    <t>Desconto incondicionado do Item</t>
  </si>
  <si>
    <t>ItemDescCondicionado</t>
  </si>
  <si>
    <t>Desconto Condicionado do Item</t>
  </si>
  <si>
    <t>ItemTotalAproxTribServ</t>
  </si>
  <si>
    <t>Valor total aproximado do item de serviço</t>
  </si>
  <si>
    <t>Exclusivo para os padrões Infisc, exceto Sapucaia e Garibaldi</t>
  </si>
  <si>
    <t>ItemDescHospedagem</t>
  </si>
  <si>
    <t>Descritivo/Número unidade</t>
  </si>
  <si>
    <t>V (12)</t>
  </si>
  <si>
    <t>Exclusivo para o padrão IIBrasil</t>
  </si>
  <si>
    <t>2.38.0.0</t>
  </si>
  <si>
    <t>ItemQtdeHospedes</t>
  </si>
  <si>
    <t>Quantidade de hóspedes para a unidade</t>
  </si>
  <si>
    <t>N (2.0)</t>
  </si>
  <si>
    <t>ItemQtdeDiariasHospedagem</t>
  </si>
  <si>
    <t>Quantidade de diárias da hospedagem</t>
  </si>
  <si>
    <t>ItemCodQuartoHospedagem</t>
  </si>
  <si>
    <t>Código interno do quarto da hospedagem</t>
  </si>
  <si>
    <t>V (40)</t>
  </si>
  <si>
    <t>ItemDtaEntrHospedagem</t>
  </si>
  <si>
    <t>Data de entrada do(s) hóspede(s)</t>
  </si>
  <si>
    <t>Exclusivo para o padrão IIBrasil. Formato: AAAA-MM-DDTHH:MM:SS</t>
  </si>
  <si>
    <t>ItemDtaSaiHospedagem</t>
  </si>
  <si>
    <t>Data de saída do(s) hóspede(s)</t>
  </si>
  <si>
    <t>ItemValorDiariaHospedagem</t>
  </si>
  <si>
    <t>Valor da diária da hospedagem</t>
  </si>
  <si>
    <t>N (15.2)</t>
  </si>
  <si>
    <t>ItemCSTPisCofins</t>
  </si>
  <si>
    <t>Código de Situação Tributária do PIS/COFINS</t>
  </si>
  <si>
    <t>V(2)</t>
  </si>
  <si>
    <r>
      <rPr>
        <rFont val="Calibri"/>
        <b val="0"/>
        <color rgb="FF000000"/>
        <sz val="11.0"/>
      </rPr>
      <t xml:space="preserve">00 - Nenhum; 
 01 - Operação Tributável com Alíquota Básica;
 02 - Operação Tributável com Alíquota Diferenciada;
 03 - Operação Tributável com Alíquota por Unidade de Medida de Produto;
 04 - Operação Tributável monofásica - Revenda a Alíquota Zero;
 05 - Operação Tributável por Substituição Tributária;
 06 - Operação Tributável a Alíquota Zero;
 07 - Operação Tributável da Contribuição;
 08 - Operação sem Incidência da Contribuição;
 09 - Operação com Suspensão da Contribuição;
</t>
    </r>
    <r>
      <rPr>
        <rFont val="Calibri"/>
        <b/>
        <color rgb="FF000000"/>
        <sz val="11.0"/>
      </rPr>
      <t>Uso específico para Reforma Tributária INFISC</t>
    </r>
  </si>
  <si>
    <t>ItemTpRetPisCofins</t>
  </si>
  <si>
    <t>Tipo de retenção de PIS/COFINS</t>
  </si>
  <si>
    <t>N (1.0)</t>
  </si>
  <si>
    <r>
      <rPr>
        <rFont val="Calibri"/>
        <b val="0"/>
        <color rgb="FF000000"/>
        <sz val="11.0"/>
      </rPr>
      <t xml:space="preserve">1 - PIS/COFINS Retido;
2 - PIS/COFINS Não Retido;
3 - PIS Retido/COFINS Não Retido;
4 - PIS Não Retido/COFINS Retido;
</t>
    </r>
    <r>
      <rPr>
        <rFont val="Calibri"/>
        <b/>
        <color rgb="FF000000"/>
        <sz val="11.0"/>
      </rPr>
      <t>Uso específico para Reforma Tributária INFISC</t>
    </r>
  </si>
  <si>
    <t>ItemNBS</t>
  </si>
  <si>
    <t>Código NBS correspondente ao item do serviço prestado</t>
  </si>
  <si>
    <t>V(20)</t>
  </si>
  <si>
    <t>Uso específico para Reforma Tributária INFISC</t>
  </si>
  <si>
    <t>ListaParcelas</t>
  </si>
  <si>
    <t>Parcela</t>
  </si>
  <si>
    <t>0-N</t>
  </si>
  <si>
    <t>PrcSequencial</t>
  </si>
  <si>
    <t>Código Sequencial da parcela</t>
  </si>
  <si>
    <t>N(8.0)</t>
  </si>
  <si>
    <t>PrcValor</t>
  </si>
  <si>
    <t>Valor da parcela</t>
  </si>
  <si>
    <t>PrcDtaVencimento</t>
  </si>
  <si>
    <t>Data de vencimento</t>
  </si>
  <si>
    <t>Date</t>
  </si>
  <si>
    <t>Formato: AAAA-MM-DD</t>
  </si>
  <si>
    <t>PrcNroFatura</t>
  </si>
  <si>
    <t>Número da fatura</t>
  </si>
  <si>
    <t>Exclusivo do padrão INFISC</t>
  </si>
  <si>
    <t>PrcTipVenc</t>
  </si>
  <si>
    <t>Tipo de vencimento</t>
  </si>
  <si>
    <t>1 - Data Certa
2 - Apresentação
3 - À vista
4 - Outros
5 - A Prazo
6 - Cartão de Crédito (exclusivo IPM)
7 - Cartão de Débito (exclusivo IPM)</t>
  </si>
  <si>
    <t>PrcDscTipVenc</t>
  </si>
  <si>
    <t>Descrição para o tipo de vencimento: Outros</t>
  </si>
  <si>
    <t>PrcValLiquido</t>
  </si>
  <si>
    <t>Valor Líquido da Fatura</t>
  </si>
  <si>
    <t>Exclusivo Padrão INFISC - Santiago.  (Valor - Descontos)</t>
  </si>
  <si>
    <t>1.18.0.0</t>
  </si>
  <si>
    <t>PrcValDesconto</t>
  </si>
  <si>
    <t>Valor de Desconto da Parcela</t>
  </si>
  <si>
    <t>Exclusivo Padrão INFISC - Santiago</t>
  </si>
  <si>
    <t>Servico</t>
  </si>
  <si>
    <t>IteListServico</t>
  </si>
  <si>
    <t>Cnae</t>
  </si>
  <si>
    <t>Codigo CNAE</t>
  </si>
  <si>
    <t>N(10)</t>
  </si>
  <si>
    <t>fPagamento</t>
  </si>
  <si>
    <t>Forma de pagamento</t>
  </si>
  <si>
    <t>V(40)</t>
  </si>
  <si>
    <t>Padrões Betha e Awatar:
1 - À vista
2 - Na apresentação
3 - À prazo
4 - Cartão débito
5 - Cartão crédito
GLC Consulturia 2.0:
texto livre até 40 caracteres.</t>
  </si>
  <si>
    <t>tpag</t>
  </si>
  <si>
    <t>Tipo de pagamento</t>
  </si>
  <si>
    <t>N(2)</t>
  </si>
  <si>
    <t>1 - Dinheiro; 2 - Cheque; 3 - Cartão de Crédito; 4 - Cartão de Débito; 5 - Crédito Loja; 10 - Vale Alimentação; 11 - Vale Refeição; 12 - Vale Presente; 13 - Vale Combustível; 15 - Boleto bancário; 90 - Sem pagamento; 99 - Outros.</t>
  </si>
  <si>
    <t>2.26.0.0</t>
  </si>
  <si>
    <t>codTributNacional</t>
  </si>
  <si>
    <t>Código de tributação Nacional</t>
  </si>
  <si>
    <r>
      <rPr>
        <rFont val="Calibri"/>
        <color rgb="FF000000"/>
        <sz val="11.0"/>
      </rPr>
      <t xml:space="preserve">O código de tributação nacional corresponde ao item e subitem da LC 116/03 + desdobro nacional.
O campo é utilizado apenas no padrão NFSE Nacional.
Caso não enviado esse campo, o InvoiCy irá utilizar o valor informado em iteListServ + ‘01’, que corresponde ao primeiro (na maioria das vezes único) desdobro da lista de serviços.
</t>
    </r>
    <r>
      <rPr>
        <rFont val="Calibri"/>
        <b/>
        <color rgb="FF000000"/>
        <sz val="11.0"/>
      </rPr>
      <t xml:space="preserve">Uso específico para NFS-e Modelo Nacional
</t>
    </r>
  </si>
  <si>
    <t>CodAtividadeSN</t>
  </si>
  <si>
    <t xml:space="preserve"> 
Código da atividade do Simples Nacional (LC 123/2006).</t>
  </si>
  <si>
    <r>
      <rPr>
        <rFont val="Calibri"/>
        <color rgb="FF000000"/>
        <sz val="11.0"/>
      </rPr>
      <t xml:space="preserve">Informar quando OptSN = 2, 3 ou 4.
7=Serviços ISS – Anexo III | 8=Contábeis ISS fixo – Anexo III | 9=Fator R – Anexo III/V | 10=Transp. municipal – Anexo III | 11=Locação bens móveis/sem ISS – Anexo III | 12=Const. civil (7.02/7.05) – Anexo III | 13=Const. civil (7.02/7.05) – Anexo IV | 14=Serviços – Anexo IV | 90=Operações não tributada
</t>
    </r>
    <r>
      <rPr>
        <rFont val="Calibri"/>
        <b/>
        <color rgb="FF000000"/>
        <sz val="11.0"/>
      </rPr>
      <t>Uso específico para Reforma Tributária</t>
    </r>
  </si>
  <si>
    <t>Campo deve ser informado apenas quando opSimpNac =   2 - Optante - Microempreendedor Individual (MEI); ou
   3 - Optante - Microempresa ou Empresa de Pequeno Porte (ME/EPP); ou 4 - Optante Pendente;</t>
  </si>
  <si>
    <t>TributMunicipio</t>
  </si>
  <si>
    <t>Obrigatório com ressalvas. Depende da legislação do município. Preencher conforme está no cadastro da empresa no município.</t>
  </si>
  <si>
    <t>TributMunicDesc</t>
  </si>
  <si>
    <t>Descrição do código de tributação do município</t>
  </si>
  <si>
    <t>Informado unicamente para aparecer no espelho do RPS.</t>
  </si>
  <si>
    <t>Discriminacao</t>
  </si>
  <si>
    <t>Discriminação dos serviços realizados</t>
  </si>
  <si>
    <t>C(7000)</t>
  </si>
  <si>
    <t>Para quebra de linha, utilizar o comando !CHR13!. A quantidade  de caracteres no momento da emissão para cada prefeitura, será automaticamente reduzida conforme determinação de tamanho máximo permitido pela mesma.</t>
  </si>
  <si>
    <t>Código de identificação do município de prestação do serviço. Consulte nosso artigo para mais informações.</t>
  </si>
  <si>
    <t>SerQuantidade</t>
  </si>
  <si>
    <t>Quantidade do serviço</t>
  </si>
  <si>
    <t>SerUnidade</t>
  </si>
  <si>
    <t>Unidade do serviço</t>
  </si>
  <si>
    <t>Normalmente utilizar UN, porém alguns padrões oferecem as opções:
HS - horas.
KM - quilometros.
HA - hectare.</t>
  </si>
  <si>
    <t>SerNumAlvara</t>
  </si>
  <si>
    <t>Número do Alvará do serviço</t>
  </si>
  <si>
    <t>PaiPreServico</t>
  </si>
  <si>
    <t>País de prestação do serviço</t>
  </si>
  <si>
    <t>Sigla do país onde o serviço foi prestado. Lista de siglas https://en.wikipedia.org/wiki/ISO_3166-1_alpha-2</t>
  </si>
  <si>
    <t>cMunIncidencia</t>
  </si>
  <si>
    <t>Município de incidência</t>
  </si>
  <si>
    <t>N(7)</t>
  </si>
  <si>
    <t>dVencimento</t>
  </si>
  <si>
    <t>Data de Vencimento da Fatura</t>
  </si>
  <si>
    <t>Data de Vencimento da Fatura. Formato: AAAA-MM-DDTHH:MM:SS</t>
  </si>
  <si>
    <t>ObsInsPagamento</t>
  </si>
  <si>
    <t>Observações e Instruções de Pagamento</t>
  </si>
  <si>
    <t>ObrigoMunic</t>
  </si>
  <si>
    <t>Obrigação de recolhimento do imposto em outro Município</t>
  </si>
  <si>
    <t>1-Tomador
2-Prestador
Nota: Obrigatório para o padrão de Lençóis Paulista</t>
  </si>
  <si>
    <t>TributacaoISS</t>
  </si>
  <si>
    <t>Forma de Tributação do ISS</t>
  </si>
  <si>
    <t>1-Normal
10-Tributado por opção do prestador
11-Não tributado por opção do prestador
Nota: Obrigatório para o padrão de Lençóis Paulista</t>
  </si>
  <si>
    <t>CodigoAtividadeEconomica</t>
  </si>
  <si>
    <t>Codigo da atividade econômica no município</t>
  </si>
  <si>
    <t>V(60)</t>
  </si>
  <si>
    <t>Exclusivo e obrigatório no padrão Ágili</t>
  </si>
  <si>
    <t>1.4.0.0</t>
  </si>
  <si>
    <t>Verificar junto a prefeitura qual padrão utilizar.</t>
  </si>
  <si>
    <t>ServicoViasPublicas</t>
  </si>
  <si>
    <t>Serviço Executado em Vias Públicas</t>
  </si>
  <si>
    <t>Exclusivo Padrão eISS.
1 - Sim;
2 - Não;</t>
  </si>
  <si>
    <t>1.9.0.0</t>
  </si>
  <si>
    <t>NumeroParcelas</t>
  </si>
  <si>
    <t>Número de Parcelas da Prestação</t>
  </si>
  <si>
    <t>Exclusivo do Padrão tecnos</t>
  </si>
  <si>
    <t>NroOrcamento</t>
  </si>
  <si>
    <t>Número do Orçamento</t>
  </si>
  <si>
    <t>Exclusivo do Padrão RLZ</t>
  </si>
  <si>
    <t>1.22.0.0</t>
  </si>
  <si>
    <t>CodigoNBS</t>
  </si>
  <si>
    <t>Código NBS</t>
  </si>
  <si>
    <t>Utilizado para Padrão Janela Única, NFS-e Modelo Nacional e para Reforma Tributária</t>
  </si>
  <si>
    <t>1.0.0.0
2.90.9.0</t>
  </si>
  <si>
    <t>docRef</t>
  </si>
  <si>
    <t>Chave da nota fiscal referenciada</t>
  </si>
  <si>
    <r>
      <rPr>
        <rFont val="Calibri"/>
        <color rgb="FF000000"/>
        <sz val="11.0"/>
      </rPr>
      <t xml:space="preserve">Chave da nota, número identificador da nota, número do contrato ou outro identificador de documento emitido pelo prestador de serviços, que subsidia a emissão dessa nota pelo tomador do serviço ou intermediário (preenchimento obrigatório caso a nota esteja sendo emitida pelo Tomador ou intermediário do serviço).
</t>
    </r>
    <r>
      <rPr>
        <rFont val="Calibri"/>
        <b/>
        <color rgb="FF000000"/>
        <sz val="11.0"/>
      </rPr>
      <t>Uso específico para NFS-e Modelo Nacional</t>
    </r>
  </si>
  <si>
    <t>idDocTec</t>
  </si>
  <si>
    <t>Identificador de Documento de Responsabilidade Técnica: ART, RRT, DRT, Outros.</t>
  </si>
  <si>
    <r>
      <rPr>
        <rFont val="Calibri"/>
        <color rgb="FF000000"/>
        <sz val="11.0"/>
      </rPr>
      <t xml:space="preserve">Desambiguação:
Visando a compatibilidade com o layout Abrasf, quem já possui o campo ConstCivil.Art integrado poderá continuar usando o mesmo sem alteração.
Para novas integrações, ou mesmo uso de RRT e DRT é recomendado incluir o novo campo.
</t>
    </r>
    <r>
      <rPr>
        <rFont val="Calibri"/>
        <b/>
        <color rgb="FF000000"/>
        <sz val="11.0"/>
      </rPr>
      <t xml:space="preserve">Uso específico para NFS-e Modelo Nacional
</t>
    </r>
  </si>
  <si>
    <t>Identificador de Documento de Responsabilidade Técnica:
ART, RRT, DRT, Outros.</t>
  </si>
  <si>
    <t>CST</t>
  </si>
  <si>
    <t>Código de Situação Tributária do PIS/COFINS (CST)</t>
  </si>
  <si>
    <r>
      <rPr>
        <rFont val="Calibri"/>
        <color rgb="FF000000"/>
        <sz val="11.0"/>
      </rPr>
      <t xml:space="preserve">Valores aceitos:
00 - Nenhum;
01 - Operação Tributável com Alíquota Básica;
02 - Operação Tributável com Alíquota Diferenciada;
03 - Operação Tributável com Alíquota por Unidade de Medida de Produto;
04 - Operação Tributável monofásica - Revenda a Alíquota Zero;
05 - Operação Tributável por Substituição Tributária;
06 - Operação Tributável a Alíquota Zero;
07 - Operação Isenta da Contribuição;
08 - Operação sem Incidência da Contribuição;
09 - Operação com Suspensão da Contribuição;
49 - Outras Operações de Saída;
50 - Operação com Direito a Crédito – Vinculada Exclusivamente a Receita
Tributada no Mercado Interno;
51 - Operação com Direito a Crédito – Vinculada Exclusivamente a Receita
Não-Tributada no Mercado Interno;
52 - Operação com Direito a Crédito – Vinculada Exclusivamente a Receita
de Exportação;
53 - Operação com Direito a Crédito – Vinculada a Receitas Tributadas e
Não-Tributadas no Mercado Interno;
54 - Operação com Direito a Crédito – Vinculada a Receitas Tributadas no
Mercado Interno e de Exportação;
55 - Operação com Direito a Crédito – Vinculada a Receitas Não Tributadas no Mercado Interno e de Exportação;
56 - Operação com Direito a Crédito – Vinculada a Receitas Tributadas e
Não-Tributadas no Mercado Interno e de Exportação;
60 - Crédito Presumido – Operação de Aquisição Vinculada Exclusivamente a Receita Tributada no Mercado Interno;
61 - Crédito Presumido – Operação de Aquisição Vinculada Exclusivamente a Receita Não-Tributada no Mercado Interno;
62 - Crédito Presumido – Operação de Aquisição Vinculada Exclusivamente a Receita de Exportação;
63 - Crédito Presumido – Operação de Aquisição Vinculada a Receitas
Tributadas e Não-Tributadas no Mercado Interno;
64 - Crédito Presumido – Operação de Aquisição Vinculada a Receitas
Tributadas no Mercado Interno e de Exportação;
65 - Crédito Presumido – Operação de Aquisição Vinculada a Receitas NãoTributadas no Mercado Interno e de Exportação;
66 - Crédito Presumido – Operação de Aquisição Vinculada a Receitas
Tributadas e Não-Tributadas no Mercado Interno e de Exportação;
67 - Crédito Presumido – Outras Operações;
70 - Operação de Aquisição sem Direito a Crédito;
71 - Operação de Aquisição com Isenção;
72 - Operação de Aquisição com Suspensão;
73 - Operação de Aquisição a Alíquota Zero;
74 - Operação de Aquisição sem Incidência da Contribuição;
75 - Operação de Aquisição por Substituição Tributária;
98 - Outras Operações de Entrada;
99 - Outras Operações.
</t>
    </r>
    <r>
      <rPr>
        <rFont val="Calibri"/>
        <b/>
        <color rgb="FF000000"/>
        <sz val="11.0"/>
      </rPr>
      <t>Uso específico para NFS-e Modelo Nacional</t>
    </r>
  </si>
  <si>
    <t>Valores</t>
  </si>
  <si>
    <t>ValServicos</t>
  </si>
  <si>
    <t>Valor dos serviços</t>
  </si>
  <si>
    <t>Valor monetário do serviço (R$).
OBS1: Para os códigos de tributação nacional do subitem 99.03 (locações e equiparados), vServ = pCopropriedade x vTotOper
OBS2: Para os códigos de tributação nacional do subitem 99.05 (condomínios), vServ = ∑ vCobranca.</t>
  </si>
  <si>
    <t>ValPercDeducoes</t>
  </si>
  <si>
    <t>Valor percentual padrão para dedução/redução do valor do serviço</t>
  </si>
  <si>
    <t>N(6.2)</t>
  </si>
  <si>
    <t>ValDeducoes</t>
  </si>
  <si>
    <t>Valor das deduções</t>
  </si>
  <si>
    <t>O valor da dedução refere-se à compra de materiais envolvidos na prestação do serviço, e deve ser descontada da base de cálculo do ISSQN.</t>
  </si>
  <si>
    <t>ValPIS</t>
  </si>
  <si>
    <t>Utilizado para Reforma Tributária NFPaulistana, porém não é de uso exclusivo do NFPaulistana</t>
  </si>
  <si>
    <t>ValPISRetido</t>
  </si>
  <si>
    <t>Valor do PIS Retido</t>
  </si>
  <si>
    <t>2.98.3</t>
  </si>
  <si>
    <t>ValBCPIS</t>
  </si>
  <si>
    <t>Valor base de cálculo do PIS</t>
  </si>
  <si>
    <t>ValCOFINS</t>
  </si>
  <si>
    <t>ValCOFINSRetido</t>
  </si>
  <si>
    <t>Valor do COFINS Retido</t>
  </si>
  <si>
    <t>ValBCCOFINS</t>
  </si>
  <si>
    <t>Valor base de cálculo do COFINS</t>
  </si>
  <si>
    <t>ValINSS</t>
  </si>
  <si>
    <t>ValBCINSS</t>
  </si>
  <si>
    <t>Valor base de cálculo do INSS</t>
  </si>
  <si>
    <t>ValIR</t>
  </si>
  <si>
    <t>ValBCIRRF</t>
  </si>
  <si>
    <t>Valor base de cálculo do IRRF</t>
  </si>
  <si>
    <t>ValCSLL</t>
  </si>
  <si>
    <t>Valor da CSLL</t>
  </si>
  <si>
    <t>ValBCCSLL</t>
  </si>
  <si>
    <t>Valor base de cálculo da CSLL</t>
  </si>
  <si>
    <t>RespRetencao</t>
  </si>
  <si>
    <t>Rsponsável pela Retenção</t>
  </si>
  <si>
    <t>1- Tomador, ou não tributar para o prestador.
2 - Intermediário.
3 - Prestador.</t>
  </si>
  <si>
    <t>Tributavel</t>
  </si>
  <si>
    <t>É tributável?</t>
  </si>
  <si>
    <t>ValISS</t>
  </si>
  <si>
    <t>Valor do ISS</t>
  </si>
  <si>
    <t>ISSRetido</t>
  </si>
  <si>
    <t>ISS Retido?</t>
  </si>
  <si>
    <t>1 - Sim;
2 - Não;
3 - Substituição Tributária - exclusivo para o padrão Betha 1.0</t>
  </si>
  <si>
    <t>ValISSRetido</t>
  </si>
  <si>
    <t>Valor do ISS Retido</t>
  </si>
  <si>
    <t>ValTotal</t>
  </si>
  <si>
    <t>Valor Total</t>
  </si>
  <si>
    <t>Valor do Serviço - descontos</t>
  </si>
  <si>
    <t>ValTotalRecebido</t>
  </si>
  <si>
    <t>Valor Total Recebido</t>
  </si>
  <si>
    <t>Valor Total Recebido em R$ (inclusive valores repassados a terceiros). Exclusivo NF Paulistana</t>
  </si>
  <si>
    <t>3.21.0.0</t>
  </si>
  <si>
    <t>ValBaseCalculo</t>
  </si>
  <si>
    <t>Base de cálculo</t>
  </si>
  <si>
    <t>(Valor dos serviços - Valor das deduções - descontos incondicionais)</t>
  </si>
  <si>
    <t>ValOutrasRetencoes</t>
  </si>
  <si>
    <t>Valor das outras retenções</t>
  </si>
  <si>
    <t>ValAliqISS</t>
  </si>
  <si>
    <t>Aliquota do ISS</t>
  </si>
  <si>
    <t>ValAliqPIS</t>
  </si>
  <si>
    <t>ValAliqPISRetido</t>
  </si>
  <si>
    <t>Aliquota do PIS Retido</t>
  </si>
  <si>
    <t>PISRetido</t>
  </si>
  <si>
    <t>PIS Retido?</t>
  </si>
  <si>
    <t>1 - Sim;
2 - Não;
Exclusivo padrão Tributos Web - Elotech 2.03</t>
  </si>
  <si>
    <t>3.18.0.0</t>
  </si>
  <si>
    <t>ValAliqCOFINS</t>
  </si>
  <si>
    <t>ValAliqCOFINSRetido</t>
  </si>
  <si>
    <t>Aliquota do COFINS Retido</t>
  </si>
  <si>
    <t>COFINSRetido</t>
  </si>
  <si>
    <t>CONFINS Retido?</t>
  </si>
  <si>
    <t>ValAliqIR</t>
  </si>
  <si>
    <t>IRRetido</t>
  </si>
  <si>
    <t>IR Retido?</t>
  </si>
  <si>
    <t>ValAliqCSLL</t>
  </si>
  <si>
    <t>CSLLRetido</t>
  </si>
  <si>
    <t>CSLL Retido?</t>
  </si>
  <si>
    <t>ValAliqINSS</t>
  </si>
  <si>
    <t>INSSRetido</t>
  </si>
  <si>
    <t>INSS Retido?</t>
  </si>
  <si>
    <t>ValAliqCpp</t>
  </si>
  <si>
    <t>Valor da alíquota do CPP</t>
  </si>
  <si>
    <t>Valor da alíquota do CPP. Exclusivo padrão Tributos Web - Elotech 2.03</t>
  </si>
  <si>
    <t>CppRetido</t>
  </si>
  <si>
    <t>CPP Retido?</t>
  </si>
  <si>
    <t>ValCpp</t>
  </si>
  <si>
    <t>Valor do CPP</t>
  </si>
  <si>
    <t>Valor do CPP. Exclusivo padrão Tributos Web - Elotech 2.03</t>
  </si>
  <si>
    <t>OutrasRetencoesRetido</t>
  </si>
  <si>
    <t>Outras Retenções com retenção?</t>
  </si>
  <si>
    <t>1 - Sim;
2 - Não;
Exclusivo e uma peculiaridade do padrão Tributos Web - Elotech 2.03</t>
  </si>
  <si>
    <t>ValBCOutrasRetencoes</t>
  </si>
  <si>
    <t>Valor da base de cálculos das outras retenções</t>
  </si>
  <si>
    <t>ValAliqOutrasRetencoes</t>
  </si>
  <si>
    <t>Valor da aliquota das outras informações</t>
  </si>
  <si>
    <t>ValAliqTotTributos</t>
  </si>
  <si>
    <t>Valor da aliquota do total dos tributos</t>
  </si>
  <si>
    <t>Valor da aliquota do total dos tributos. Exclusivo padrão Tributos Web - Elotech 2.03</t>
  </si>
  <si>
    <t>ValLiquido</t>
  </si>
  <si>
    <t>Valor líquido do serviço</t>
  </si>
  <si>
    <t>O valor informado neste campo NORMALMENTE compreende o seguinte cálculo:  Valor dos Serviços - Valor de PIS - Valor de COFINS - Valor de INSS - Valor de IR - Valor de CSLL - Outras Retenções - Valor IISS Retido - Desconto Incondicionado - Desconto Condicionado</t>
  </si>
  <si>
    <t>ValDescIncond</t>
  </si>
  <si>
    <t>Valor do desconto incondicionado</t>
  </si>
  <si>
    <r>
      <rPr>
        <rFont val="Calibri"/>
        <color rgb="FF000000"/>
        <sz val="11.0"/>
      </rPr>
      <t xml:space="preserve">Valor do desconto incondicionado
</t>
    </r>
    <r>
      <rPr>
        <rFont val="Calibri"/>
        <b/>
        <color rgb="FF000000"/>
        <sz val="11.0"/>
      </rPr>
      <t>OBS1: Para os códigos de tributação nacional do subitem 99.03, vDescIncond = pCopropriedade x vDescIncondTot
OBS2: Para os códigos de tributação nacional do subitem 99.05 (condomínios), vDescIncond = ∑ vDesconto do tipo (tpDesconto) 1 - Desconto Incondicionado.</t>
    </r>
  </si>
  <si>
    <t>ValDescCond</t>
  </si>
  <si>
    <t>Valor do desconto condicionado</t>
  </si>
  <si>
    <r>
      <rPr>
        <rFont val="Calibri"/>
        <color rgb="FF000000"/>
        <sz val="11.0"/>
      </rPr>
      <t xml:space="preserve">Valor do desconto condicionado
</t>
    </r>
    <r>
      <rPr>
        <rFont val="Calibri"/>
        <b/>
        <color rgb="FF000000"/>
        <sz val="11.0"/>
      </rPr>
      <t>OBS1: Para os códigos de tributação nacional do subitem 99.03, vDescCond = pCopropriedade x vDescCondTot)
OBS2: Para os códigos de tributação nacional do subitem 99.05 (condomínios), vDescIncond = ∑ vDesconto do tipo (tpDesconto) 2 - Desconto Condicionado.</t>
    </r>
  </si>
  <si>
    <t>ValAcrescimos</t>
  </si>
  <si>
    <t>Valor dos acréscimos</t>
  </si>
  <si>
    <t>ValAliqISSoMunic</t>
  </si>
  <si>
    <t>Alíquota ISS em outro Município</t>
  </si>
  <si>
    <t>Obrigatório para o padrão de Lençóis Paulista. Informar preferencialmente no formato decimal. Ex: 0,05 para 5%.</t>
  </si>
  <si>
    <t>InfValPIS</t>
  </si>
  <si>
    <t>Informação sobre o valor do PIS</t>
  </si>
  <si>
    <t>V (100)</t>
  </si>
  <si>
    <t>Em obediência a Lei Federal 12.741/2012
Obrigatório para o padrão de Lençóis Paulista</t>
  </si>
  <si>
    <t>InfValCOFINS</t>
  </si>
  <si>
    <t>Informação sobre o valor do COFINS</t>
  </si>
  <si>
    <t>ValLiqFatura</t>
  </si>
  <si>
    <t>Valor líquido total das faturas/parcelas</t>
  </si>
  <si>
    <t>Valor total da fatura de serviços ou do documento que comprove a transação, expresso na moeda identificada em tpMoeda (DECRETO Nº 12.955, DE 29 DE ABRIL DE 2026, Art. 74, §1º).</t>
  </si>
  <si>
    <t>ValBCISSRetido</t>
  </si>
  <si>
    <t>Base de Cálculo do ISS Retido</t>
  </si>
  <si>
    <t>NroFatura</t>
  </si>
  <si>
    <t>Número da Fatura</t>
  </si>
  <si>
    <t>Número da identificação da fatura de serviços ou do documento que comprove a transação (DECRETO Nº 12.955, DE 29 DE ABRIL DE 2026, Art. 74 § 1º )</t>
  </si>
  <si>
    <t>Preencher apenas quando exigido documento fiscal para acobertar a importação do serviço, nos termos do Art. 74, §1º, do Decreto nº 12.955/2026 (aguarda ato conjunto RFB/CGIBS que definirá o escopo exato da exigência).</t>
  </si>
  <si>
    <t>CargaTribValor</t>
  </si>
  <si>
    <t>Valor da Carga Tributária</t>
  </si>
  <si>
    <t>Exclusivo Padrão NFPaulistana</t>
  </si>
  <si>
    <t>1.12.0.0</t>
  </si>
  <si>
    <t>CargaTribPercentual</t>
  </si>
  <si>
    <t>Percentual da Carga Tributária</t>
  </si>
  <si>
    <t>CargaTribFonte</t>
  </si>
  <si>
    <t>Fonte da Carga Tributária - Ex.: IBPT</t>
  </si>
  <si>
    <t>V(10)</t>
  </si>
  <si>
    <t>JustDed</t>
  </si>
  <si>
    <t>Descrição justificativa da dedução</t>
  </si>
  <si>
    <t>Exclusivo do Padrão Equiplano</t>
  </si>
  <si>
    <t>ValCredito</t>
  </si>
  <si>
    <t>Valor do crédito</t>
  </si>
  <si>
    <t>OutrosImp</t>
  </si>
  <si>
    <t>Valor de outros impostos</t>
  </si>
  <si>
    <t>ValRedBC</t>
  </si>
  <si>
    <t>Valor da redução da base de cálculo</t>
  </si>
  <si>
    <t>ValRetFederais</t>
  </si>
  <si>
    <t>Valor total das retenções federais</t>
  </si>
  <si>
    <t>ValAproxTrib</t>
  </si>
  <si>
    <t>Valor aproximado dos tributos</t>
  </si>
  <si>
    <t>NroDeducao</t>
  </si>
  <si>
    <t>Número da dedução do serviço</t>
  </si>
  <si>
    <t>N(19.0)</t>
  </si>
  <si>
    <t>Exclusivo para o padrão BOANF</t>
  </si>
  <si>
    <t>3.43.0.0</t>
  </si>
  <si>
    <t>mdPrestacao</t>
  </si>
  <si>
    <t>Modo de prestação</t>
  </si>
  <si>
    <r>
      <rPr>
        <rFont val="Calibri"/>
        <color rgb="FF000000"/>
        <sz val="11.0"/>
      </rPr>
      <t xml:space="preserve">Os valores aceitos são:
0 - Desconhecido (tipo não informado na nota de origem) - </t>
    </r>
    <r>
      <rPr>
        <rFont val="Calibri"/>
        <b/>
        <color rgb="FF000000"/>
        <sz val="11.0"/>
      </rPr>
      <t>descontinua a partir de 01/01/2027</t>
    </r>
    <r>
      <rPr>
        <rFont val="Calibri"/>
        <color rgb="FF000000"/>
        <sz val="11.0"/>
      </rPr>
      <t xml:space="preserve">;
1 - Transfronteiriço;
2 - Consumo no Brasil;
3 - Presença Comercial no Exterior;
4 - Movimento Temporário de Pessoas Físicas;
</t>
    </r>
    <r>
      <rPr>
        <rFont val="Calibri"/>
        <b/>
        <color rgb="FF000000"/>
        <sz val="11.0"/>
      </rPr>
      <t xml:space="preserve">5 - Consumo concomitante no território nacional e exterior.
</t>
    </r>
    <r>
      <rPr>
        <rFont val="Calibri"/>
        <color rgb="FF000000"/>
        <sz val="11.0"/>
      </rPr>
      <t xml:space="preserve">
</t>
    </r>
    <r>
      <rPr>
        <rFont val="Calibri"/>
        <b/>
        <color rgb="FF000000"/>
        <sz val="11.0"/>
      </rPr>
      <t>Uso específico para NFS-e Modelo Nacional</t>
    </r>
  </si>
  <si>
    <t>O tipo "0 - Desconhecido" deve ser utilizado como opção de preenchimento do campo somente no compartilhamento de NFS-e pelo município com o ADN NFS-e.
No caso do tipo "5 - Consumo concomitante no território nacional e exterior":
Na Importação: informar no campo vServ da DPS apenas a parcela consumida no país;
Na Exportação: informar no campo vServ da DPS apenas a parcela exportada. Nesse caso, uma NFS-e regular deve ser emitida para a parcela consumida no país (não se enquadrando como exportação).</t>
  </si>
  <si>
    <t>vincPrest</t>
  </si>
  <si>
    <t>Vínculo entre as partes no negócio</t>
  </si>
  <si>
    <r>
      <rPr>
        <rFont val="Calibri"/>
        <color rgb="FF000000"/>
        <sz val="11.0"/>
      </rPr>
      <t xml:space="preserve">Os valores aceitos são:
0 - Sem vínculo com o tomador/ Prestador
1 - Controlada;
2 - Controladora;
3 - Coligada;
4 - Matriz;
5 - Filial ou sucursal;
6 - Outro vínculo;
</t>
    </r>
    <r>
      <rPr>
        <rFont val="Calibri"/>
        <b/>
        <color rgb="FF000000"/>
        <sz val="11.0"/>
      </rPr>
      <t>9 - Desconhecido (tipo não informado na nota de origem) - descontinua a partir de 01/01/2027.</t>
    </r>
    <r>
      <rPr>
        <rFont val="Calibri"/>
        <color rgb="FF000000"/>
        <sz val="11.0"/>
      </rPr>
      <t xml:space="preserve">
</t>
    </r>
    <r>
      <rPr>
        <rFont val="Calibri"/>
        <b/>
        <color rgb="FF000000"/>
        <sz val="11.0"/>
      </rPr>
      <t>Uso específico para NFS-e Modelo Nacional</t>
    </r>
  </si>
  <si>
    <t>tpMoeda</t>
  </si>
  <si>
    <t>Identifica a moeda da transação comercial</t>
  </si>
  <si>
    <t>V(3)</t>
  </si>
  <si>
    <r>
      <rPr>
        <rFont val="Calibri"/>
        <color rgb="FF000000"/>
        <sz val="11.0"/>
        <u/>
      </rPr>
      <t xml:space="preserve">Conforme lista https://www.bcb.gov.br/estabilidadefinanceira/todasmoedas
</t>
    </r>
    <r>
      <rPr>
        <rFont val="Calibri"/>
        <b/>
        <color rgb="FF000000"/>
        <sz val="11.0"/>
        <u/>
      </rPr>
      <t>Uso específico para NFS-e Modelo Nacional</t>
    </r>
  </si>
  <si>
    <t>ValServEst</t>
  </si>
  <si>
    <t>Valor do Serviço em Moeda estrangeira</t>
  </si>
  <si>
    <t>mecAFComexP</t>
  </si>
  <si>
    <t>Mecanismo de apoio/fomento ao Comércio Exterior utilizado pelo prestador do serviço</t>
  </si>
  <si>
    <r>
      <rPr>
        <rFont val="Calibri"/>
        <color rgb="FF000000"/>
        <sz val="11.0"/>
      </rPr>
      <t xml:space="preserve">Os valores aceitos são:
00 - Desconhecido (tipo não informado na nota de origem) - </t>
    </r>
    <r>
      <rPr>
        <rFont val="Calibri"/>
        <b/>
        <color rgb="FF000000"/>
        <sz val="11.0"/>
      </rPr>
      <t>descontinua a partir de 01/01/2027</t>
    </r>
    <r>
      <rPr>
        <rFont val="Calibri"/>
        <color rgb="FF000000"/>
        <sz val="11.0"/>
      </rPr>
      <t xml:space="preserve">;
01 - Nenhum;
02 - ACC - Adiantamento sobre Contrato de Câmbio – Redução a Zero do IR e do IOF;
03 - ACE – Adiantamento sobre Cambiais Entregues - Redução a Zero do IR e do IOF;
04 - BNDES-Exim Pós-Embarque – Serviços;
05 - BNDES-Exim Pré-Embarque - Serviços;
06 - FGE - Fundo de Garantia à Exportação;
07 - PROEX - EQUALIZAÇÃO
08 - PROEX - Financiamento;
</t>
    </r>
    <r>
      <rPr>
        <rFont val="Calibri"/>
        <b/>
        <color rgb="FF000000"/>
        <sz val="11.0"/>
      </rPr>
      <t>Uso específico para NFS-e Modelo Nacional</t>
    </r>
  </si>
  <si>
    <t>mecAFComexT</t>
  </si>
  <si>
    <t>Mecanismo de apoio/fomento ao Comércio Exterior utilizado pelo tomador do serviço</t>
  </si>
  <si>
    <r>
      <rPr>
        <rFont val="Calibri"/>
        <color rgb="FF000000"/>
        <sz val="11.0"/>
      </rPr>
      <t xml:space="preserve">Os valores aceitos são:
00 - Desconhecido (tipo não informado na nota de origem) - </t>
    </r>
    <r>
      <rPr>
        <rFont val="Calibri"/>
        <b/>
        <color rgb="FF000000"/>
        <sz val="11.0"/>
      </rPr>
      <t>descontinua a partir de 01/01/2027</t>
    </r>
    <r>
      <rPr>
        <rFont val="Calibri"/>
        <color rgb="FF000000"/>
        <sz val="11.0"/>
      </rPr>
      <t xml:space="preserve">;
01 - Nenhum;
02 - Adm. Pública e Repr. Internacional;
03 - Alugueis e Arrend. Mercantil de maquinas, equip., embarc. e aeronaves;
04 - Arrendamento Mercantil de aeronave para empresa de transporte aéreo público;
05 - Comissão a agentes externos na exportação;
06 - Despesas de armazenagem, mov. e transporte de carga no exterior;
07 - Eventos FIFA (subsidiária);
08 - Eventos FIFA;
09 - Fretes, arrendamentos de embarcações ou aeronaves e outros;
10 - Material Aeronáutico;
11 - Promoção de Bens no Exterior;
12 - Promoção de Dest. Turísticos Brasileiros;
13 - Promoção do Brasil no Exterior;
14 - Promoção Serviços no Exterior;
15 - RECINE;
16 - RECOPA;
17 - Registro e Manutenção de marcas, patentes e cultivares;
18 - REICOMP;
19 - REIDI;
20 - REPENEC;
21 - REPES;
22 - RETAERO;
23 - RETID;
24 - Royalties, Assistência Técnica, Científica e Assemelhados;
25 - Serviços de avaliação da conformidade vinculados aos Acordos da OMC;
26 - ZPE;
</t>
    </r>
    <r>
      <rPr>
        <rFont val="Calibri"/>
        <b/>
        <color rgb="FF000000"/>
        <sz val="11.0"/>
      </rPr>
      <t>Uso específico para NFS-e Modelo Nacional</t>
    </r>
  </si>
  <si>
    <t>movTempBens</t>
  </si>
  <si>
    <t>Operação está vinculada à Movimentação Temporária de Bens</t>
  </si>
  <si>
    <r>
      <rPr>
        <rFont val="Calibri"/>
        <color rgb="FF000000"/>
        <sz val="11.0"/>
      </rPr>
      <t xml:space="preserve">Os valores aceitos são:
0 - Desconhecido (tipo não informado na nota de origem)  - </t>
    </r>
    <r>
      <rPr>
        <rFont val="Calibri"/>
        <b/>
        <color rgb="FF000000"/>
        <sz val="11.0"/>
      </rPr>
      <t>descontinua a partir de 01/01/2027</t>
    </r>
    <r>
      <rPr>
        <rFont val="Calibri"/>
        <color rgb="FF000000"/>
        <sz val="11.0"/>
      </rPr>
      <t xml:space="preserve">;
1 - Não
2 - Vinculada - Declaração de Importação
3 - Vinculada - Declaração de Exportação
</t>
    </r>
    <r>
      <rPr>
        <rFont val="Calibri"/>
        <b/>
        <color rgb="FF000000"/>
        <sz val="11.0"/>
      </rPr>
      <t>Uso específico para NFS-e Modelo Nacional</t>
    </r>
  </si>
  <si>
    <r>
      <rPr>
        <rFont val="Calibri"/>
        <strike/>
        <color rgb="FF000000"/>
        <sz val="11.0"/>
      </rPr>
      <t xml:space="preserve">nDI
</t>
    </r>
    <r>
      <rPr>
        <rFont val="Calibri"/>
        <color rgb="FF000000"/>
        <sz val="11.0"/>
      </rPr>
      <t>nroDUIMP</t>
    </r>
  </si>
  <si>
    <t>Número da Declaração de Importação (DI/DSI/DA/DRI-E) averbado</t>
  </si>
  <si>
    <t>V(15)</t>
  </si>
  <si>
    <r>
      <rPr>
        <rFont val="Calibri"/>
        <strike/>
        <color rgb="FF000000"/>
        <sz val="11.0"/>
      </rPr>
      <t xml:space="preserve">nRE
</t>
    </r>
    <r>
      <rPr>
        <rFont val="Calibri"/>
        <color rgb="FF000000"/>
        <sz val="11.0"/>
      </rPr>
      <t>nroDUE</t>
    </r>
  </si>
  <si>
    <t>Número do Registro de Exportação (RE) averbado</t>
  </si>
  <si>
    <t>mdic</t>
  </si>
  <si>
    <t>Compartilhar as informações da NFS-e gerada a partir desta DPS com a Secretaria de Comércio Exterior</t>
  </si>
  <si>
    <r>
      <rPr>
        <rFont val="Calibri"/>
        <color rgb="FF000000"/>
        <sz val="11.0"/>
      </rPr>
      <t xml:space="preserve">Os valores aceitos são:
0 - Não enviar para o MDIC;
1 - Enviar para o MDIC;
</t>
    </r>
    <r>
      <rPr>
        <rFont val="Calibri"/>
        <b/>
        <color rgb="FF000000"/>
        <sz val="11.0"/>
      </rPr>
      <t>Uso específico para NFS-e Modelo Nacional</t>
    </r>
  </si>
  <si>
    <t>nroContCambio</t>
  </si>
  <si>
    <t>Número da identificação do contrato de câmbio</t>
  </si>
  <si>
    <t>N (20)</t>
  </si>
  <si>
    <t>C182</t>
  </si>
  <si>
    <r>
      <rPr>
        <rFont val="Calibri"/>
        <color rgb="FF000000"/>
        <sz val="11.0"/>
      </rPr>
      <t xml:space="preserve">Número da identificação do contrato de câmbio ou do documento que comprove o pagamento (Art. 74, § 1º, do DECRETO Nº 12.955, DE 29 DE ABRIL DE 2026, que Regulamenta a Contribuição Social sobre Bens e Serviços – CBS e dá outras providências.)
</t>
    </r>
    <r>
      <rPr>
        <rFont val="Calibri"/>
        <b/>
        <color rgb="FF000000"/>
        <sz val="11.0"/>
      </rPr>
      <t>Uso específico para NFS-e Modelo Nacional</t>
    </r>
  </si>
  <si>
    <t>vRecebInterm</t>
  </si>
  <si>
    <t>Valor monetário recebido pelo intermediário do serviço</t>
  </si>
  <si>
    <t>ValRedBenef</t>
  </si>
  <si>
    <t>Valor monetário informado pelo emitente para redução da base de cálculo (BC) do ISSQN devido a um Benefício Municipal (BM).</t>
  </si>
  <si>
    <t>PercRedBenef</t>
  </si>
  <si>
    <t>Valor percentual informado pelo emitente para redução da base de cálculo (BC) do ISSQN devido a um Benefício Municipal (BM)</t>
  </si>
  <si>
    <t>ValRetEstaduais</t>
  </si>
  <si>
    <t>Valor monetário total aproximado dos tributos estaduais</t>
  </si>
  <si>
    <t>ValRetMunicipais</t>
  </si>
  <si>
    <t>Valor monetário total aproximado dos tributos municipais</t>
  </si>
  <si>
    <t>ValAliqRetFederais</t>
  </si>
  <si>
    <t>Valor percentual total aproximado dos tributos federais</t>
  </si>
  <si>
    <t>ValAliqRetEstaduais</t>
  </si>
  <si>
    <t>Valor percentual total aproximado dos tributos estaduais</t>
  </si>
  <si>
    <t>ValAliqRetMunicipais</t>
  </si>
  <si>
    <t>Valor percentual total aproximado dos tributos municipais</t>
  </si>
  <si>
    <t>ValAproxTribAliqSN</t>
  </si>
  <si>
    <t>Valor percentual aproximado do total dos tributos da alíquota do Simples Nacional (%).</t>
  </si>
  <si>
    <t>0-2</t>
  </si>
  <si>
    <t>IBSCBS</t>
  </si>
  <si>
    <t>Grupo de valores relacionados a IBS e CBS</t>
  </si>
  <si>
    <t>TribRegular</t>
  </si>
  <si>
    <t>Grupo de informações de tributação regular</t>
  </si>
  <si>
    <t>ValpAliqEfeRegIBSUF</t>
  </si>
  <si>
    <t>Alíquota efetiva de tributação regular do IBS estadual</t>
  </si>
  <si>
    <t>N(5.2)</t>
  </si>
  <si>
    <t>ValTribRegIBSUF</t>
  </si>
  <si>
    <t>Valor da tributação regular do IBS estadual</t>
  </si>
  <si>
    <t>N(17.2)</t>
  </si>
  <si>
    <t>ValpAliqEfeRegIBSMun</t>
  </si>
  <si>
    <t>Alíquota efetiva de tributação regular do IBS municipal</t>
  </si>
  <si>
    <t>ValTribRegIBSMun</t>
  </si>
  <si>
    <t>Valor da tributação regular do IBS municipal</t>
  </si>
  <si>
    <t>ValpAliqEfeRegCBS</t>
  </si>
  <si>
    <t>Alíquota efetiva de tributação regular da CBS</t>
  </si>
  <si>
    <t>ValTribRegCBS</t>
  </si>
  <si>
    <t>Valor da tributação regular da CBS</t>
  </si>
  <si>
    <r>
      <rPr>
        <rFont val="Calibri"/>
        <color rgb="FF000000"/>
        <sz val="11.0"/>
      </rPr>
      <t xml:space="preserve">ValBCCBSIBS x ValpAliqEfeRegCBS
</t>
    </r>
    <r>
      <rPr>
        <rFont val="Calibri"/>
        <b/>
        <color rgb="FF000000"/>
        <sz val="11.0"/>
      </rPr>
      <t>Uso específico para Reforma Tributária</t>
    </r>
  </si>
  <si>
    <t>TribCompraGov</t>
  </si>
  <si>
    <t xml:space="preserve">Grupo de informações da composição
do valor do IBS e da CBS em compras
governamentais
</t>
  </si>
  <si>
    <t>ValpIBSUF</t>
  </si>
  <si>
    <t>Alíquota do IBS de competência do Estado</t>
  </si>
  <si>
    <t>ValIBSUF</t>
  </si>
  <si>
    <t>Valor do Tributo do IBS da UF calculado</t>
  </si>
  <si>
    <t>ValpIBSMun</t>
  </si>
  <si>
    <t>Alíquota do IBS de competência do Município</t>
  </si>
  <si>
    <t>ValIBSMun</t>
  </si>
  <si>
    <t>Valor do Tributo do IBS do Município calculado</t>
  </si>
  <si>
    <t>ValpCBS</t>
  </si>
  <si>
    <t>Alíquota da CBS</t>
  </si>
  <si>
    <t>ValCBS</t>
  </si>
  <si>
    <t>Valor do Tributo da CBS calculado</t>
  </si>
  <si>
    <t>IBS</t>
  </si>
  <si>
    <t>Grupo de Informações Relativas às Totalizações do IBS</t>
  </si>
  <si>
    <t>ValIBSTot</t>
  </si>
  <si>
    <t>Valor total do IBS(UF  + Mun)</t>
  </si>
  <si>
    <t>ValCredPresIBS</t>
  </si>
  <si>
    <t>Valor do Crédito Presumido do IBS.</t>
  </si>
  <si>
    <t>ValpCredPresIBS</t>
  </si>
  <si>
    <t>Percentual do Crédito Presumido do IBS.</t>
  </si>
  <si>
    <t>Total valor do IBS estadual.</t>
  </si>
  <si>
    <t>Alíquota da UF para IBS da localidade de incidência parametrizada no sistema</t>
  </si>
  <si>
    <t>ValDifUF</t>
  </si>
  <si>
    <t>Total do Diferimento estadual</t>
  </si>
  <si>
    <t>ValpDifUF</t>
  </si>
  <si>
    <t>Percentual de diferimento estadual.</t>
  </si>
  <si>
    <t>ValpRedAliqUF</t>
  </si>
  <si>
    <t>Percentual de redução de alíquota estadual.</t>
  </si>
  <si>
    <t>ValpAliqEfetUF</t>
  </si>
  <si>
    <t>Valorpercentual da alíquota efetiva UF</t>
  </si>
  <si>
    <t>Total valor do IBS municipal</t>
  </si>
  <si>
    <t>2.92.0.0</t>
  </si>
  <si>
    <t>ValDifMun</t>
  </si>
  <si>
    <t>Total de diferimento Municipal</t>
  </si>
  <si>
    <t>ValpDifMun</t>
  </si>
  <si>
    <t>Percentual de diferimento municipal</t>
  </si>
  <si>
    <t>ValpAliqEfetMun</t>
  </si>
  <si>
    <t>Percentual de alíquota efetiva municipal</t>
  </si>
  <si>
    <r>
      <rPr>
        <rFont val="Calibri"/>
        <b val="0"/>
        <color rgb="FF000000"/>
        <sz val="11.0"/>
      </rPr>
      <t>Se pRedAliqMun não for informado na DPS, então
pAliqEfetMun é a própria pIBSMun</t>
    </r>
    <r>
      <rPr>
        <rFont val="Calibri"/>
        <b/>
        <color rgb="FF000000"/>
        <sz val="11.0"/>
      </rPr>
      <t xml:space="preserve">
Uso específico para Reforma Tributária</t>
    </r>
  </si>
  <si>
    <t>ValpRedAliqMun</t>
  </si>
  <si>
    <t>Percentual de redução de alíquota Municipal</t>
  </si>
  <si>
    <t>ValIBSEstCred</t>
  </si>
  <si>
    <t>Valor do IBS a ser estornado</t>
  </si>
  <si>
    <t>ValIBSAjuste</t>
  </si>
  <si>
    <t>Valor do IBS a ser ajustado (NFS-e de crédito ou débito)</t>
  </si>
  <si>
    <r>
      <rPr>
        <rFont val="Calibri"/>
        <color theme="1"/>
        <sz val="11.0"/>
      </rPr>
      <t xml:space="preserve">Informar quando finNFSe = 1 ou 2.
</t>
    </r>
    <r>
      <rPr>
        <rFont val="Calibri"/>
        <b/>
        <color theme="1"/>
        <sz val="11.0"/>
      </rPr>
      <t>Uso específico para Reforma Tributária</t>
    </r>
  </si>
  <si>
    <t>3.1.0.1</t>
  </si>
  <si>
    <t>ValpIBSSN</t>
  </si>
  <si>
    <t>Alíquota do IBS Total para optantes do Simples Nacional.</t>
  </si>
  <si>
    <r>
      <rPr>
        <rFont val="Calibri"/>
        <color theme="1"/>
        <sz val="11.0"/>
      </rPr>
      <t xml:space="preserve">Informar quando OptSN diferente de 2(Não) e há incidência de IBS pelo SN.
</t>
    </r>
    <r>
      <rPr>
        <rFont val="Calibri"/>
        <b/>
        <color theme="1"/>
        <sz val="11.0"/>
      </rPr>
      <t>Uso específico para Reforma Tributária</t>
    </r>
  </si>
  <si>
    <t>Apenas deve ser informando quando se tratar de Optantes (opSimpNac = 3 ou 4) e com apuração do IBS no SN regApIBSCBSSN = 1.</t>
  </si>
  <si>
    <t>ValIBSSN</t>
  </si>
  <si>
    <t>Valor do IBS para optantes do Simples Nacional.</t>
  </si>
  <si>
    <r>
      <rPr>
        <rFont val="Calibri"/>
        <color rgb="FF000000"/>
        <sz val="11.0"/>
      </rPr>
      <t xml:space="preserve">Informar quando OptSN diferente de 2(Não) e há incidência de IBS pelo SN.
</t>
    </r>
    <r>
      <rPr>
        <rFont val="Calibri"/>
        <b/>
        <color rgb="FF000000"/>
        <sz val="11.0"/>
      </rPr>
      <t>Uso específico para Reforma Tributária</t>
    </r>
  </si>
  <si>
    <t>CBS</t>
  </si>
  <si>
    <t>Grupo de Informações Relativas às Totalizações do CBS</t>
  </si>
  <si>
    <t>Total valor da CBS da União</t>
  </si>
  <si>
    <t>Alíquota da UF para CBS da localidade de incidência</t>
  </si>
  <si>
    <t>ValCredPresCBS</t>
  </si>
  <si>
    <t>Valor do Crédito Presumido da CBS.</t>
  </si>
  <si>
    <t>ValpCredPresCBS</t>
  </si>
  <si>
    <t>Alíquota do crédito presumido para a CBS</t>
  </si>
  <si>
    <t>ValDifCBS</t>
  </si>
  <si>
    <t>Total do Diferimento CBS</t>
  </si>
  <si>
    <t>ValpDifCBS</t>
  </si>
  <si>
    <t>Percentual de diferimento da CBS</t>
  </si>
  <si>
    <t>ValpAliqEfetCBS</t>
  </si>
  <si>
    <t>Percentual da alíquota efetiva do CBS</t>
  </si>
  <si>
    <t>ValpRedAliqCBS</t>
  </si>
  <si>
    <t>Percentual da redução de alíquota CBS</t>
  </si>
  <si>
    <t>ValCBSEstCred</t>
  </si>
  <si>
    <t>Valor do CBS a ser estornado</t>
  </si>
  <si>
    <t>ValCBSAjuste</t>
  </si>
  <si>
    <t>Valor da CBS a ser ajustada (NFS-e de crédito ou débito).</t>
  </si>
  <si>
    <r>
      <rPr>
        <rFont val="Calibri"/>
        <color theme="1"/>
        <sz val="11.0"/>
      </rPr>
      <t xml:space="preserve">Informar quando finNFSe = 1 ou 2.
</t>
    </r>
    <r>
      <rPr>
        <rFont val="Calibri"/>
        <b/>
        <color theme="1"/>
        <sz val="11.0"/>
      </rPr>
      <t>Uso específico para Reforma Tributária</t>
    </r>
  </si>
  <si>
    <t>ValpCBSSN</t>
  </si>
  <si>
    <t>Alíquota da CBS para optantes do Simples Nacional.</t>
  </si>
  <si>
    <r>
      <rPr>
        <rFont val="Calibri"/>
        <color theme="1"/>
        <sz val="11.0"/>
      </rPr>
      <t xml:space="preserve">Informar quando OptSN diferente de 2(Não).
</t>
    </r>
    <r>
      <rPr>
        <rFont val="Calibri"/>
        <b/>
        <color theme="1"/>
        <sz val="11.0"/>
      </rPr>
      <t>Uso específico para Reforma Tributária</t>
    </r>
  </si>
  <si>
    <t>Não haverá regra vinculada pois o campo é obrigatório, ou seja, será a mesma regra do grupo gTribSN.</t>
  </si>
  <si>
    <t>ValCBSSN</t>
  </si>
  <si>
    <t>Valor da CBS para optantes do Simples Nacional.</t>
  </si>
  <si>
    <r>
      <rPr>
        <rFont val="Calibri"/>
        <color rgb="FF000000"/>
        <sz val="11.0"/>
      </rPr>
      <t xml:space="preserve">Informar quando OptSN diferente de 2(Não)
</t>
    </r>
    <r>
      <rPr>
        <rFont val="Calibri"/>
        <b/>
        <color rgb="FF000000"/>
        <sz val="11.0"/>
      </rPr>
      <t>Uso específico para Reforma Tributária</t>
    </r>
  </si>
  <si>
    <t>ValTotNF</t>
  </si>
  <si>
    <t>Valor Total da NF considerando os impostos por fora: IBS e CBS</t>
  </si>
  <si>
    <r>
      <rPr>
        <rFont val="Calibri"/>
        <color rgb="FF000000"/>
        <sz val="11.0"/>
      </rPr>
      <t xml:space="preserve">O IBS e a CBS são por fora, por isso seus valores devem ser adicionados ao valor total da NF
</t>
    </r>
    <r>
      <rPr>
        <rFont val="Calibri"/>
        <b/>
        <color rgb="FF000000"/>
        <sz val="11.0"/>
      </rPr>
      <t>Uso específico para Reforma Tributária</t>
    </r>
  </si>
  <si>
    <t>ValBCIBSCBS</t>
  </si>
  <si>
    <t>Valor da base de cálculo (BC) do IBS/CBS antes das reduções para cálculo do tributo bruto</t>
  </si>
  <si>
    <r>
      <rPr>
        <rFont val="Calibri"/>
        <b val="0"/>
        <color rgb="FF000000"/>
        <sz val="11.0"/>
      </rPr>
      <t>Até 2026: vBC = vServ – descIncond – vCalcAjusteBCIBSCBS ou vCalcAjusteBCLocImoveis – vISSQN – vPIS – vCOFINS
De 2027 a 2032: vBC = vServ – descIncond – vCalcAjusteBCIBSCBS ou vCalcAjusteBCLocImoveis – vISSQN</t>
    </r>
    <r>
      <rPr>
        <rFont val="Calibri"/>
        <b/>
        <color rgb="FF000000"/>
        <sz val="11.0"/>
      </rPr>
      <t xml:space="preserve">
Uso específico para Reforma Tributária</t>
    </r>
  </si>
  <si>
    <t>ValCalcReeRepRes</t>
  </si>
  <si>
    <t>Valor monetário (R$) total relativo ao fornecimento</t>
  </si>
  <si>
    <t>ValCalcAjusteBCIBSCBS</t>
  </si>
  <si>
    <t>Valor monetário (R$) total relativo a glosa de serviços de saúde ou a operações de terceiros, objeto de reembolso, repasse ou ressarcimento pelo recebedor, devidamente referenciados, e que não integram da base de cálculo (BC) do IBS e da CBS.</t>
  </si>
  <si>
    <r>
      <rPr>
        <rFont val="Calibri"/>
        <color rgb="FF000000"/>
        <sz val="11.0"/>
      </rPr>
      <t xml:space="preserve">"vCalcAjusteBCIBSCBS é:
A soma dos valores de ajuste da BC do IBS e da CBS, quando um ou mais documentos são informados nos campos vAjusteBC pelo emitente na DPS. Neste caso, o resultado do somatório é o valor deste campo do leiaute NFS-e quando os tipos dos documentos forem relacionados a glosa de serviços de saúde ou operações de terceiros, objeto de reembolso, repasse ou ressarcimento pelo recebedor, correspondentes aos códigos 105 a 199 em tpAjusteBC"
</t>
    </r>
    <r>
      <rPr>
        <rFont val="Calibri"/>
        <b/>
        <color rgb="FF000000"/>
        <sz val="11.0"/>
      </rPr>
      <t>Uso específico para Reforma Tributária</t>
    </r>
  </si>
  <si>
    <t>ValCalcAjusteBCLocImoveis</t>
  </si>
  <si>
    <t>Valor monetário (R$) total relativo aos valores de ajuste (dedução/redução) da Base de Cálculo do IBS e da CBS referentes às operações de locação, cessão onerosa ou arrendamento de bens imóveis. Apenas para os subitens 99.03.</t>
  </si>
  <si>
    <r>
      <rPr>
        <rFont val="Calibri"/>
        <b val="0"/>
        <color rgb="FF000000"/>
        <sz val="11.0"/>
      </rPr>
      <t xml:space="preserve">Campo é o somatório dos ajustes (deduções/reduções) do grupo gAjusteBCLocImoveis multiplicado pelo pCopropriedade.
</t>
    </r>
    <r>
      <rPr>
        <rFont val="Calibri"/>
        <b/>
        <color rgb="FF000000"/>
        <sz val="11.0"/>
      </rPr>
      <t>Uso específico para Reforma Tributária</t>
    </r>
  </si>
  <si>
    <t>ValpAjusteBCISSQN</t>
  </si>
  <si>
    <t>Valor percentual padrão para ajuste dos valores de base de cálculo do
ISSQN.</t>
  </si>
  <si>
    <t>ValAjusteBCISSQN</t>
  </si>
  <si>
    <t>Valor monetário padrão para ajuste dos valores de base de cálculo do
ISSQN</t>
  </si>
  <si>
    <t>ValReceitaBrutaSN</t>
  </si>
  <si>
    <t>Valor da Receita Bruta para os Optantes do Simples Nacional.</t>
  </si>
  <si>
    <r>
      <rPr>
        <rFont val="Calibri"/>
        <color theme="1"/>
        <sz val="11.0"/>
      </rPr>
      <t xml:space="preserve">vReceitaBrutaSN = vServ – descIncond – vCalcAjusteBCIBSCBS – vCalcAjusteBCISSQN*
(*apenas quando tpAjusteBC = 9 — Profissional parceiro)
</t>
    </r>
    <r>
      <rPr>
        <rFont val="Calibri"/>
        <b/>
        <color theme="1"/>
        <sz val="11.0"/>
      </rPr>
      <t>Uso específico para Reforma Tributária</t>
    </r>
  </si>
  <si>
    <t>Segregação entre Receita Interna e Externa pelo cClassTrib.
O Valor da Receita Bruta será externa quando o cClassTrib for 410004, 410027 ou 200001.
Deve-se deduzir da receita bruta os valores informados pelo salão quando tpAjusteBC = 9 ("Profissional parceiro")</t>
  </si>
  <si>
    <t>ValpRedutor</t>
  </si>
  <si>
    <t>Percentual de redução compras governamentais</t>
  </si>
  <si>
    <t>ValMulta</t>
  </si>
  <si>
    <t>Valor da multa</t>
  </si>
  <si>
    <r>
      <rPr>
        <rFont val="Calibri"/>
        <color theme="1"/>
        <sz val="11.0"/>
      </rPr>
      <t xml:space="preserve">Geralmente por atraso no pagamento.
</t>
    </r>
    <r>
      <rPr>
        <rFont val="Calibri"/>
        <b/>
        <color theme="1"/>
        <sz val="11.0"/>
      </rPr>
      <t>Uso específico para Reforma Tributária NFPaulistana</t>
    </r>
  </si>
  <si>
    <t>ValJuros</t>
  </si>
  <si>
    <t>Valor dos juros</t>
  </si>
  <si>
    <r>
      <rPr>
        <rFont val="Calibri"/>
        <color theme="1"/>
        <sz val="11.0"/>
      </rPr>
      <t xml:space="preserve">Geralmente por atraso no pagamento.
</t>
    </r>
    <r>
      <rPr>
        <rFont val="Calibri"/>
        <b/>
        <color theme="1"/>
        <sz val="11.0"/>
      </rPr>
      <t>Uso específico para Reforma Tributária NFPaulistana</t>
    </r>
  </si>
  <si>
    <t>ValInicialCobrado</t>
  </si>
  <si>
    <t>Valor inicial cobrado pela prestação do serviço</t>
  </si>
  <si>
    <r>
      <rPr>
        <rFont val="Calibri"/>
        <color theme="1"/>
        <sz val="11.0"/>
      </rPr>
      <t xml:space="preserve">Valor do serviço antes da incidência dos impostos("gross-up").
</t>
    </r>
    <r>
      <rPr>
        <rFont val="Calibri"/>
        <b/>
        <color theme="1"/>
        <sz val="11.0"/>
      </rPr>
      <t>Uso específico para Reforma Tributária NFPaulistana</t>
    </r>
  </si>
  <si>
    <t>ValFinalCobrado</t>
  </si>
  <si>
    <t>Valor total cobrado pela prestação do serviço</t>
  </si>
  <si>
    <r>
      <rPr>
        <rFont val="Calibri"/>
        <color theme="1"/>
        <sz val="11.0"/>
      </rPr>
      <t xml:space="preserve">Valor total já com os impostos inclusos.
</t>
    </r>
    <r>
      <rPr>
        <rFont val="Calibri"/>
        <b/>
        <color theme="1"/>
        <sz val="11.0"/>
      </rPr>
      <t>Uso específico para Reforma Tributária NFPaulistana</t>
    </r>
  </si>
  <si>
    <t>ValIPI</t>
  </si>
  <si>
    <t>Valor do IPI</t>
  </si>
  <si>
    <r>
      <rPr>
        <rFont val="Calibri"/>
        <color theme="1"/>
        <sz val="11.0"/>
      </rPr>
      <t xml:space="preserve">Quando a operação é mista (serviço + produto).
</t>
    </r>
    <r>
      <rPr>
        <rFont val="Calibri"/>
        <b/>
        <color theme="1"/>
        <sz val="11.0"/>
      </rPr>
      <t>Uso específico para Reforma Tributária NFPaulistana</t>
    </r>
  </si>
  <si>
    <t>ValAjusteBCIBSCBSComExt</t>
  </si>
  <si>
    <t>Valor monetário padrão para ajuste dos valores de base de cálculo do IBS/CBS nos casos de Comércio Exterior.</t>
  </si>
  <si>
    <t>C267</t>
  </si>
  <si>
    <t>LocalPrestacao</t>
  </si>
  <si>
    <t>Local Prestação</t>
  </si>
  <si>
    <t>SerEndTpLgr</t>
  </si>
  <si>
    <t>Tipo de Logradouro</t>
  </si>
  <si>
    <t>Ex: Rua, Avenida, Travessa.</t>
  </si>
  <si>
    <t>SerEndLgr</t>
  </si>
  <si>
    <t>Endereço</t>
  </si>
  <si>
    <t>SerEndNumero</t>
  </si>
  <si>
    <t>SerEndComplemento</t>
  </si>
  <si>
    <t>SerEndBairro</t>
  </si>
  <si>
    <t>SerEndxMun</t>
  </si>
  <si>
    <t>Nome do Município</t>
  </si>
  <si>
    <t>SerEndcMun</t>
  </si>
  <si>
    <t>Código IBGE do município</t>
  </si>
  <si>
    <t>SerEndCep</t>
  </si>
  <si>
    <t>V(8)</t>
  </si>
  <si>
    <t>SerEndSiglaUF</t>
  </si>
  <si>
    <t>Sigla da Unidade Federativa</t>
  </si>
  <si>
    <t>Grupo de informações declaradas pelo emitente referentes ao
IBS e à CBS</t>
  </si>
  <si>
    <t>Grupo de informações da Tributação Regular</t>
  </si>
  <si>
    <t>CSTReg</t>
  </si>
  <si>
    <t>Código de Situação Tributária do
IBS e da CBS de tributação regular</t>
  </si>
  <si>
    <t>cClassTribReg</t>
  </si>
  <si>
    <t>Código da Classificação Tributária do
IBS e da CBS de tributação regular</t>
  </si>
  <si>
    <t>cLocalidadeIncid</t>
  </si>
  <si>
    <t>Código IBGE da localidade de incidência do IBS/CBS (local da operação)</t>
  </si>
  <si>
    <t>xLocalidadeIncid</t>
  </si>
  <si>
    <t>Nome da localidade de incidência do IBS/CBS.</t>
  </si>
  <si>
    <t>V(600)</t>
  </si>
  <si>
    <t>CSTIBSCBS</t>
  </si>
  <si>
    <t>Código de Situação Tributária do IBS e da CBS</t>
  </si>
  <si>
    <t>cClassTrib</t>
  </si>
  <si>
    <t>Código de Classificação Tributária do  IBS e CBS</t>
  </si>
  <si>
    <t>N(6.0)</t>
  </si>
  <si>
    <t>cCredPres</t>
  </si>
  <si>
    <t>Código e classificação do crédito presumido: IBS e CBS</t>
  </si>
  <si>
    <t>Onerosidade</t>
  </si>
  <si>
    <t>Serviço Oneroso</t>
  </si>
  <si>
    <t>Uso específico padrão Conan. Descontinuado NF Paulistana</t>
  </si>
  <si>
    <t>PagParceladoAntecipado</t>
  </si>
  <si>
    <t xml:space="preserve"> Indica se a nota se refere a um pagamento antecipado</t>
  </si>
  <si>
    <r>
      <rPr>
        <rFont val="Calibri"/>
        <b val="0"/>
        <color theme="1"/>
        <sz val="11.0"/>
      </rPr>
      <t xml:space="preserve">0 = Não
1 = Sim
</t>
    </r>
    <r>
      <rPr>
        <rFont val="Calibri"/>
        <b/>
        <color theme="1"/>
        <sz val="11.0"/>
      </rPr>
      <t>Uso específico para Reforma Tributária NFPaulistana</t>
    </r>
  </si>
  <si>
    <t>NCM</t>
  </si>
  <si>
    <t>Código padronizado para mercadorias (NCM - Nomenclatura Comum do Mercosul)</t>
  </si>
  <si>
    <t>Uso específico para Reforma Tributária NFPaulistana</t>
  </si>
  <si>
    <t>indCompGov</t>
  </si>
  <si>
    <t xml:space="preserve">Indicador de compra governamental </t>
  </si>
  <si>
    <r>
      <rPr>
        <rFont val="Calibri"/>
        <color theme="1"/>
        <sz val="11.0"/>
      </rPr>
      <t xml:space="preserve">1 - Sim; 2 - Não;
</t>
    </r>
    <r>
      <rPr>
        <rFont val="Calibri"/>
        <b/>
        <color theme="1"/>
        <sz val="11.0"/>
      </rPr>
      <t>Uso específico para Reforma Tributária NFPaulistana</t>
    </r>
  </si>
  <si>
    <t>tpRetPisCofins</t>
  </si>
  <si>
    <t>Tipo de Retenção PIS/COFINS e CSLL</t>
  </si>
  <si>
    <r>
      <rPr>
        <rFont val="Calibri"/>
        <color theme="1"/>
        <sz val="11.0"/>
      </rPr>
      <t xml:space="preserve">0 - PIS/COFINS/CSLL Não Retidos;
1 - PIS/COFINS Retido;
2 - PIS/COFINS Não Retido;
3 - PIS/COFINS/CSLL Retidos;
4 - PIS/COFINS Retidos, CSLL Não Retido;
5 - PIS Retido, COFINS/CSLL Não Retido;
6 - COFINS Retido, PIS/CSLL Não Retido;
7 - PIS Não Retido, COFINS/CSLL Retidos;
8 - PIS/COFINS Não Retidos, CSLL Retido;
9 - COFINS Não Retido, PIS/CSLL Retidos;
</t>
    </r>
    <r>
      <rPr>
        <rFont val="Calibri"/>
        <b/>
        <color theme="1"/>
        <sz val="11.0"/>
      </rPr>
      <t>Uso específico para Reforma Tributária</t>
    </r>
  </si>
  <si>
    <t>Tomador</t>
  </si>
  <si>
    <t>TomaCNPJ</t>
  </si>
  <si>
    <t>CNPJ do tomador</t>
  </si>
  <si>
    <t>C(14)</t>
  </si>
  <si>
    <t>TomaCPF</t>
  </si>
  <si>
    <t>CPF do tomador</t>
  </si>
  <si>
    <t>C(11)</t>
  </si>
  <si>
    <t>TomaIM</t>
  </si>
  <si>
    <t>Inscrição Municipal do tomador</t>
  </si>
  <si>
    <t>TomaRazaoSocial</t>
  </si>
  <si>
    <t>Razão social do tomador</t>
  </si>
  <si>
    <t>C(115)</t>
  </si>
  <si>
    <t>TomatpLgr</t>
  </si>
  <si>
    <t>Tipo de logradouro</t>
  </si>
  <si>
    <t>Tipo do logradouro do tomador (Rua, Avenida, Travessa, etc.)</t>
  </si>
  <si>
    <t>TomaEndereco</t>
  </si>
  <si>
    <t>Endereço do tomador</t>
  </si>
  <si>
    <t>C(125)</t>
  </si>
  <si>
    <t>TomaNumero</t>
  </si>
  <si>
    <t>Número do endereço</t>
  </si>
  <si>
    <t>TomaComplemento</t>
  </si>
  <si>
    <t>Complemento do endereço</t>
  </si>
  <si>
    <t>C(60)</t>
  </si>
  <si>
    <t>TomaBairro</t>
  </si>
  <si>
    <t>Bairro do tomador</t>
  </si>
  <si>
    <t>TomacMun</t>
  </si>
  <si>
    <t>TomaxMun</t>
  </si>
  <si>
    <t>Descrição do município</t>
  </si>
  <si>
    <t>TomaUF</t>
  </si>
  <si>
    <t>UF do tomador</t>
  </si>
  <si>
    <t>TomaPais</t>
  </si>
  <si>
    <t>País do tomador</t>
  </si>
  <si>
    <t>Sigla do país do Tomador. Lista de siglas https://en.wikipedia.org/wiki/ISO_3166-1_alpha-2</t>
  </si>
  <si>
    <t>TomaCEP</t>
  </si>
  <si>
    <t>CEP do tomador</t>
  </si>
  <si>
    <t>Somente números</t>
  </si>
  <si>
    <t>1.3.0.0</t>
  </si>
  <si>
    <t>TomaTelefone</t>
  </si>
  <si>
    <t>Telefone do tomador</t>
  </si>
  <si>
    <t>TomaTipoTelefone</t>
  </si>
  <si>
    <t>Tipo de Telefone do Tomador</t>
  </si>
  <si>
    <t>Exclusivo do padrão BSIT-BR.
Valores Aceitos:
CE - Celular
CO - Comercial
RE - Residencial</t>
  </si>
  <si>
    <t>1.8.0.0</t>
  </si>
  <si>
    <t>TomaEmail</t>
  </si>
  <si>
    <t>E-mail do tomador</t>
  </si>
  <si>
    <t>C(80)</t>
  </si>
  <si>
    <t>TomaSite</t>
  </si>
  <si>
    <t>Site do tomador</t>
  </si>
  <si>
    <t>TomaIE</t>
  </si>
  <si>
    <t>Inscrição estadual do tomador</t>
  </si>
  <si>
    <t>TomaIME</t>
  </si>
  <si>
    <t>Inscrição municipal eventual do tomador</t>
  </si>
  <si>
    <t>TomaSituacaoEspecial</t>
  </si>
  <si>
    <t>Situação especial do Tomador</t>
  </si>
  <si>
    <t>Exclusivo do padrão NF-em
1 - SUS
2 - Órgão do poder Executivo
3 - Bancos
4 - Comércio/Indústria
5 - Poder Legislativo/Judiciário
0 - Outro</t>
  </si>
  <si>
    <t>1.7.0.0</t>
  </si>
  <si>
    <t>DocTomadorEstrangeiro</t>
  </si>
  <si>
    <t>Documento do Tomador Estrangeiro</t>
  </si>
  <si>
    <t>Exclusivo para os Padrões Equiplano e IPM</t>
  </si>
  <si>
    <t>TomaRegEspTrib</t>
  </si>
  <si>
    <t>Regime Especial de Tributação do Prestador</t>
  </si>
  <si>
    <t>Exclusivo do Padrão NF-Eletrônica
0 - Não
1 - Empresa Adm Pública/Condomínios
2 - Instituição Financeira
3 - Tomador Inscrito no PRODEVA</t>
  </si>
  <si>
    <t>TomaCadastroMunicipio</t>
  </si>
  <si>
    <t>Tomador Cadastrado no Município</t>
  </si>
  <si>
    <t>Exclusivo do padrão Consist
1 - Cadastrado no Município
2 - Não cadastrado no município
3 - Fora do Município
4 - Consumidor Final</t>
  </si>
  <si>
    <t>TomaOrgaoPublico</t>
  </si>
  <si>
    <t>Tomador Órgão Público</t>
  </si>
  <si>
    <t>Exclusivo padrão Obaratech
1 - Sim, do município
2 - Sim, fora do município
3 - Não.</t>
  </si>
  <si>
    <t>TomaEnderecoInformado</t>
  </si>
  <si>
    <t>Endereço do tomador a ser validados pela prefeitura</t>
  </si>
  <si>
    <t>Exclusivo para o Padrão IPM. Indica se o endereço do tomador validado será o que for informado no XML ou o já cadastrado na prefeitura.
S -Sim
N- Não</t>
  </si>
  <si>
    <t>2.52.0.0</t>
  </si>
  <si>
    <t>TomaCAEPF</t>
  </si>
  <si>
    <t>Número do Cadastro de Atividade Econômica da Pessoa Física (CAEPF)</t>
  </si>
  <si>
    <t>TomaExSemNIF</t>
  </si>
  <si>
    <t>Motivo para não informação do NIF</t>
  </si>
  <si>
    <r>
      <rPr>
        <rFont val="Calibri"/>
        <color rgb="FF000000"/>
        <sz val="11.0"/>
      </rPr>
      <t xml:space="preserve">Os valores aceitos são:
0 - Não informado na nota de origem;
1 - Dispensado do NIF;
2 - Não exigência do NIF;
</t>
    </r>
    <r>
      <rPr>
        <rFont val="Calibri"/>
        <b/>
        <color rgb="FF000000"/>
        <sz val="11.0"/>
      </rPr>
      <t xml:space="preserve">Uso específico para NFS-e Modelo Nacional
</t>
    </r>
  </si>
  <si>
    <t>IntermServico</t>
  </si>
  <si>
    <t>Intermediário do Serviço</t>
  </si>
  <si>
    <t>IntermRazaoSocial</t>
  </si>
  <si>
    <t>Razão social do intermediário</t>
  </si>
  <si>
    <t>IntermCNPJ</t>
  </si>
  <si>
    <t>CNPJ do intermediário</t>
  </si>
  <si>
    <t>IntermCPF</t>
  </si>
  <si>
    <t>CPF do intermediário</t>
  </si>
  <si>
    <t>IntermNIF</t>
  </si>
  <si>
    <t>Documento do intermediário extrangeiro</t>
  </si>
  <si>
    <t>IntermExSemNIF</t>
  </si>
  <si>
    <r>
      <rPr>
        <rFont val="Calibri"/>
        <color rgb="FF000000"/>
        <sz val="11.0"/>
      </rPr>
      <t xml:space="preserve">Os valores aceitos são:
0 - Não informado na nota de origem;
1 - Dispensado do NIF;
2 - Não exigência do NIF;
</t>
    </r>
    <r>
      <rPr>
        <rFont val="Calibri"/>
        <b/>
        <color rgb="FF000000"/>
        <sz val="11.0"/>
      </rPr>
      <t xml:space="preserve">Uso específico para NFS-e Modelo Nacional
</t>
    </r>
  </si>
  <si>
    <t>IntermIM</t>
  </si>
  <si>
    <t>Inscrição Municipal do intermediário</t>
  </si>
  <si>
    <t>IntermEmail</t>
  </si>
  <si>
    <t>Email do Intermediario</t>
  </si>
  <si>
    <t>V(100)</t>
  </si>
  <si>
    <t>Exclusivo do Padrão NFPaulistana</t>
  </si>
  <si>
    <t>IntermEndereco</t>
  </si>
  <si>
    <t>V(125)</t>
  </si>
  <si>
    <t>Exclusivo do Padrão SigCorp Rio Grande</t>
  </si>
  <si>
    <t>1.16.0.0</t>
  </si>
  <si>
    <t>IntermNumero</t>
  </si>
  <si>
    <t>Número do Endereço</t>
  </si>
  <si>
    <t>IntermComplemento</t>
  </si>
  <si>
    <t>Complemento do Endereço</t>
  </si>
  <si>
    <t>IntermBairro</t>
  </si>
  <si>
    <t>IntermCep</t>
  </si>
  <si>
    <t>Cep</t>
  </si>
  <si>
    <t>IntermCmun</t>
  </si>
  <si>
    <t>Código IBGE do Município</t>
  </si>
  <si>
    <t xml:space="preserve">Exclusivo do Padrão SigCorp Rio Grande. Consulte nosso artigo para mais informações. </t>
  </si>
  <si>
    <t>IntermXmun</t>
  </si>
  <si>
    <t>IntermFone</t>
  </si>
  <si>
    <t>Fone</t>
  </si>
  <si>
    <t>IntermIE</t>
  </si>
  <si>
    <t>IntermPais</t>
  </si>
  <si>
    <t>Código do País do Intermediário</t>
  </si>
  <si>
    <t>V(5)</t>
  </si>
  <si>
    <r>
      <rPr>
        <rFont val="Calibri"/>
        <color rgb="FF000000"/>
        <sz val="11.0"/>
      </rPr>
      <t xml:space="preserve">Sigla da tabela ISO ou código BACEN.
</t>
    </r>
    <r>
      <rPr>
        <rFont val="Calibri"/>
        <b/>
        <color rgb="FF000000"/>
        <sz val="11.0"/>
      </rPr>
      <t>Uso específico para NFS-e Modelo Nacional</t>
    </r>
  </si>
  <si>
    <t>IntermUF</t>
  </si>
  <si>
    <t>UF/província/região do intermediário</t>
  </si>
  <si>
    <r>
      <rPr>
        <rFont val="Calibri"/>
        <color rgb="FF000000"/>
        <sz val="11.0"/>
      </rPr>
      <t xml:space="preserve">Obrigatório quando intermediário for do exterior
</t>
    </r>
    <r>
      <rPr>
        <rFont val="Calibri"/>
        <b/>
        <color rgb="FF000000"/>
        <sz val="11.0"/>
      </rPr>
      <t xml:space="preserve">Uso específico para NFS-e Modelo Nacional
</t>
    </r>
    <r>
      <rPr>
        <rFont val="Calibri"/>
        <color rgb="FF000000"/>
        <sz val="11.0"/>
      </rPr>
      <t xml:space="preserve">
</t>
    </r>
  </si>
  <si>
    <t>IntermCAEPF</t>
  </si>
  <si>
    <t>Destinatario</t>
  </si>
  <si>
    <t>Grupo de informações relativas ao Destinatário</t>
  </si>
  <si>
    <t>DestCNPJ</t>
  </si>
  <si>
    <t>Número da inscrição no Cadastro Nacional de Pessoa Jurídica (CNPJ) do destinatário de serviço</t>
  </si>
  <si>
    <t>DestCPF</t>
  </si>
  <si>
    <t>Número da inscrição no Cadastro Nacional de Pessoa Física (CPF) do destinatário do serviço</t>
  </si>
  <si>
    <t>DestNIF</t>
  </si>
  <si>
    <t>Número de identificação fiscal fornecido por órgão de administração tributária no exterior</t>
  </si>
  <si>
    <t>DestcNaoNIF</t>
  </si>
  <si>
    <r>
      <rPr>
        <rFont val="Calibri"/>
        <color rgb="FF000000"/>
        <sz val="11.0"/>
      </rPr>
      <t xml:space="preserve">0 - Não informado na nota de origem;
1 - Dispensado do NIF;
2 - Não exigência do NIF
</t>
    </r>
    <r>
      <rPr>
        <rFont val="Calibri"/>
        <b/>
        <color rgb="FF000000"/>
        <sz val="11.0"/>
      </rPr>
      <t>Uso específico para Reforma Tributária</t>
    </r>
  </si>
  <si>
    <t>DestIE</t>
  </si>
  <si>
    <t>Inscrição Estadual do Destinatário</t>
  </si>
  <si>
    <t>3.02.5.0</t>
  </si>
  <si>
    <t>DestIM</t>
  </si>
  <si>
    <t>Inscrição Municipal do Destinatário</t>
  </si>
  <si>
    <t>DestNome</t>
  </si>
  <si>
    <t>Nome / Nome Empresarial do destinatário</t>
  </si>
  <si>
    <t>V(150)</t>
  </si>
  <si>
    <t>DestEndereco</t>
  </si>
  <si>
    <t xml:space="preserve">Tipo e nome do logradouro do endereço do
destinatário do serviço.
</t>
  </si>
  <si>
    <t>DestNumero</t>
  </si>
  <si>
    <t>Número no logradouro do endereço do destinatário
do serviço</t>
  </si>
  <si>
    <t>DestComplemento</t>
  </si>
  <si>
    <t>Complemento do endereço do destinatário do serviço.</t>
  </si>
  <si>
    <t>V(156)</t>
  </si>
  <si>
    <t>DestBairro</t>
  </si>
  <si>
    <t>Bairro do endereço do destinatário do serviço</t>
  </si>
  <si>
    <t>DestFone</t>
  </si>
  <si>
    <t>Número do telefone do destinatário.
(Preencher com o Código DDD + número do
telefone)</t>
  </si>
  <si>
    <t>N(20)</t>
  </si>
  <si>
    <r>
      <rPr>
        <rFont val="Calibri"/>
        <color rgb="FF000000"/>
        <sz val="11.0"/>
      </rPr>
      <t xml:space="preserve">Nas operações com exterior é permitido
informar o código do país + código da localidade +
número do telefone)
</t>
    </r>
    <r>
      <rPr>
        <rFont val="Calibri"/>
        <b/>
        <color rgb="FF000000"/>
        <sz val="11.0"/>
      </rPr>
      <t>Uso específico para Reforma Tributária</t>
    </r>
  </si>
  <si>
    <t>DestEmail</t>
  </si>
  <si>
    <t>E-mail do destinatário</t>
  </si>
  <si>
    <t>DestcMun</t>
  </si>
  <si>
    <t>Código do município do endereço do destinatário do
serviço.</t>
  </si>
  <si>
    <t>DestxMun</t>
  </si>
  <si>
    <t>Nome da cidade do destinatário do
serviço</t>
  </si>
  <si>
    <r>
      <rPr>
        <rFont val="Calibri"/>
        <color rgb="FF000000"/>
        <sz val="11.0"/>
      </rPr>
      <t xml:space="preserve">Obrigatório para destinatário do exterior
</t>
    </r>
    <r>
      <rPr>
        <rFont val="Calibri"/>
        <b/>
        <color rgb="FF000000"/>
        <sz val="11.0"/>
      </rPr>
      <t>Uso específico para Reforma Tributária</t>
    </r>
  </si>
  <si>
    <t>DestCEP</t>
  </si>
  <si>
    <t>Código numérico do Endereçamento Postal nacional (CEP)
 do endereço do destinatário do serviço.</t>
  </si>
  <si>
    <t>DestPais</t>
  </si>
  <si>
    <t>Código do país do endereço do destinatário do
serviço</t>
  </si>
  <si>
    <t>V(4)</t>
  </si>
  <si>
    <t>DestEstProvReg</t>
  </si>
  <si>
    <t>Estado, província ou região da cidade no exterior do
destinatário do serviço</t>
  </si>
  <si>
    <r>
      <rPr>
        <rFont val="Calibri"/>
        <color rgb="FF000000"/>
        <sz val="11.0"/>
      </rPr>
      <t xml:space="preserve">Preencher para destinatário do exterior
</t>
    </r>
    <r>
      <rPr>
        <rFont val="Calibri"/>
        <b/>
        <color rgb="FF000000"/>
        <sz val="11.0"/>
      </rPr>
      <t>Uso específico para Reforma Tributária</t>
    </r>
  </si>
  <si>
    <t>ConstCivil</t>
  </si>
  <si>
    <t>CodObra</t>
  </si>
  <si>
    <t>Código da obra / Número do projeto</t>
  </si>
  <si>
    <t>Informar o código da obra</t>
  </si>
  <si>
    <t>Art</t>
  </si>
  <si>
    <t>Código ART</t>
  </si>
  <si>
    <t>Informar o número ART</t>
  </si>
  <si>
    <t>ObraLog</t>
  </si>
  <si>
    <t>Logradouro\Endereço da Obra</t>
  </si>
  <si>
    <t>ObraCompl</t>
  </si>
  <si>
    <t>Complemento do End. da Obra</t>
  </si>
  <si>
    <t>ObraNumero</t>
  </si>
  <si>
    <t>Número do End. da Obra</t>
  </si>
  <si>
    <t>ObraBairro</t>
  </si>
  <si>
    <t>Bairro da Obra</t>
  </si>
  <si>
    <t>ObraCEP</t>
  </si>
  <si>
    <t>CEP da Obra</t>
  </si>
  <si>
    <t>ObraMun</t>
  </si>
  <si>
    <t>Código IBGE do município da Obra</t>
  </si>
  <si>
    <t>Exclusivo do padrão INFISC. Consulte nosso artigo para mais informações.</t>
  </si>
  <si>
    <t>ObraUF</t>
  </si>
  <si>
    <t>UF da Obra</t>
  </si>
  <si>
    <t>ObraPais</t>
  </si>
  <si>
    <t>País da Obra</t>
  </si>
  <si>
    <t>Sigla do País da Obra. Exclusivo padrão INFISC. Lista de siglas https://en.wikipedia.org/wiki/ISO_3166-1_alpha-2</t>
  </si>
  <si>
    <t>ObraCEI</t>
  </si>
  <si>
    <t>Número CEI da Obra</t>
  </si>
  <si>
    <t>Exclusivo padrão INFISC, NF Paulistana</t>
  </si>
  <si>
    <t>ObraMatricula</t>
  </si>
  <si>
    <t>Número de Matrícula da Obra</t>
  </si>
  <si>
    <t>ObraValRedBC</t>
  </si>
  <si>
    <t>Valor da redução da base de cálculo da construção civil</t>
  </si>
  <si>
    <t>ObraTipo</t>
  </si>
  <si>
    <t>Tipo de Obra</t>
  </si>
  <si>
    <t>Exclusivo do Padrão SigCorp Rio Grande
Valores:
1 – Minha Casa Minha Vida;
2 – Regime Presumido;
3 – Regime Ordinário;</t>
  </si>
  <si>
    <t>ObraNomeFornecedor</t>
  </si>
  <si>
    <t>Nome do fornecedor</t>
  </si>
  <si>
    <t>ObraNumeroNF</t>
  </si>
  <si>
    <t>Número da nota fiscal</t>
  </si>
  <si>
    <t>ObraDataNF</t>
  </si>
  <si>
    <t>Data de emissão da nota fiscal</t>
  </si>
  <si>
    <t>ObraNumEncapsulamento</t>
  </si>
  <si>
    <t>Código do encapsulamento de notas dedutoras</t>
  </si>
  <si>
    <t>Exclusivo do Padrão NF Paulistana.
Verificar valores aceitos com o setor fiscal da prefeitura.</t>
  </si>
  <si>
    <t>AbatimentoMateriais</t>
  </si>
  <si>
    <t>Abatimento de Materiais</t>
  </si>
  <si>
    <t>Exclusivo padrão Obaratech.
1-Abatimento padrão
2-Abatimento por nota fiscal
3-Sem abatimento</t>
  </si>
  <si>
    <t>ObraXMun</t>
  </si>
  <si>
    <t>Nome do município da Obra</t>
  </si>
  <si>
    <t>1.90.0.0</t>
  </si>
  <si>
    <t xml:space="preserve">ObraInscImobFis </t>
  </si>
  <si>
    <t xml:space="preserve">Inscrição imobiliária fiscal da obra	</t>
  </si>
  <si>
    <t>ObraCIB</t>
  </si>
  <si>
    <t>Cadastro Imobiliário Brasileiro da Obra</t>
  </si>
  <si>
    <t>2.94.10.0</t>
  </si>
  <si>
    <t>ObraDesc</t>
  </si>
  <si>
    <t>Descrição da obra</t>
  </si>
  <si>
    <t>ObraCPFNF</t>
  </si>
  <si>
    <t>CPF do fornecedor da NF da Obra</t>
  </si>
  <si>
    <t>ObraCNPJNF</t>
  </si>
  <si>
    <t>CNPJ do fornecedor da NF da Obra</t>
  </si>
  <si>
    <t>ListaMaterial</t>
  </si>
  <si>
    <t>Lista de materiais da Obra</t>
  </si>
  <si>
    <t>Material</t>
  </si>
  <si>
    <t>Grupo de materiais da Obra</t>
  </si>
  <si>
    <t>MatCodigo</t>
  </si>
  <si>
    <t>Código do material</t>
  </si>
  <si>
    <t>MatDescricao</t>
  </si>
  <si>
    <t>Descrição do material</t>
  </si>
  <si>
    <t>V(120)</t>
  </si>
  <si>
    <t>MatUndMedCodigo</t>
  </si>
  <si>
    <t>Código da unidade de medida</t>
  </si>
  <si>
    <t>MatUndMedSigla</t>
  </si>
  <si>
    <t>Sigla da unidade de medida</t>
  </si>
  <si>
    <t>V(7)</t>
  </si>
  <si>
    <t>MatQuantidade</t>
  </si>
  <si>
    <t>Quantidade</t>
  </si>
  <si>
    <t>N(4)</t>
  </si>
  <si>
    <t>MatVlrTotal</t>
  </si>
  <si>
    <t>Valor total</t>
  </si>
  <si>
    <t>MatValUni</t>
  </si>
  <si>
    <t>Valor unitário do material</t>
  </si>
  <si>
    <t>ListaDed</t>
  </si>
  <si>
    <t>Utilizado apenas pelo padrão DSFNET</t>
  </si>
  <si>
    <t>Ded</t>
  </si>
  <si>
    <t>Não informar este grupo quando a integração for API Rest</t>
  </si>
  <si>
    <t>DedSeq</t>
  </si>
  <si>
    <t>Número sequencial da dedução</t>
  </si>
  <si>
    <t>N(18.0)</t>
  </si>
  <si>
    <t>DedValPer</t>
  </si>
  <si>
    <t>Identificação de valor ou percentual</t>
  </si>
  <si>
    <t>C(3)</t>
  </si>
  <si>
    <t>Informar se a dedução é medida em valor ou percentual
1 – Valor 
2 – Percentual</t>
  </si>
  <si>
    <t>DedTipo</t>
  </si>
  <si>
    <t>Tipo de dedução</t>
  </si>
  <si>
    <t>1 – Despesas Materiais 
2 – Despesas Sub-empreitadas
17 - Profissional</t>
  </si>
  <si>
    <t>DedFornIM</t>
  </si>
  <si>
    <t>Inscrição Municipal do Fornecedor</t>
  </si>
  <si>
    <t>DedCNPJRef</t>
  </si>
  <si>
    <t>CNPJ do fornecedor ou prestador</t>
  </si>
  <si>
    <t>DedCPFRef</t>
  </si>
  <si>
    <t>CPF do fornecedor ou prestador</t>
  </si>
  <si>
    <t>DedFornNome</t>
  </si>
  <si>
    <t>Razão Social do fornecedor</t>
  </si>
  <si>
    <t>V (300)</t>
  </si>
  <si>
    <t>DedFornCEP</t>
  </si>
  <si>
    <t>CEP do fornecedor</t>
  </si>
  <si>
    <t>DedForncMun</t>
  </si>
  <si>
    <t>Código IBGE do fornecedor</t>
  </si>
  <si>
    <t>DedFornxMun</t>
  </si>
  <si>
    <t>Nome do Município do fornecedor</t>
  </si>
  <si>
    <t>V(70)</t>
  </si>
  <si>
    <t>DedFornUF</t>
  </si>
  <si>
    <t>UF/Província/região do fornecedor</t>
  </si>
  <si>
    <t>DedFornLogr</t>
  </si>
  <si>
    <t>Logradouro do endereço do Fornecedor</t>
  </si>
  <si>
    <t>DedFornNumero</t>
  </si>
  <si>
    <t>Número do endereço do Fornecedor</t>
  </si>
  <si>
    <t>DedFornCompl</t>
  </si>
  <si>
    <t>Complemento do endereço do Fornecedor</t>
  </si>
  <si>
    <t>DedFornBairro</t>
  </si>
  <si>
    <t>Bairro do endereço do Fornecedo</t>
  </si>
  <si>
    <t>DedFornFone</t>
  </si>
  <si>
    <t>Telefone do fornecedor com DDD</t>
  </si>
  <si>
    <t>DedFornEmail</t>
  </si>
  <si>
    <t>E-mail do fornecedor</t>
  </si>
  <si>
    <t>V(80)</t>
  </si>
  <si>
    <t>DedNifFornecedor</t>
  </si>
  <si>
    <t>DedForncExSemNIF</t>
  </si>
  <si>
    <r>
      <rPr>
        <rFont val="Calibri"/>
        <color rgb="FF000000"/>
        <sz val="11.0"/>
      </rPr>
      <t xml:space="preserve">Os valores aceitos são:
0 - Não informado na nota de origem;
1 - Dispensado do NIF;
2 - Não exigência do NIF;
</t>
    </r>
    <r>
      <rPr>
        <rFont val="Calibri"/>
        <b/>
        <color rgb="FF000000"/>
        <sz val="11.0"/>
      </rPr>
      <t>Uso específico para NFS-e Modelo Nacional</t>
    </r>
  </si>
  <si>
    <t>DedPaisFornecedor</t>
  </si>
  <si>
    <t>Código do país do fornecedor</t>
  </si>
  <si>
    <t>V (10)</t>
  </si>
  <si>
    <t>DednNFRef</t>
  </si>
  <si>
    <t>Número da nota fiscal de referência</t>
  </si>
  <si>
    <t>N(10.0)</t>
  </si>
  <si>
    <t>DedvlTotRef</t>
  </si>
  <si>
    <t>Valor total de referência</t>
  </si>
  <si>
    <t>Valor total da nota fiscal de referência</t>
  </si>
  <si>
    <t>DedUFNFe</t>
  </si>
  <si>
    <t>UF gerador da NF-e de referência</t>
  </si>
  <si>
    <t>DedChaveAcesso</t>
  </si>
  <si>
    <t>Chave de acesso da NF-e de referência</t>
  </si>
  <si>
    <t>C (50)</t>
  </si>
  <si>
    <t>DedChAcesNacional</t>
  </si>
  <si>
    <t>Chave de Acesso da NFS-e (Padrão Nacional)</t>
  </si>
  <si>
    <t>DedDEmis</t>
  </si>
  <si>
    <t>Data de emissão da NF-e de referência</t>
  </si>
  <si>
    <t>DedPer</t>
  </si>
  <si>
    <t>Percentual a deduzir</t>
  </si>
  <si>
    <t>N(7.4)</t>
  </si>
  <si>
    <t>Obrigatório caso DedValPer = 2 (Percentual)</t>
  </si>
  <si>
    <t>DedValor</t>
  </si>
  <si>
    <t>Valor a ser deduzido</t>
  </si>
  <si>
    <t>DedQtde</t>
  </si>
  <si>
    <t>Quantidade de itens de dedução</t>
  </si>
  <si>
    <t>Exclusivo Padrão Assessor Público</t>
  </si>
  <si>
    <t>1.2.0.0</t>
  </si>
  <si>
    <t>DedValUnit</t>
  </si>
  <si>
    <t>Valor Unitário</t>
  </si>
  <si>
    <t>DedDescricao</t>
  </si>
  <si>
    <t>DedTipoItem</t>
  </si>
  <si>
    <t>Tipo de Item</t>
  </si>
  <si>
    <t>DednNFSeRef</t>
  </si>
  <si>
    <t>Número da NFS-e de referência</t>
  </si>
  <si>
    <t>N (18.0)</t>
  </si>
  <si>
    <t>DedcVerificaNFSe</t>
  </si>
  <si>
    <t>Código de verificação da NFS-e de referência</t>
  </si>
  <si>
    <t>DedcMunNFSe</t>
  </si>
  <si>
    <t>Código do município Gerador da NFS-e de referência</t>
  </si>
  <si>
    <t>N (7.0)</t>
  </si>
  <si>
    <t>DedOutroDoc</t>
  </si>
  <si>
    <t>Número da identificação de outro documento</t>
  </si>
  <si>
    <t>DedOutroDocFisc</t>
  </si>
  <si>
    <t>Número de outro documento fiscal</t>
  </si>
  <si>
    <t>DedRedTipo</t>
  </si>
  <si>
    <t>Tipo de dedução/Redução modelo nacional</t>
  </si>
  <si>
    <t>DedRetxDesc</t>
  </si>
  <si>
    <t>Descrição da Dedução/Redução quando a opção é "99 – Outras Deduções"</t>
  </si>
  <si>
    <t>DedFornCAEPF</t>
  </si>
  <si>
    <t>Transportadora</t>
  </si>
  <si>
    <t>Dados da Transportadora</t>
  </si>
  <si>
    <t>Grupo exclusivo do padrão INFISC</t>
  </si>
  <si>
    <t>TraNome</t>
  </si>
  <si>
    <t>Nome ou Razão Social da Transportadora</t>
  </si>
  <si>
    <t>TraCPFCNPJ</t>
  </si>
  <si>
    <t>CPF ou CNPJ da transportadora</t>
  </si>
  <si>
    <t>TraIE</t>
  </si>
  <si>
    <t>Inscrição Estadual da Transportadora</t>
  </si>
  <si>
    <t>TraPlaca</t>
  </si>
  <si>
    <t>Placa do veículo da Transportadora</t>
  </si>
  <si>
    <t>TraEnd</t>
  </si>
  <si>
    <t>Endereço da Transportadora</t>
  </si>
  <si>
    <t>TraMun</t>
  </si>
  <si>
    <t>Código IBGE do município da Transportadora</t>
  </si>
  <si>
    <t>TraUF</t>
  </si>
  <si>
    <t>UF da Transportadora</t>
  </si>
  <si>
    <t>TraPais</t>
  </si>
  <si>
    <t>País da Transportadora</t>
  </si>
  <si>
    <t>Sigla do país da Transportadora. Lista de siglas https://en.wikipedia.org/wiki/ISO_3166-1_alpha-2</t>
  </si>
  <si>
    <t>TraTipoFrete</t>
  </si>
  <si>
    <t>Responsável pelo pagamento do frete</t>
  </si>
  <si>
    <t xml:space="preserve">1 - Tomador
2 - Prestador </t>
  </si>
  <si>
    <t>Locacao</t>
  </si>
  <si>
    <t>LocacaoItem</t>
  </si>
  <si>
    <t>categServ</t>
  </si>
  <si>
    <t>Categoria do Serviço</t>
  </si>
  <si>
    <r>
      <rPr>
        <rFont val="Calibri"/>
        <color rgb="FF000000"/>
        <sz val="11.0"/>
      </rPr>
      <t xml:space="preserve">Os valores aceitos são:
1 - Locação;
2 - Sublocação;
3 - Arrendamento;
4 - Direito de passagem;
5 - Permissão de uso;
</t>
    </r>
    <r>
      <rPr>
        <rFont val="Calibri"/>
        <b/>
        <color rgb="FF000000"/>
        <sz val="11.0"/>
      </rPr>
      <t>Uso específico para NFS-e Modelo Nacional</t>
    </r>
  </si>
  <si>
    <t>objetoLocacao</t>
  </si>
  <si>
    <t>Tipo de objetos da locação, sublocação, arrendamento, direito de passagem ou permissão de uso</t>
  </si>
  <si>
    <r>
      <rPr>
        <rFont val="Calibri"/>
        <color rgb="FF000000"/>
        <sz val="11.0"/>
      </rPr>
      <t xml:space="preserve">Os valores aceitos são:
1 - Ferrovia;
2 - Rodovia;
3 - Postes;
4 - Cabos;
5 - Dutos;
6 - Condutos de qualquer natureza;
</t>
    </r>
    <r>
      <rPr>
        <rFont val="Calibri"/>
        <b/>
        <color rgb="FF000000"/>
        <sz val="11.0"/>
      </rPr>
      <t>Uso específico para NFS-e Modelo Nacional</t>
    </r>
  </si>
  <si>
    <t>extensaoFerrovia</t>
  </si>
  <si>
    <t>Extensão total da ferrovia, rodovia, cabos, dutos ou condutos</t>
  </si>
  <si>
    <t>N(5.0)</t>
  </si>
  <si>
    <t>nPostes</t>
  </si>
  <si>
    <t>Número total de postes</t>
  </si>
  <si>
    <t>AtividadeEvento</t>
  </si>
  <si>
    <t>AtivDesc</t>
  </si>
  <si>
    <t>Descrição do evento Artístico, Cultural, Esportivo, etc</t>
  </si>
  <si>
    <t>AtivDataInicial</t>
  </si>
  <si>
    <t>Data de início da atividade de evento</t>
  </si>
  <si>
    <t>AtivDataFinal</t>
  </si>
  <si>
    <t>Data de fim da atividade de evento.</t>
  </si>
  <si>
    <t>AtivIdEvento</t>
  </si>
  <si>
    <t>Identificação da Atividade de Evento (código identificador de evento determinado pela Administração Tributária Municipal)</t>
  </si>
  <si>
    <t>AtivEndLogradouro</t>
  </si>
  <si>
    <t>Logradouro do endereço do evento</t>
  </si>
  <si>
    <t>AtivEndNumero</t>
  </si>
  <si>
    <t>Número do endereço do evento</t>
  </si>
  <si>
    <t>AtivEndCompl</t>
  </si>
  <si>
    <t>Complemento do endereço do evento</t>
  </si>
  <si>
    <t>AtivEndBairro</t>
  </si>
  <si>
    <t>Bairro do endereço do evento</t>
  </si>
  <si>
    <t>AtivEndCEP</t>
  </si>
  <si>
    <t>CEP do endereço do evento</t>
  </si>
  <si>
    <t>AtivEndcMun</t>
  </si>
  <si>
    <t>Código IBGE do município do endereço do evento</t>
  </si>
  <si>
    <t>AtivEndxMun</t>
  </si>
  <si>
    <t>Nome do município do endereço do evento</t>
  </si>
  <si>
    <t>AtivEndUF</t>
  </si>
  <si>
    <t>UF/província/Região do evento</t>
  </si>
  <si>
    <t>Pedagio</t>
  </si>
  <si>
    <t>PedCategVeiculo</t>
  </si>
  <si>
    <t>Categorias de veículos para cobrança</t>
  </si>
  <si>
    <r>
      <rPr>
        <rFont val="Calibri"/>
        <color rgb="FF000000"/>
        <sz val="11.0"/>
      </rPr>
      <t xml:space="preserve">00 - Categoria de Veículos (tipo não informado na nota de origem);
01 - Automóvel, caminhonete e furgão;
02 - Caminhão leve, ônibus, caminhão trator e furgão;
03 - Automóvel e caminhonete com semireboque;
04 - Caminhão, caminhão-trator, caminhão-trator com semi-reboque e ônibus;
05 - Automóvel e caminhonete com reboque;
06 - Caminhão com reboque;
07 - Caminhão trator com semi-reboque;
08 - Motocicletas, motonetas e bicicletas motorizadas;
09 - Veículo especial;
10 - Veículo Isento;
</t>
    </r>
    <r>
      <rPr>
        <rFont val="Calibri"/>
        <b/>
        <color rgb="FF000000"/>
        <sz val="11.0"/>
      </rPr>
      <t>Uso específico para NFS-e Modelo Nacional</t>
    </r>
  </si>
  <si>
    <t>PednEixos</t>
  </si>
  <si>
    <t>Número de eixos para fins de cobrança</t>
  </si>
  <si>
    <t>PedRodagem</t>
  </si>
  <si>
    <t>Tipo de rodagem</t>
  </si>
  <si>
    <r>
      <rPr>
        <rFont val="Calibri"/>
        <color rgb="FF000000"/>
        <sz val="11.0"/>
      </rPr>
      <t xml:space="preserve">1 - Simples;
2 - Dupla;
</t>
    </r>
    <r>
      <rPr>
        <rFont val="Calibri"/>
        <b/>
        <color rgb="FF000000"/>
        <sz val="11.0"/>
      </rPr>
      <t>Uso específico para NFS-e Modelo Nacional</t>
    </r>
  </si>
  <si>
    <t>PedSentido</t>
  </si>
  <si>
    <t>Orientação de passagem do veículo</t>
  </si>
  <si>
    <r>
      <rPr>
        <rFont val="Calibri"/>
        <color rgb="FF000000"/>
        <sz val="11.0"/>
      </rPr>
      <t xml:space="preserve">Ângulo em graus a partir do norte geográfico em sentido horário, número inteiro de 0 a 359, onde 0º seria o norte, 90º o leste, 180º o sul, 270º o oeste. Precisão mínima de 10
</t>
    </r>
    <r>
      <rPr>
        <rFont val="Calibri"/>
        <b/>
        <color rgb="FF000000"/>
        <sz val="11.0"/>
      </rPr>
      <t>Uso específico para NFS-e Modelo Nacional</t>
    </r>
  </si>
  <si>
    <t>PedPlaca</t>
  </si>
  <si>
    <t>Placa do veículo</t>
  </si>
  <si>
    <r>
      <rPr>
        <rFont val="Calibri"/>
        <color rgb="FF000000"/>
        <sz val="11.0"/>
      </rPr>
      <t xml:space="preserve">Deve ser informada no padrão [A-Z]{2,3}[0-9]{4}|[A-Z]{3,4}[0-9]{3}
</t>
    </r>
    <r>
      <rPr>
        <rFont val="Calibri"/>
        <b/>
        <color rgb="FF000000"/>
        <sz val="11.0"/>
      </rPr>
      <t>Uso específico para NFS-e Modelo Nacional</t>
    </r>
  </si>
  <si>
    <t>PedCodAcesso</t>
  </si>
  <si>
    <t>Código de acesso gerado automaticamente pelo sistema emissor da concessionária</t>
  </si>
  <si>
    <t>PedCodContrato</t>
  </si>
  <si>
    <t>Código de contrato gerado automaticamente pelo sistema nacional no cadastro da concessionária</t>
  </si>
  <si>
    <t>Imovel</t>
  </si>
  <si>
    <t xml:space="preserve"> Grupo de Informações de Operações Relacionadas a Bens Imóveis, Exceto Obras</t>
  </si>
  <si>
    <t>ImovcMun</t>
  </si>
  <si>
    <t>Código do município do endereço do imóvel</t>
  </si>
  <si>
    <t>ImovInscImobFisc</t>
  </si>
  <si>
    <t>Inscrição imobiliária fiscal 
(código fornecido pela prefeitura para a identificação da obra ou para fins de recolhimento do IPTU</t>
  </si>
  <si>
    <r>
      <rPr>
        <rFont val="Calibri"/>
        <strike/>
        <color rgb="FF000000"/>
        <sz val="11.0"/>
      </rPr>
      <t xml:space="preserve">Inscrição imobiliária fiscal
(código fornecido pela prefeitura para a
identificação da obra ou para fins de recolhimento IPTU
</t>
    </r>
    <r>
      <rPr>
        <rFont val="Calibri"/>
        <b/>
        <strike/>
        <color rgb="FF000000"/>
        <sz val="11.0"/>
      </rPr>
      <t>Uso específico para Reforma Tributária</t>
    </r>
  </si>
  <si>
    <t>ImovCIB</t>
  </si>
  <si>
    <t>Código do Cadastro Imobiliário Brasileiro - CIB</t>
  </si>
  <si>
    <t>ImovCEP</t>
  </si>
  <si>
    <t>Código de Endereçamento Postal numérico do
endereço nacional do imóvel.</t>
  </si>
  <si>
    <t>ImovEndereco</t>
  </si>
  <si>
    <t>Tipo e nome do logradouro do endereço do imóvel</t>
  </si>
  <si>
    <t>ImovNumero</t>
  </si>
  <si>
    <t>Número no logradouro do endereço do imóvel</t>
  </si>
  <si>
    <t>ImovComplemento</t>
  </si>
  <si>
    <t>Complemento do endereço do imóve</t>
  </si>
  <si>
    <t>ImovBairro</t>
  </si>
  <si>
    <t>Bairro do endereço do imóvel.</t>
  </si>
  <si>
    <t>ImovxMun</t>
  </si>
  <si>
    <t>Nome da cidade no local do imóvel</t>
  </si>
  <si>
    <r>
      <rPr>
        <rFont val="Calibri"/>
        <strike/>
        <color rgb="FF000000"/>
        <sz val="11.0"/>
      </rPr>
      <t xml:space="preserve">Obrigatário para imóvel do exterior
</t>
    </r>
    <r>
      <rPr>
        <rFont val="Calibri"/>
        <b/>
        <strike/>
        <color rgb="FF000000"/>
        <sz val="11.0"/>
      </rPr>
      <t>Uso específico para Reforma Tributária</t>
    </r>
  </si>
  <si>
    <t>ImovEstProvReg</t>
  </si>
  <si>
    <t>Estado, província ou região da cidade no exterior,
local do imóvel.</t>
  </si>
  <si>
    <r>
      <rPr>
        <rFont val="Calibri"/>
        <strike/>
        <color rgb="FF000000"/>
        <sz val="11.0"/>
      </rPr>
      <t xml:space="preserve">Preencher para imóvel do exterior
</t>
    </r>
    <r>
      <rPr>
        <rFont val="Calibri"/>
        <b/>
        <strike/>
        <color rgb="FF000000"/>
        <sz val="11.0"/>
      </rPr>
      <t>Uso específico para Reforma Tributária</t>
    </r>
  </si>
  <si>
    <t>Grupo de informações relativas às operações de locação, cessão onerosa ou arrendamento de bens imóveis.</t>
  </si>
  <si>
    <t>Operações de locação/cessão/arrendamento imobiliário.</t>
  </si>
  <si>
    <t>ImovpCopropriedade</t>
  </si>
  <si>
    <t>Percentual de copropriedade do locador.</t>
  </si>
  <si>
    <t>Percentual de Copropriedade.
Informar 100% quando houver apenas um locador/cedente/arrendador.</t>
  </si>
  <si>
    <t>ImovValTotOper</t>
  </si>
  <si>
    <t>Valor total da operação imobiliária.</t>
  </si>
  <si>
    <t>Valor total da operação com bem imóvel (art. 255 da LC 214/2025).
Não informar o valor proporcional do coproprietário.</t>
  </si>
  <si>
    <t>ImovValDescIncondTot</t>
  </si>
  <si>
    <t>Desconto incondicionado total (pré-copropriedade).</t>
  </si>
  <si>
    <t>Valor total do Desconto Incondicionado na operação de locação, cessão onerosa ou arrendamento.</t>
  </si>
  <si>
    <t>ImovValDescCondTot</t>
  </si>
  <si>
    <t>Desconto condicionado total (pré-copropriedade).</t>
  </si>
  <si>
    <t>Valor total do Desconto Condicionado na operação de locação, cessão onerosa ou arrendamento.</t>
  </si>
  <si>
    <t>ImovdVencOrig</t>
  </si>
  <si>
    <t>Data de vencimento original do aluguel, renda ou equivalente</t>
  </si>
  <si>
    <t>Data de vencimento original. Informar na locação/cessão/arrendamento.</t>
  </si>
  <si>
    <t>ListaUnidadesImobiliarias</t>
  </si>
  <si>
    <t>Lista de unidades imobiliárias</t>
  </si>
  <si>
    <t>UnidadeImobiliaria</t>
  </si>
  <si>
    <t>Grupo de informações relativas às unidades imobiliárias objeto da operação.</t>
  </si>
  <si>
    <t>1-99</t>
  </si>
  <si>
    <t>Permite até 99 registros (mesmos atores, mesmo município, mesmo % copropriedade).
Não informar este grupo quando a integração for API Rest.</t>
  </si>
  <si>
    <t>Inscrição imobiliária fiscal (código IPTU da prefeitura).</t>
  </si>
  <si>
    <t>Código do Cadastro Imobiliário Brasileiro — CIB.</t>
  </si>
  <si>
    <t>C(8)</t>
  </si>
  <si>
    <t>Complemento do endereço do imóvel</t>
  </si>
  <si>
    <r>
      <rPr>
        <rFont val="Calibri"/>
        <color theme="1"/>
        <sz val="11.0"/>
      </rPr>
      <t xml:space="preserve">Obrigatário para imóvel do exterior
</t>
    </r>
    <r>
      <rPr>
        <rFont val="Calibri"/>
        <b/>
        <color theme="1"/>
        <sz val="11.0"/>
      </rPr>
      <t>Uso específico para Reforma Tributária</t>
    </r>
  </si>
  <si>
    <r>
      <rPr>
        <rFont val="Calibri"/>
        <color theme="1"/>
        <sz val="11.0"/>
      </rPr>
      <t xml:space="preserve">Preencher para imóvel do exterior
</t>
    </r>
    <r>
      <rPr>
        <rFont val="Calibri"/>
        <b/>
        <color theme="1"/>
        <sz val="11.0"/>
      </rPr>
      <t>Uso específico para Reforma Tributária</t>
    </r>
  </si>
  <si>
    <t>ListaAjusteBCLocImoveis</t>
  </si>
  <si>
    <t xml:space="preserve">Lista Grupo de ajustes da BC do IBS e CBS </t>
  </si>
  <si>
    <t>AjusteBCLocImovel</t>
  </si>
  <si>
    <t>Grupo de ajustes da BC do IBS e CBS — parcelas não integrantes por locação imobiliária.</t>
  </si>
  <si>
    <t>1-1000</t>
  </si>
  <si>
    <t>ImovTpAjusteBCLocImoveis</t>
  </si>
  <si>
    <t>Tipo de parcela não integrante da BC do IBS/CBS na locação.</t>
  </si>
  <si>
    <r>
      <rPr>
        <rFont val="Calibri"/>
        <color theme="1"/>
        <sz val="11.0"/>
      </rPr>
      <t xml:space="preserve">01=Tributos (IPTU) | 02=Emolumento | 03=Condomínio | 04=Redutor Social | 05=Glosa Serviços Médicos | 99=Outras
</t>
    </r>
    <r>
      <rPr>
        <rFont val="Calibri"/>
        <b/>
        <color theme="1"/>
        <sz val="11.0"/>
      </rPr>
      <t>Uso específico para Reforma Tributária</t>
    </r>
  </si>
  <si>
    <t>ImovxTpAjusteBCLocImoveis</t>
  </si>
  <si>
    <t>Descrição tipo de parcela não integrante da BC do IBS/CBS na locação.</t>
  </si>
  <si>
    <r>
      <rPr>
        <rFont val="Calibri"/>
        <color theme="1"/>
        <sz val="11.0"/>
      </rPr>
      <t xml:space="preserve">Quando ImovTpAjusteBCLocImoveis = 99.
</t>
    </r>
    <r>
      <rPr>
        <rFont val="Calibri"/>
        <b/>
        <color theme="1"/>
        <sz val="11.0"/>
      </rPr>
      <t>Uso específico para Reforma Tributária</t>
    </r>
  </si>
  <si>
    <t>ValAjusteBCLocImoveis</t>
  </si>
  <si>
    <t>Valor monetário utilizado para não inclusão na base de cálculo do IBS e da CBS da NFS-e que está sendo emitida (R$).</t>
  </si>
  <si>
    <r>
      <rPr>
        <rFont val="Calibri"/>
        <color rgb="FF000000"/>
        <sz val="11.0"/>
      </rPr>
      <t xml:space="preserve">Informar o valor total da parcela não integrante da base de cálculo - IPTU, Condomínio, Redutor social, etc. -, não devendo ser inserido o valor proporcional do coproprietário
</t>
    </r>
    <r>
      <rPr>
        <rFont val="Calibri"/>
        <b/>
        <color rgb="FF000000"/>
        <sz val="11.0"/>
      </rPr>
      <t>Uso específico para Reforma Tributária</t>
    </r>
  </si>
  <si>
    <t>ListaDocumentos</t>
  </si>
  <si>
    <t>Grupo relativo aos documentos referenciados nos casos de reembolso, repasse e ressarcimento que serão considerados na base de cálculo do ISSQN, do IBS e da CBS.</t>
  </si>
  <si>
    <r>
      <rPr>
        <rFont val="Calibri"/>
        <b/>
        <color rgb="FF000000"/>
        <sz val="11.0"/>
      </rPr>
      <t>G</t>
    </r>
  </si>
  <si>
    <r>
      <rPr>
        <rFont val="Calibri"/>
        <b/>
        <color rgb="FF000000"/>
        <sz val="11.0"/>
      </rPr>
      <t>G</t>
    </r>
  </si>
  <si>
    <t>DocTpAjusteBC</t>
  </si>
  <si>
    <t>Tipo de Ajuste da Base de cálculo</t>
  </si>
  <si>
    <t>N(3)</t>
  </si>
  <si>
    <r>
      <rPr>
        <rFont val="Calibri"/>
        <strike/>
        <color rgb="FF000000"/>
        <sz val="11.0"/>
      </rPr>
      <t xml:space="preserve">1 – Alimentação e bebidas/frigobar;
</t>
    </r>
    <r>
      <rPr>
        <rFont val="Calibri"/>
        <color rgb="FF000000"/>
        <sz val="11.0"/>
      </rPr>
      <t xml:space="preserve">2 – Materiais;
</t>
    </r>
    <r>
      <rPr>
        <rFont val="Calibri"/>
        <strike/>
        <color rgb="FF000000"/>
        <sz val="11.0"/>
      </rPr>
      <t>3 - Produção Externa;
4 - Reembolso de despesas;</t>
    </r>
    <r>
      <rPr>
        <rFont val="Calibri"/>
        <color rgb="FF000000"/>
        <sz val="11.0"/>
      </rPr>
      <t xml:space="preserve">
5 – Repasse consorciado;
6 – Repasse plano de saúde;
7 – Serviços;
8 – Subempreitada de mão de obra;
9 - Profissional parceiro;
99 – Outras deduções exclusivas do ISSQN;
101 – Repasse de remuneração por intermediação de imóveis a demais
corretores envolvidos na operação
102 – Repasse de valores a fornecedor relativo a fornecimento
intermediado por agência de turismo
103 – Reembolso ou ressarcimento recebido por agência de propaganda e
publicidade por valores pagos relativos a serviços de produção externa por
conta e ordem de terceiro
104 – Reembolso ou ressarcimento recebido por agência de propaganda e
publicidade por valores pagos relativos a serviços de mídia por conta e
ordem de terceiro
105 – Glosa de Serviços de Saúde
199 – Outros reembolsos ou ressarcimentos recebidos por valores pagos relativos a
           operações por conta e ordem de terceiro
</t>
    </r>
    <r>
      <rPr>
        <rFont val="Calibri"/>
        <b/>
        <color rgb="FF000000"/>
        <sz val="11.0"/>
      </rPr>
      <t>Uso específico para Reforma Tributária</t>
    </r>
  </si>
  <si>
    <t>DocxTpAjusteBC</t>
  </si>
  <si>
    <t>Descrição do ajuste</t>
  </si>
  <si>
    <r>
      <rPr>
        <rFont val="Calibri"/>
        <color rgb="FF000000"/>
        <sz val="11.0"/>
      </rPr>
      <t xml:space="preserve">Quando o tipo informado (tpAjusteBC) é "99 – Outras
deduções exclusivas do ISSQN"
ou
"199 – Outros reembolsos ou ressarcimentos recebidos por valores pagos
relativos a operações por conta e ordem de terceiro".
</t>
    </r>
    <r>
      <rPr>
        <rFont val="Calibri"/>
        <b/>
        <color rgb="FF000000"/>
        <sz val="11.0"/>
      </rPr>
      <t>Uso específico para Reforma Tributária</t>
    </r>
  </si>
  <si>
    <t>DocValTotDoc</t>
  </si>
  <si>
    <t>Valor monetário total do documento</t>
  </si>
  <si>
    <r>
      <rPr>
        <rFont val="Calibri"/>
        <color theme="1"/>
        <sz val="11.0"/>
      </rPr>
      <t xml:space="preserve">Valor monetário total do documento informado (R$).
</t>
    </r>
    <r>
      <rPr>
        <rFont val="Calibri"/>
        <b/>
        <color theme="1"/>
        <sz val="11.0"/>
      </rPr>
      <t>Uso específico para Reforma Tributária</t>
    </r>
  </si>
  <si>
    <t>DocValAjusteAplic</t>
  </si>
  <si>
    <t>Valor monetário efetivamente utilizado para ajuste</t>
  </si>
  <si>
    <r>
      <rPr>
        <rFont val="Calibri"/>
        <color theme="1"/>
        <sz val="11.0"/>
      </rPr>
      <t xml:space="preserve">Deve ser menor ou igual ao valor total do documento (vTotDoc).
</t>
    </r>
    <r>
      <rPr>
        <rFont val="Calibri"/>
        <b/>
        <color theme="1"/>
        <sz val="11.0"/>
      </rPr>
      <t>Uso específico para Reforma Tributária</t>
    </r>
  </si>
  <si>
    <t>DocDataEmissao</t>
  </si>
  <si>
    <t>Data da emissão do documento dedutível</t>
  </si>
  <si>
    <r>
      <rPr>
        <rFont val="Calibri"/>
        <color rgb="FF000000"/>
        <sz val="11.0"/>
      </rPr>
      <t>E</t>
    </r>
  </si>
  <si>
    <t>DocDCompetencia</t>
  </si>
  <si>
    <t>Data da competência do documento dedutível</t>
  </si>
  <si>
    <r>
      <rPr>
        <rFont val="Calibri"/>
        <color rgb="FF000000"/>
        <sz val="11.0"/>
      </rPr>
      <t>E</t>
    </r>
  </si>
  <si>
    <t>RepositorioNacional</t>
  </si>
  <si>
    <t>Grupo de informações de documentos fiscais eletrônicos que se encontram no repositório nacional.</t>
  </si>
  <si>
    <t>CG</t>
  </si>
  <si>
    <t>DocTipoChaveDFe</t>
  </si>
  <si>
    <t>Documento fiscal a que se refere a chaveDfe que seja um dos documentos do Repositório Nacional</t>
  </si>
  <si>
    <r>
      <rPr>
        <rFont val="Calibri"/>
        <color theme="1"/>
        <sz val="11.0"/>
      </rPr>
      <t>E</t>
    </r>
  </si>
  <si>
    <r>
      <rPr>
        <rFont val="Calibri"/>
        <b val="0"/>
        <color rgb="FF000000"/>
        <sz val="11.0"/>
      </rPr>
      <t xml:space="preserve">1 = NFS-e;
2 = NF-e;
 3 = CT-e;
9 = Outro
</t>
    </r>
    <r>
      <rPr>
        <rFont val="Calibri"/>
        <b/>
        <color rgb="FF000000"/>
        <sz val="11.0"/>
      </rPr>
      <t>Uso específico para Reforma Tributária</t>
    </r>
  </si>
  <si>
    <t>DocxTipoChaveDFe</t>
  </si>
  <si>
    <t>Descrição da DF-e a que se refere a DocchaveDfe que seja um dos documentos do Repositório Nacional. Deve ser preenchido apenas quando tipoChaveDFe = 9 (Outro).</t>
  </si>
  <si>
    <r>
      <rPr>
        <rFont val="Calibri"/>
        <color theme="1"/>
        <sz val="11.0"/>
      </rPr>
      <t>E</t>
    </r>
  </si>
  <si>
    <t>DocChaveDFe</t>
  </si>
  <si>
    <t>Chave do Documento Fiscal eletrônico do repositório nacional referenciado para os casos de operações já tributadas.</t>
  </si>
  <si>
    <r>
      <rPr>
        <rFont val="Calibri"/>
        <color theme="1"/>
        <sz val="11.0"/>
      </rPr>
      <t>E</t>
    </r>
  </si>
  <si>
    <r>
      <rPr>
        <rFont val="Calibri"/>
        <color theme="1"/>
        <sz val="11.0"/>
      </rPr>
      <t xml:space="preserve">Deve ser preenchido apenas quando tipoChaveDFe = 9 (Outro)
</t>
    </r>
    <r>
      <rPr>
        <rFont val="Calibri"/>
        <b/>
        <color theme="1"/>
        <sz val="11.0"/>
      </rPr>
      <t>Uso específico para Reforma Tributária</t>
    </r>
  </si>
  <si>
    <t>DocumentoFiscalOutro</t>
  </si>
  <si>
    <t>Grupo de informações de documento não fiscal.</t>
  </si>
  <si>
    <t>DoccMun</t>
  </si>
  <si>
    <t>Código do município emissor do documento fiscal que não se encontra no repositório nacional</t>
  </si>
  <si>
    <r>
      <rPr>
        <rFont val="Calibri"/>
        <color theme="1"/>
        <sz val="11.0"/>
      </rPr>
      <t>E</t>
    </r>
  </si>
  <si>
    <t xml:space="preserve"> C(255)</t>
  </si>
  <si>
    <r>
      <rPr>
        <rFont val="Calibri"/>
        <b val="0"/>
        <color rgb="FF000000"/>
        <sz val="11.0"/>
      </rPr>
      <t xml:space="preserve">Apenas para documentos não fiscais
</t>
    </r>
    <r>
      <rPr>
        <rFont val="Calibri"/>
        <b/>
        <color rgb="FF000000"/>
        <sz val="11.0"/>
      </rPr>
      <t>Uso específico para Reforma Tributária</t>
    </r>
  </si>
  <si>
    <t>Número do documento fiscal/Não fiscal</t>
  </si>
  <si>
    <r>
      <rPr>
        <rFont val="Calibri"/>
        <color rgb="FF000000"/>
        <sz val="11.0"/>
      </rPr>
      <t>E</t>
    </r>
  </si>
  <si>
    <t>DocDescricao</t>
  </si>
  <si>
    <t>Descrição do documento fiscal/Não fiscal</t>
  </si>
  <si>
    <r>
      <rPr>
        <rFont val="Calibri"/>
        <color rgb="FF000000"/>
        <sz val="11.0"/>
      </rPr>
      <t>E</t>
    </r>
  </si>
  <si>
    <t>Fornecedor</t>
  </si>
  <si>
    <t>Grupo de informações do fornecedor do documento referenciado</t>
  </si>
  <si>
    <t>DocCNPJ</t>
  </si>
  <si>
    <t>Número da inscrição federal (CNPJ) do fornecedor do documento</t>
  </si>
  <si>
    <r>
      <rPr>
        <rFont val="Calibri"/>
        <color rgb="FF000000"/>
        <sz val="11.0"/>
      </rPr>
      <t>E</t>
    </r>
  </si>
  <si>
    <t>DocCPF</t>
  </si>
  <si>
    <t>Número da inscrição federal (CPF) do fornecedor</t>
  </si>
  <si>
    <r>
      <rPr>
        <rFont val="Calibri"/>
        <color rgb="FF000000"/>
        <sz val="11.0"/>
      </rPr>
      <t>E</t>
    </r>
  </si>
  <si>
    <t xml:space="preserve"> V(11)</t>
  </si>
  <si>
    <t>DocNIF</t>
  </si>
  <si>
    <t>Este elemento só deverá ser preenchido para fornecedores não residentes no Brasil.</t>
  </si>
  <si>
    <r>
      <rPr>
        <rFont val="Calibri"/>
        <color rgb="FF000000"/>
        <sz val="11.0"/>
      </rPr>
      <t>E</t>
    </r>
  </si>
  <si>
    <t>DoccNaoNIF</t>
  </si>
  <si>
    <r>
      <rPr>
        <rFont val="Calibri"/>
        <color rgb="FF000000"/>
        <sz val="11.0"/>
      </rPr>
      <t>E</t>
    </r>
  </si>
  <si>
    <r>
      <rPr>
        <rFont val="Calibri"/>
        <b val="0"/>
        <color rgb="FF000000"/>
        <sz val="11.0"/>
      </rPr>
      <t xml:space="preserve">0 - Não informado na nota de origem;
1 - Dispensado do NIF;
2 - Não exigência do NIF;
</t>
    </r>
    <r>
      <rPr>
        <rFont val="Calibri"/>
        <b/>
        <color rgb="FF000000"/>
        <sz val="11.0"/>
      </rPr>
      <t>Uso específico para Reforma Tributária</t>
    </r>
  </si>
  <si>
    <t>DocxNome</t>
  </si>
  <si>
    <t>Nome / Razão Social do fornecedor.</t>
  </si>
  <si>
    <r>
      <rPr>
        <rFont val="Calibri"/>
        <color rgb="FF000000"/>
        <sz val="11.0"/>
      </rPr>
      <t>E</t>
    </r>
  </si>
  <si>
    <t xml:space="preserve"> C(150)</t>
  </si>
  <si>
    <t>DocEndereco</t>
  </si>
  <si>
    <t>Endereço do Fornecedor do documento</t>
  </si>
  <si>
    <r>
      <rPr>
        <rFont val="Calibri"/>
        <color rgb="FF000000"/>
        <sz val="11.0"/>
      </rPr>
      <t>E</t>
    </r>
  </si>
  <si>
    <t>Código do município do endereço do fornecedor.</t>
  </si>
  <si>
    <r>
      <rPr>
        <rFont val="Calibri"/>
        <color rgb="FF000000"/>
        <sz val="11.0"/>
      </rPr>
      <t>E</t>
    </r>
  </si>
  <si>
    <t>DocxMun</t>
  </si>
  <si>
    <t>Nome da cidade no exterior do fornecedor</t>
  </si>
  <si>
    <r>
      <rPr>
        <rFont val="Calibri"/>
        <color rgb="FF000000"/>
        <sz val="11.0"/>
      </rPr>
      <t>E</t>
    </r>
  </si>
  <si>
    <t>DocCEP</t>
  </si>
  <si>
    <t>Código alfanumérico do Endereçamento Postal exterior do fornecedor</t>
  </si>
  <si>
    <r>
      <rPr>
        <rFont val="Calibri"/>
        <color rgb="FF000000"/>
        <sz val="11.0"/>
      </rPr>
      <t>E</t>
    </r>
  </si>
  <si>
    <t>DocEstProvReg</t>
  </si>
  <si>
    <t>stado, província ou região da cidade no exterior do fornecedor</t>
  </si>
  <si>
    <r>
      <rPr>
        <rFont val="Calibri"/>
        <color rgb="FF000000"/>
        <sz val="11.0"/>
      </rPr>
      <t>E</t>
    </r>
  </si>
  <si>
    <t>DoccPais</t>
  </si>
  <si>
    <t>Código do país do endereço do prestador do fornecedor.</t>
  </si>
  <si>
    <r>
      <rPr>
        <rFont val="Calibri"/>
        <color rgb="FF000000"/>
        <sz val="11.0"/>
      </rPr>
      <t>E</t>
    </r>
  </si>
  <si>
    <t>DoctpReeRepRes</t>
  </si>
  <si>
    <t>Tipo de valor incluído neste documento, recebido por motivo de estarem relacionadas a operações de terceiros, objeto de reembolso, repasse ou ressarcimento pelo recebedor, já tributados e aqui referenciados</t>
  </si>
  <si>
    <r>
      <rPr>
        <rFont val="Calibri"/>
        <color rgb="FF000000"/>
        <sz val="11.0"/>
      </rPr>
      <t>E</t>
    </r>
  </si>
  <si>
    <r>
      <rPr>
        <rFont val="Calibri"/>
        <b val="0"/>
        <color rgb="FF000000"/>
        <sz val="11.0"/>
      </rPr>
      <t xml:space="preserve"> 01 = Repasse de remuneração por intermediação de imóveis a demais corretores envolvidos na operação
 02 = Repasse de valores a fornecedor relativo a fornecimento intermediado por agência de turismo
 03 = Reembolso ou ressarcimento recebido por agência de propaganda e publicidade por valores pagos relativos a serviços de produção externa por conta  e ordem de terceiro
 04 = Reembolso ou ressarcimento recebido por agência de propaganda e publicidade por valores pagos relativos a serviços de mídia por conta e ordem de terceiro
 99 = Outros reembolsos ou ressarcimentos recebidos por valores pagos relativos a operações por conta e ordem de terceiro
</t>
    </r>
    <r>
      <rPr>
        <rFont val="Calibri"/>
        <b/>
        <color rgb="FF000000"/>
        <sz val="11.0"/>
      </rPr>
      <t>Exclusivo INFISC - Modelo Nacional</t>
    </r>
  </si>
  <si>
    <t>DocDescTpReeRepRes</t>
  </si>
  <si>
    <t>Descrição do reembolso ou ressarcimento</t>
  </si>
  <si>
    <r>
      <rPr>
        <rFont val="Calibri"/>
        <color rgb="FF000000"/>
        <sz val="11.0"/>
      </rPr>
      <t>E</t>
    </r>
  </si>
  <si>
    <t>C(150)</t>
  </si>
  <si>
    <r>
      <rPr>
        <rFont val="Calibri"/>
        <color rgb="FF000000"/>
        <sz val="11.0"/>
      </rPr>
      <t xml:space="preserve">Quando a opção é 99 – Outros reembolsos ou ressarcimentos recebidos por valores pagos relativos a operações por conta e ordem de terceiro
</t>
    </r>
    <r>
      <rPr>
        <rFont val="Calibri"/>
        <b/>
        <color rgb="FF000000"/>
        <sz val="11.0"/>
      </rPr>
      <t>Exclusivo INFISC - Modelo Nacional</t>
    </r>
  </si>
  <si>
    <t>DocValorReeRepRes</t>
  </si>
  <si>
    <t>Valor monetário (total ou parcial, conforme documento informado) utilizado para não inclusão na base de cálculo do ISS e do IBS e da CBS da NFS-e que está sendo emitida (R$).</t>
  </si>
  <si>
    <r>
      <rPr>
        <rFont val="Calibri"/>
        <color rgb="FF000000"/>
        <sz val="11.0"/>
      </rPr>
      <t>E</t>
    </r>
  </si>
  <si>
    <t>Exclusivo INFISC - Modelo Nacional</t>
  </si>
  <si>
    <t>ListaNFSeReferenciadas</t>
  </si>
  <si>
    <t>Grupo de NFS-e referenciadas.</t>
  </si>
  <si>
    <r>
      <rPr>
        <rFont val="Calibri"/>
        <b/>
        <color rgb="FF000000"/>
        <sz val="11.0"/>
      </rPr>
      <t>G</t>
    </r>
  </si>
  <si>
    <t>NFSeReferenciada</t>
  </si>
  <si>
    <t>DocChaveNFSe</t>
  </si>
  <si>
    <t>Chave da NFS-e referenciada.</t>
  </si>
  <si>
    <r>
      <rPr>
        <rFont val="Calibri"/>
        <color rgb="FF000000"/>
        <sz val="11.0"/>
      </rPr>
      <t>E</t>
    </r>
  </si>
  <si>
    <t>ListaBensMoveis</t>
  </si>
  <si>
    <t>Grupo de bens móveis objetos de locação</t>
  </si>
  <si>
    <t>BemMovel</t>
  </si>
  <si>
    <t>BemMovelcNCM</t>
  </si>
  <si>
    <t>Código da Nomenclatura Comum do Mercosul
(NCM) do bem móvel objeto da locação</t>
  </si>
  <si>
    <t xml:space="preserve"> C(8)</t>
  </si>
  <si>
    <t>BemMovelxNCM</t>
  </si>
  <si>
    <t>Descrição do Bem Móvel objeto de locação</t>
  </si>
  <si>
    <r>
      <rPr>
        <rFont val="Calibri"/>
        <color theme="1"/>
        <sz val="11.0"/>
      </rPr>
      <t>E</t>
    </r>
  </si>
  <si>
    <t xml:space="preserve"> V(150)</t>
  </si>
  <si>
    <t>BemMovelqtdNCM</t>
  </si>
  <si>
    <t>Quantidade de Bem Móvel objeto de locação</t>
  </si>
  <si>
    <r>
      <rPr>
        <rFont val="Calibri"/>
        <color theme="1"/>
        <sz val="11.0"/>
      </rPr>
      <t>E</t>
    </r>
  </si>
  <si>
    <t xml:space="preserve"> N(3)</t>
  </si>
  <si>
    <t>ListaDedIBSCBS</t>
  </si>
  <si>
    <t>Grupo de deduções e reduções do IBS e da CBS</t>
  </si>
  <si>
    <t>DedIBSCBS</t>
  </si>
  <si>
    <t>DedtpRedIBSCBS</t>
  </si>
  <si>
    <t xml:space="preserve">Tipo parcela não integrante da base de cálculo do IBS e da CBS </t>
  </si>
  <si>
    <r>
      <rPr>
        <rFont val="Calibri"/>
        <color theme="1"/>
        <sz val="11.0"/>
      </rPr>
      <t xml:space="preserve">Tipo de parcela não integrante da base de cálculo do IBS e da CBS
 01 = Tributos inclusos no aluguel ou equivalente (Ex.: IPTU, Contribuição de melhoria) - apenas para NBS 1.1002.10.00 ou 1.1002.20.00
 02 = Emolumento incluso no aluguel ou equivalente - apenas para NBS 1.1002.10.00 ou 1.1002.20.00
 03 = Condomínio incluso no aluguel ou equivalente - apenas para NBS 1.1002.10.00 ou 1.1002.20.00
04 = Redutor Social - apenas para a NBS 1.1002.10.00
 05 = Glosa de Serviços Médicos
 99 = Outras parcelas inclusa
</t>
    </r>
    <r>
      <rPr>
        <rFont val="Calibri"/>
        <b/>
        <color theme="1"/>
        <sz val="11.0"/>
      </rPr>
      <t>Uso específico para Reforma Tributária</t>
    </r>
  </si>
  <si>
    <t>DedxTpRedIBSCBS</t>
  </si>
  <si>
    <t xml:space="preserve">Descrição Tipo parcela não integrante da base de cálculo do IBS e da CBS </t>
  </si>
  <si>
    <r>
      <rPr>
        <rFont val="Calibri"/>
        <color theme="1"/>
        <sz val="11.0"/>
      </rPr>
      <t>E</t>
    </r>
  </si>
  <si>
    <r>
      <rPr>
        <rFont val="Calibri"/>
        <color theme="1"/>
        <sz val="11.0"/>
      </rPr>
      <t xml:space="preserve">Descrição do tipo de parcela não integrante da base de cálculo do IBS e da CBS quando a opção for “99 = Outras parcelas inclusas no aluguel ou equivalente"
</t>
    </r>
    <r>
      <rPr>
        <rFont val="Calibri"/>
        <b/>
        <color theme="1"/>
        <sz val="11.0"/>
      </rPr>
      <t>Uso específico para Reforma Tributária</t>
    </r>
  </si>
  <si>
    <t>DedvlrRedIBSCBS</t>
  </si>
  <si>
    <t>Valor utilizado para não inclusão na base de cálculo IBS e CBS da NFS-e</t>
  </si>
  <si>
    <r>
      <rPr>
        <rFont val="Calibri"/>
        <color theme="1"/>
        <sz val="11.0"/>
      </rPr>
      <t>E</t>
    </r>
  </si>
  <si>
    <r>
      <rPr>
        <rFont val="Calibri"/>
        <color theme="1"/>
        <sz val="11.0"/>
      </rPr>
      <t xml:space="preserve">
Valor monetário (total ou parcial) utilizado para não inclusão na base de cálculo do IBS e da CBS da NFS-e que está sendo emitida (R$).
</t>
    </r>
    <r>
      <rPr>
        <rFont val="Calibri"/>
        <b/>
        <color theme="1"/>
        <sz val="11.0"/>
      </rPr>
      <t>Uso específico para Reforma Tributária</t>
    </r>
  </si>
  <si>
    <t>ListaNFSeRefPagAntecipado</t>
  </si>
  <si>
    <t>Grupo de referenciamento das NFS-e de pagamento antecipado para abatimento</t>
  </si>
  <si>
    <t>NFSeRefPagAntecipado</t>
  </si>
  <si>
    <t>DocRefPgaAntNFSe</t>
  </si>
  <si>
    <t>Chave da NFS-e de pagamento antecipado referenciada</t>
  </si>
  <si>
    <t>ListaPagamentoVinculado</t>
  </si>
  <si>
    <t>Grupo de informações da vinculação com a transação de pagamento.</t>
  </si>
  <si>
    <t>Transações de pagamento por NFS-e.</t>
  </si>
  <si>
    <t>PagamentoVinculado</t>
  </si>
  <si>
    <t>Dados de um pagamento vinculado à NFS-e.</t>
  </si>
  <si>
    <t>Lista de Subgrupo de cada pagamento.</t>
  </si>
  <si>
    <t>PgtoNumero</t>
  </si>
  <si>
    <t>Numerador único de cada pagamento.</t>
  </si>
  <si>
    <r>
      <rPr>
        <rFont val="Calibri"/>
        <color theme="1"/>
        <sz val="11.0"/>
      </rPr>
      <t xml:space="preserve">Identificador sequencial do pagamento.
</t>
    </r>
    <r>
      <rPr>
        <rFont val="Calibri"/>
        <b/>
        <color theme="1"/>
        <sz val="11.0"/>
      </rPr>
      <t>Uso específico para Reforma Tributária</t>
    </r>
  </si>
  <si>
    <t>PgtoIdTransacao</t>
  </si>
  <si>
    <t>Identificador específico da transação financeira.</t>
  </si>
  <si>
    <t>V(35)</t>
  </si>
  <si>
    <r>
      <rPr>
        <rFont val="Calibri"/>
        <color theme="1"/>
        <sz val="11.0"/>
      </rPr>
      <t xml:space="preserve">ID da transação (ex: endToEndId do PIX, linha digitável do boleto).
</t>
    </r>
    <r>
      <rPr>
        <rFont val="Calibri"/>
        <b/>
        <color theme="1"/>
        <sz val="11.0"/>
      </rPr>
      <t>Uso específico para Reforma Tributária</t>
    </r>
  </si>
  <si>
    <t>PgtoTpMeioPgto</t>
  </si>
  <si>
    <t>Código do  tipo de meio de pagamento utilizado</t>
  </si>
  <si>
    <r>
      <rPr>
        <rFont val="Calibri"/>
        <color theme="1"/>
        <sz val="11.0"/>
      </rPr>
      <t xml:space="preserve">15=Boleto | 17=PIX QRCode dinâmico | 18=TED | 20=PIX chave ou QRCode estático | 23=PIX automático | 24=TEF/booktransfer
</t>
    </r>
    <r>
      <rPr>
        <rFont val="Calibri"/>
        <b/>
        <color theme="1"/>
        <sz val="11.0"/>
      </rPr>
      <t>Uso específico para Reforma Tributária</t>
    </r>
  </si>
  <si>
    <t>PgtoCNPJReceb</t>
  </si>
  <si>
    <t>CNPJ completo do recebedor do pagamento (fornecedor, plataforma ou entidade recebedora).</t>
  </si>
  <si>
    <r>
      <rPr>
        <rFont val="Calibri"/>
        <color theme="1"/>
        <sz val="11.0"/>
      </rPr>
      <t xml:space="preserve">CNPJ alfanumérico do recebedor.
</t>
    </r>
    <r>
      <rPr>
        <rFont val="Calibri"/>
        <b/>
        <color theme="1"/>
        <sz val="11.0"/>
      </rPr>
      <t>Uso específico para Reforma Tributária</t>
    </r>
  </si>
  <si>
    <t>PgtoCNPJBasePSP</t>
  </si>
  <si>
    <t>CNPJ base da instituição financeira ou PSP utilizada pelo recebedor.</t>
  </si>
  <si>
    <r>
      <rPr>
        <rFont val="Calibri"/>
        <color theme="1"/>
        <sz val="11.0"/>
      </rPr>
      <t xml:space="preserve">CNPJ base do PSP/banco recebedor.
</t>
    </r>
    <r>
      <rPr>
        <rFont val="Calibri"/>
        <b/>
        <color theme="1"/>
        <sz val="11.0"/>
      </rPr>
      <t>Uso específico para Reforma Tributária</t>
    </r>
  </si>
  <si>
    <t>Condominio</t>
  </si>
  <si>
    <t>Dados do condomínio</t>
  </si>
  <si>
    <t>CondDataVencOriginal</t>
  </si>
  <si>
    <t>Data de vencimento original
Ano, Mês e Dia (AAAA-MM-DD)</t>
  </si>
  <si>
    <r>
      <rPr>
        <rFont val="Calibri"/>
        <color theme="1"/>
        <sz val="11.0"/>
      </rPr>
      <t xml:space="preserve">(Informar a data de vencimento original das taxas e demais valores condominiais cobrados do condômino)
</t>
    </r>
    <r>
      <rPr>
        <rFont val="Calibri"/>
        <b/>
        <color theme="1"/>
        <sz val="11.0"/>
      </rPr>
      <t>Uso específico para Reforma Tributária</t>
    </r>
  </si>
  <si>
    <t>ListaCobranca</t>
  </si>
  <si>
    <t>Grupo de lista de cobrança</t>
  </si>
  <si>
    <t>Cobranca</t>
  </si>
  <si>
    <t>Dados da cobrança</t>
  </si>
  <si>
    <t>1-20</t>
  </si>
  <si>
    <t>CondTpCobranca</t>
  </si>
  <si>
    <t>Tipo de cobrança do condomínio</t>
  </si>
  <si>
    <r>
      <rPr>
        <rFont val="Calibri"/>
        <color theme="1"/>
        <sz val="11.0"/>
      </rPr>
      <t xml:space="preserve">01 - Condomínio Ordinário
02 - Condomínio Privativo
03 - Fundo De Promoção E Propaganda (FPP)
04 - Impostos e Taxas
05 - Fundo de Reserva
99 - Outra Cobrança
</t>
    </r>
    <r>
      <rPr>
        <rFont val="Calibri"/>
        <b/>
        <color theme="1"/>
        <sz val="11.0"/>
      </rPr>
      <t>Uso específico para Reforma Tributária</t>
    </r>
  </si>
  <si>
    <t>CondxTpCobranca</t>
  </si>
  <si>
    <t>Descrição do tipo de cobrança do condomínio</t>
  </si>
  <si>
    <t>CondValCobranca</t>
  </si>
  <si>
    <t>Valor da cobrança do condomínio</t>
  </si>
  <si>
    <r>
      <rPr>
        <rFont val="Calibri"/>
        <color theme="1"/>
        <sz val="11.0"/>
      </rPr>
      <t xml:space="preserve">Valor da cobrança em R$.
</t>
    </r>
    <r>
      <rPr>
        <rFont val="Calibri"/>
        <b/>
        <color theme="1"/>
        <sz val="11.0"/>
      </rPr>
      <t>Uso específico para Reforma Tributária</t>
    </r>
  </si>
  <si>
    <t>ListaDetCobranca</t>
  </si>
  <si>
    <t>Grupo de lista de detalhamento de cobrança</t>
  </si>
  <si>
    <t>DetCobranca</t>
  </si>
  <si>
    <t>Dados do detalhamento</t>
  </si>
  <si>
    <t>CondTpDetCobranca</t>
  </si>
  <si>
    <t>Tipo do detalhamento de cobrança do condomínio</t>
  </si>
  <si>
    <r>
      <rPr>
        <rFont val="Calibri"/>
        <color theme="1"/>
        <sz val="11.0"/>
      </rPr>
      <t xml:space="preserve">001 - Cond. Comum CRD | 002 - Cond. Comum M2 | 003 - Cond. Comum Fixo | 004 - Cond. Comum Fração | 005 - Cond. Comum Percentual | 006 - Condomínio CMM | 007 - Energia Elétrica | 008 - Água | 009 - Ar Condicionado | 010 - Telefone | 011 - Internet | 012 - Controle de Pragas | 013 - Exaustão | 014 - Gás | 015 - IPTU | 016 - Taxa Área | 017 - Manutenção | 018 - Multa | 019 - Seguro | 020 - Taxa Bombeiro | 021 - Taxa Administração | 022 - Taxa Foro | 023 - Limpeza | 024 - Taxa de Lixo | 025 - Tapume | 026 - Instalação Alarme | 027 - Segurança | 028 - Fundo de Promoção e Propaganda | 029 - Análise de Projeto | 030 - Fundo de Reserva | 031 - Laudos e Vistorias | 032 - Detecção de Fumaça | 033 - Reanálise de Projeto | 034 - Taxa Extra | 035 - Área Vaga | 036 - Condomínio Irrecuperável | 999 - Outro
</t>
    </r>
    <r>
      <rPr>
        <rFont val="Calibri"/>
        <b/>
        <color theme="1"/>
        <sz val="11.0"/>
      </rPr>
      <t>Uso específico para Reforma Tributária</t>
    </r>
  </si>
  <si>
    <t>A informação do grupo de informações de detalhamento das cobranças (gDetCobranca) é facultativo. Contudo, caso seja informado, o valor de tpDetCobranca deve ter correlação com o  valor informado em tpCobranca:
- Se tpCobranca = 01 então tpDetCobranca = (001, 002, 003, 004, 005, 006, 018, 0035, 036 ou 999);
-  Se tpCobranca = 02 então tpDetCobranca = (007, 008, 009, 010, 011, 012, 013, 014, 017, 018, 019, 023, 025, 026, 027, 029, 031, 032, 033, 034 ou 999);
- Se tpCobranca = 03 então tpDetCobranca = (018, 028 ou 999);
- Se tpCobranca = 04, então tpDetCobranca = (015, 016, 020, 021, 022, 024 ou 999);
- Se tpCobranca = 05, então tpDetCobranca = (018, 030 ou 999);
- Se tpCobranca = 99, então tpDetCobranca pode ter qualquer valor;</t>
  </si>
  <si>
    <t>CondxTpDetCobranca</t>
  </si>
  <si>
    <t>Descrição do tipo de detalhamento da cobrança.</t>
  </si>
  <si>
    <r>
      <rPr>
        <rFont val="Calibri"/>
        <b val="0"/>
        <color theme="1"/>
        <sz val="11.0"/>
      </rPr>
      <t xml:space="preserve">Somente deve ser informado quando tpDetCobranca = 999.
</t>
    </r>
    <r>
      <rPr>
        <rFont val="Calibri"/>
        <b/>
        <color theme="1"/>
        <sz val="11.0"/>
      </rPr>
      <t>Uso específico para Reforma Tributária</t>
    </r>
  </si>
  <si>
    <t>CondValDetCobranca</t>
  </si>
  <si>
    <t>Valor detalhado da cobrança em R$ que irá compor vCobranca</t>
  </si>
  <si>
    <t>ListaDesconto</t>
  </si>
  <si>
    <t>Grupo de informações dos descontos concedidos nas taxas e demais valores condominiais cobrados do condômino.</t>
  </si>
  <si>
    <t>Desconto</t>
  </si>
  <si>
    <t>Dados do desconto</t>
  </si>
  <si>
    <t>CondTpDesconto</t>
  </si>
  <si>
    <t>Tipo de desconto do condomínio</t>
  </si>
  <si>
    <r>
      <rPr>
        <rFont val="Calibri"/>
        <color theme="1"/>
        <sz val="11.0"/>
      </rPr>
      <t xml:space="preserve">1 - Desconto Incondicionado
2 - Desconto Condicionado
</t>
    </r>
    <r>
      <rPr>
        <rFont val="Calibri"/>
        <b/>
        <color theme="1"/>
        <sz val="11.0"/>
      </rPr>
      <t>Uso específico para Reforma Tributária</t>
    </r>
  </si>
  <si>
    <t>CondxTpDesconto</t>
  </si>
  <si>
    <t>Descrição do tipo de desconto do condomínio</t>
  </si>
  <si>
    <t>CondValDesconto</t>
  </si>
  <si>
    <t>Valor do desconto do condomínio</t>
  </si>
  <si>
    <r>
      <rPr>
        <rFont val="Calibri"/>
        <b val="0"/>
        <color theme="1"/>
        <sz val="11.0"/>
      </rPr>
      <t xml:space="preserve">Valor do desconto em R$.
</t>
    </r>
    <r>
      <rPr>
        <rFont val="Calibri"/>
        <b/>
        <color theme="1"/>
        <sz val="11.0"/>
      </rPr>
      <t>Uso específico para Reforma Tributária</t>
    </r>
  </si>
  <si>
    <t>Os valores informados em vDesconto devem corresponder aos valores de vDescIncond e vDescCond, conforme o tipo de desconto (tpDesconto) informado.</t>
  </si>
  <si>
    <t>Campos da Reforma Tributária</t>
  </si>
  <si>
    <t>Incremento/alteração para a Reforma Tributária</t>
  </si>
  <si>
    <t>tachado</t>
  </si>
  <si>
    <t>Campo removido</t>
  </si>
  <si>
    <t>Tipos</t>
  </si>
  <si>
    <t xml:space="preserve">
N(4.0) – Numérico inteiro com até 4 dígitos. Ex: 2015
N(16.2) – Numérico com até 16 dígitos no total, sendo 2 decimais. Ex: 123456789012.34
N(15.0) – Numérico inteiro com até 15 dígitos. Ex: 987654321012345
N(2.2) – Numérico com 2 dígitos inteiros e 2 casas decimais. Ex: 99.99
N(1.0) – Numérico inteiro de 1 dígito. Ex: 1
N(3.0) – Numérico inteiro de até 3 dígitos. Ex: 123
N(1) – Numérico inteiro de 1 dígito. Ex: 0
N(2.0) – Numérico com 2 dígitos inteiros. Ex: 25
N(6.2) – Numérico com 6 dígitos inteiros e 2 decimais. Ex: 123456.78
N(8.4) – Numérico com 8 dígitos inteiros e 4 decimais. Ex: 12345678.1234
N(15.2) – Numérico com 15 dígitos inteiros e 2 casas decimais. Ex: 999999999999999.99
N(6.4) – Numérico com 6 dígitos inteiros e 4 decimais. Ex: 123456.1234
N(7.0) – Numérico inteiro com até 7 dígitos. Ex: 1234567
N(7.4) – Numérico com 7 inteiros e 4 decimais. Ex: 1234567.1234
N(17.2) – Numérico com 17 dígitos inteiros e 2 decimais. Ex: 99999999999999999.99
N(19.0) – Numérico inteiro com 19 dígitos. Ex: 9999999999999999999
C(x) – Cadeia de caracteres com tamanho fixo de x caracteres. Ex: C(10), C(30), C(50), C(1), C(200)
V(x) – Campo de texto com tamanho variável de até x caracteres (equivalente ao VARCHAR). Ex: V(255), V(30), V(14), V(100)
Date – Data no formato AAAA-MM-DD. Ex: 2025-06-09
DateTime – Data e hora no formato AAAA-MM-DDTHH:mm:ss. Ex: 2025-06-09T14:30:00
Obs: Alguns campos aparecem com apenas traço (-) ou estão em branco. Isso indica que o campo representa o nome de um Grupo.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</si>
</sst>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-m"/>
  </numFmts>
  <fonts count="28">
    <font>
      <sz val="11.0"/>
      <color rgb="FF000000"/>
      <name val="Arial"/>
      <scheme val="minor"/>
    </font>
    <font>
      <sz val="11.0"/>
      <color rgb="FF000000"/>
      <name val="Calibri"/>
    </font>
    <font>
      <b/>
      <sz val="11.0"/>
      <color rgb="FF000000"/>
      <name val="Calibri"/>
    </font>
    <font>
      <b/>
      <sz val="10.0"/>
      <color rgb="FF000000"/>
      <name val="Tahoma"/>
    </font>
    <font>
      <b/>
      <color theme="1"/>
      <name val="Calibri"/>
    </font>
    <font>
      <color theme="1"/>
      <name val="Calibri"/>
    </font>
    <font/>
    <font>
      <sz val="10.0"/>
      <color rgb="FF000000"/>
      <name val="Tahoma"/>
    </font>
    <font>
      <b/>
      <sz val="10.0"/>
      <color rgb="FF000000"/>
      <name val="Arial"/>
    </font>
    <font>
      <b/>
      <u/>
      <sz val="11.0"/>
      <color rgb="FF0000FF"/>
      <name val="Calibri"/>
    </font>
    <font>
      <sz val="10.0"/>
      <color rgb="FF000000"/>
      <name val="Arial"/>
    </font>
    <font>
      <u/>
      <sz val="11.0"/>
      <color rgb="FF000000"/>
      <name val="Calibri"/>
    </font>
    <font>
      <strike/>
      <sz val="10.0"/>
      <color rgb="FF000000"/>
      <name val="Arial"/>
    </font>
    <font>
      <strike/>
      <sz val="11.0"/>
      <color rgb="FF000000"/>
      <name val="Calibri"/>
    </font>
    <font>
      <b/>
      <strike/>
      <sz val="11.0"/>
      <color rgb="FF000000"/>
      <name val="Calibri"/>
    </font>
    <font>
      <u/>
      <sz val="11.0"/>
      <color rgb="FF000000"/>
      <name val="Calibri"/>
    </font>
    <font>
      <b/>
      <sz val="11.0"/>
      <color rgb="FF000000"/>
      <name val="Arial"/>
      <scheme val="minor"/>
    </font>
    <font>
      <sz val="11.0"/>
      <color theme="1"/>
      <name val="Calibri"/>
    </font>
    <font>
      <b/>
      <sz val="10.0"/>
      <color rgb="FF000000"/>
      <name val="Arial"/>
      <scheme val="minor"/>
    </font>
    <font>
      <sz val="10.0"/>
      <color theme="1"/>
      <name val="Calibri"/>
    </font>
    <font>
      <sz val="10.0"/>
      <color theme="1"/>
      <name val="Arial"/>
    </font>
    <font>
      <b/>
      <sz val="11.0"/>
      <color theme="1"/>
      <name val="Calibri"/>
    </font>
    <font>
      <sz val="11.0"/>
      <color theme="1"/>
      <name val="Arial"/>
    </font>
    <font>
      <strike/>
      <sz val="11.0"/>
      <color theme="1"/>
      <name val="Calibri"/>
    </font>
    <font>
      <color theme="1"/>
      <name val="Arial"/>
      <scheme val="minor"/>
    </font>
    <font>
      <b/>
      <sz val="11.0"/>
      <color theme="1"/>
      <name val="Arial"/>
    </font>
    <font>
      <sz val="10.0"/>
      <color rgb="FF000000"/>
      <name val="Calibri"/>
    </font>
    <font>
      <b/>
      <sz val="10.0"/>
      <color rgb="FF0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8DB3E2"/>
        <bgColor rgb="FF8DB3E2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2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/>
      <bottom/>
    </border>
    <border>
      <left/>
      <right/>
      <bottom/>
    </border>
    <border>
      <left/>
      <bottom/>
    </border>
    <border>
      <right/>
      <top/>
      <bottom/>
    </border>
    <border>
      <left/>
      <top/>
      <bottom/>
    </border>
    <border>
      <right/>
      <top/>
    </border>
    <border>
      <left/>
      <right/>
    </border>
    <border>
      <left/>
      <right/>
      <top/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/>
      <top/>
    </border>
    <border>
      <top/>
      <bottom/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9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horizontal="left" shrinkToFit="0" vertical="bottom" wrapText="0"/>
    </xf>
    <xf borderId="2" fillId="2" fontId="3" numFmtId="0" xfId="0" applyAlignment="1" applyBorder="1" applyFill="1" applyFont="1">
      <alignment horizontal="center" shrinkToFit="0" vertical="center" wrapText="0"/>
    </xf>
    <xf borderId="1" fillId="2" fontId="4" numFmtId="0" xfId="0" applyAlignment="1" applyBorder="1" applyFill="1" applyFont="1">
      <alignment horizontal="center" readingOrder="0"/>
    </xf>
    <xf borderId="0" fillId="0" fontId="5" numFmtId="0" xfId="0" applyFont="1"/>
    <xf borderId="2" fillId="2" fontId="3" numFmtId="0" xfId="0" applyAlignment="1" applyBorder="1" applyFill="1" applyFont="1">
      <alignment horizontal="left" shrinkToFit="0" vertical="center" wrapText="0"/>
    </xf>
    <xf borderId="3" fillId="2" fontId="2" numFmtId="0" xfId="0" applyAlignment="1" applyBorder="1" applyFill="1" applyFont="1">
      <alignment horizontal="center" shrinkToFit="0" vertical="bottom" wrapText="0"/>
    </xf>
    <xf borderId="4" fillId="0" fontId="6" numFmtId="0" xfId="0" applyBorder="1" applyFont="1"/>
    <xf borderId="5" fillId="0" fontId="6" numFmtId="0" xfId="0" applyBorder="1" applyFont="1"/>
    <xf borderId="1" fillId="0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left" readingOrder="0"/>
    </xf>
    <xf borderId="6" fillId="3" fontId="7" numFmtId="0" xfId="0" applyAlignment="1" applyBorder="1" applyFill="1" applyFont="1">
      <alignment shrinkToFit="0" vertical="center" wrapText="0"/>
    </xf>
    <xf borderId="1" fillId="2" fontId="8" numFmtId="4" xfId="0" applyAlignment="1" applyBorder="1" applyFill="1" applyFont="1" applyNumberFormat="1">
      <alignment horizontal="center" readingOrder="0" shrinkToFit="0" vertical="center" wrapText="0"/>
    </xf>
    <xf borderId="1" fillId="2" fontId="8" numFmtId="1" xfId="0" applyAlignment="1" applyBorder="1" applyFill="1" applyFont="1" applyNumberFormat="1">
      <alignment horizontal="center" shrinkToFit="0" vertical="center" wrapText="0"/>
    </xf>
    <xf borderId="1" fillId="2" fontId="2" numFmtId="0" xfId="0" applyAlignment="1" applyBorder="1" applyFill="1" applyFont="1">
      <alignment horizontal="center" readingOrder="0" shrinkToFit="0" vertical="center" wrapText="0"/>
    </xf>
    <xf borderId="1" fillId="2" fontId="2" numFmtId="0" xfId="0" applyAlignment="1" applyBorder="1" applyFill="1" applyFont="1">
      <alignment horizontal="center" shrinkToFit="0" vertical="center" wrapText="1"/>
    </xf>
    <xf borderId="1" fillId="3" fontId="3" numFmtId="0" xfId="0" applyAlignment="1" applyBorder="1" applyFill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shrinkToFit="0" vertical="center" wrapText="0"/>
    </xf>
    <xf borderId="7" fillId="2" fontId="9" numFmtId="0" xfId="0" applyAlignment="1" applyBorder="1" applyFill="1" applyFont="1">
      <alignment horizontal="center" shrinkToFit="0" vertical="bottom" wrapText="0"/>
    </xf>
    <xf borderId="0" fillId="0" fontId="1" numFmtId="0" xfId="0" applyAlignment="1" applyFont="1">
      <alignment shrinkToFit="0" vertical="bottom" wrapText="0"/>
    </xf>
    <xf borderId="0" fillId="3" fontId="10" numFmtId="0" xfId="0" applyAlignment="1" applyFill="1" applyFont="1">
      <alignment horizontal="center" readingOrder="0" shrinkToFit="0" vertical="center" wrapText="0"/>
    </xf>
    <xf borderId="0" fillId="3" fontId="10" numFmtId="0" xfId="0" applyAlignment="1" applyFill="1" applyFont="1">
      <alignment horizontal="center" shrinkToFit="0" vertical="center" wrapText="0"/>
    </xf>
    <xf borderId="8" fillId="0" fontId="6" numFmtId="0" xfId="0" applyBorder="1" applyFont="1"/>
    <xf borderId="1" fillId="3" fontId="3" numFmtId="0" xfId="0" applyAlignment="1" applyBorder="1" applyFill="1" applyFont="1">
      <alignment horizontal="center" shrinkToFit="0" vertical="center" wrapText="0"/>
    </xf>
    <xf borderId="3" fillId="2" fontId="2" numFmtId="0" xfId="0" applyAlignment="1" applyBorder="1" applyFill="1" applyFont="1">
      <alignment horizontal="left" shrinkToFit="0" vertical="bottom" wrapText="0"/>
    </xf>
    <xf borderId="1" fillId="0" fontId="3" numFmtId="0" xfId="0" applyAlignment="1" applyBorder="1" applyFont="1">
      <alignment shrinkToFit="0" vertical="bottom" wrapText="0"/>
    </xf>
    <xf borderId="1" fillId="3" fontId="8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horizontal="left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shrinkToFit="0" vertical="bottom" wrapText="0"/>
    </xf>
    <xf borderId="1" fillId="0" fontId="3" numFmtId="49" xfId="0" applyAlignment="1" applyBorder="1" applyFont="1" applyNumberFormat="1">
      <alignment horizontal="center" shrinkToFit="0" vertical="bottom" wrapText="0"/>
    </xf>
    <xf borderId="1" fillId="0" fontId="1" numFmtId="0" xfId="0" applyAlignment="1" applyBorder="1" applyFont="1">
      <alignment horizontal="center" shrinkToFit="0" vertical="bottom" wrapText="0"/>
    </xf>
    <xf borderId="1" fillId="0" fontId="1" numFmtId="0" xfId="0" applyAlignment="1" applyBorder="1" applyFont="1">
      <alignment horizontal="left" shrinkToFit="0" vertical="bottom" wrapText="1"/>
    </xf>
    <xf borderId="0" fillId="0" fontId="1" numFmtId="0" xfId="0" applyAlignment="1" applyFont="1">
      <alignment horizontal="left" shrinkToFit="0" vertical="bottom" wrapText="0"/>
    </xf>
    <xf borderId="1" fillId="0" fontId="1" numFmtId="0" xfId="0" applyAlignment="1" applyBorder="1" applyFont="1">
      <alignment horizontal="left" shrinkToFit="0" vertical="bottom" wrapText="0"/>
    </xf>
    <xf borderId="1" fillId="3" fontId="8" numFmtId="1" xfId="0" applyAlignment="1" applyBorder="1" applyFill="1" applyFont="1" applyNumberFormat="1">
      <alignment horizontal="center" shrinkToFit="0" vertical="center" wrapText="0"/>
    </xf>
    <xf borderId="1" fillId="3" fontId="7" numFmtId="0" xfId="0" applyAlignment="1" applyBorder="1" applyFill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bottom" wrapText="1"/>
    </xf>
    <xf borderId="1" fillId="3" fontId="2" numFmtId="0" xfId="0" applyAlignment="1" applyBorder="1" applyFill="1" applyFont="1">
      <alignment horizontal="center" shrinkToFit="0" vertical="center" wrapText="0"/>
    </xf>
    <xf borderId="1" fillId="0" fontId="1" numFmtId="0" xfId="0" applyAlignment="1" applyBorder="1" applyFont="1">
      <alignment shrinkToFit="0" vertical="bottom" wrapText="0"/>
    </xf>
    <xf borderId="1" fillId="3" fontId="7" numFmtId="0" xfId="0" applyAlignment="1" applyBorder="1" applyFill="1" applyFont="1">
      <alignment horizontal="center" shrinkToFit="0" vertical="center" wrapText="0"/>
    </xf>
    <xf borderId="0" fillId="3" fontId="2" numFmtId="0" xfId="0" applyAlignment="1" applyFill="1" applyFont="1">
      <alignment horizontal="center" readingOrder="0" shrinkToFit="0" vertical="center" wrapText="1"/>
    </xf>
    <xf borderId="0" fillId="0" fontId="5" numFmtId="0" xfId="0" applyAlignment="1" applyFont="1">
      <alignment horizontal="center"/>
    </xf>
    <xf borderId="1" fillId="0" fontId="7" numFmtId="0" xfId="0" applyAlignment="1" applyBorder="1" applyFont="1">
      <alignment horizontal="left" shrinkToFit="0" vertical="bottom" wrapText="0"/>
    </xf>
    <xf borderId="1" fillId="3" fontId="2" numFmtId="49" xfId="0" applyAlignment="1" applyBorder="1" applyFill="1" applyFont="1" applyNumberFormat="1">
      <alignment horizontal="center" shrinkToFit="0" vertical="center" wrapText="0"/>
    </xf>
    <xf borderId="0" fillId="0" fontId="7" numFmtId="0" xfId="0" applyAlignment="1" applyFont="1">
      <alignment shrinkToFit="0" vertical="bottom" wrapText="0"/>
    </xf>
    <xf borderId="1" fillId="3" fontId="2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horizontal="center" readingOrder="0"/>
    </xf>
    <xf borderId="1" fillId="0" fontId="7" numFmtId="0" xfId="0" applyAlignment="1" applyBorder="1" applyFont="1">
      <alignment horizontal="center" shrinkToFit="0" vertical="center" wrapText="0"/>
    </xf>
    <xf borderId="0" fillId="3" fontId="8" numFmtId="0" xfId="0" applyAlignment="1" applyFill="1" applyFont="1">
      <alignment horizontal="center" shrinkToFit="0" vertical="center" wrapText="0"/>
    </xf>
    <xf borderId="1" fillId="0" fontId="7" numFmtId="0" xfId="0" applyAlignment="1" applyBorder="1" applyFont="1">
      <alignment horizontal="center" shrinkToFit="0" vertical="bottom" wrapText="0"/>
    </xf>
    <xf borderId="1" fillId="0" fontId="7" numFmtId="49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shrinkToFit="0" vertical="bottom" wrapText="0"/>
    </xf>
    <xf borderId="1" fillId="3" fontId="1" numFmtId="0" xfId="0" applyAlignment="1" applyBorder="1" applyFill="1" applyFont="1">
      <alignment horizontal="center" shrinkToFit="0" vertical="center" wrapText="1"/>
    </xf>
    <xf borderId="1" fillId="3" fontId="10" numFmtId="0" xfId="0" applyAlignment="1" applyBorder="1" applyFill="1" applyFont="1">
      <alignment horizontal="center" shrinkToFit="0" vertical="center" wrapText="1"/>
    </xf>
    <xf borderId="1" fillId="3" fontId="7" numFmtId="0" xfId="0" applyAlignment="1" applyBorder="1" applyFill="1" applyFont="1">
      <alignment shrinkToFit="0" vertical="center" wrapText="1"/>
    </xf>
    <xf borderId="1" fillId="3" fontId="10" numFmtId="1" xfId="0" applyAlignment="1" applyBorder="1" applyFill="1" applyFont="1" applyNumberFormat="1">
      <alignment horizontal="center" shrinkToFit="0" vertical="center" wrapText="0"/>
    </xf>
    <xf borderId="1" fillId="3" fontId="7" numFmtId="49" xfId="0" applyAlignment="1" applyBorder="1" applyFill="1" applyFont="1" applyNumberFormat="1">
      <alignment horizontal="center" shrinkToFit="0" vertical="center" wrapText="0"/>
    </xf>
    <xf borderId="1" fillId="3" fontId="1" numFmtId="0" xfId="0" applyAlignment="1" applyBorder="1" applyFill="1" applyFont="1">
      <alignment horizontal="center" shrinkToFit="0" vertical="center" wrapText="0"/>
    </xf>
    <xf borderId="1" fillId="3" fontId="1" numFmtId="49" xfId="0" applyAlignment="1" applyBorder="1" applyFill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left" shrinkToFit="0" vertical="center" wrapText="0"/>
    </xf>
    <xf borderId="1" fillId="0" fontId="7" numFmtId="0" xfId="0" applyAlignment="1" applyBorder="1" applyFont="1">
      <alignment shrinkToFit="0" vertical="center" wrapText="0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horizontal="left" shrinkToFit="0" vertical="bottom" wrapText="0"/>
    </xf>
    <xf borderId="0" fillId="0" fontId="1" numFmtId="0" xfId="0" applyAlignment="1" applyFont="1">
      <alignment horizontal="center" shrinkToFit="0" vertical="bottom" wrapText="0"/>
    </xf>
    <xf borderId="1" fillId="3" fontId="1" numFmtId="1" xfId="0" applyAlignment="1" applyBorder="1" applyFill="1" applyFont="1" applyNumberFormat="1">
      <alignment horizontal="center" shrinkToFit="0" vertical="center" wrapText="0"/>
    </xf>
    <xf borderId="6" fillId="3" fontId="7" numFmtId="49" xfId="0" applyAlignment="1" applyBorder="1" applyFill="1" applyFont="1" applyNumberFormat="1">
      <alignment shrinkToFit="0" vertical="center" wrapText="0"/>
    </xf>
    <xf borderId="6" fillId="3" fontId="7" numFmtId="0" xfId="0" applyAlignment="1" applyBorder="1" applyFill="1" applyFont="1">
      <alignment horizontal="center" shrinkToFit="0" vertical="center" wrapText="0"/>
    </xf>
    <xf borderId="1" fillId="3" fontId="1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left" shrinkToFit="0" vertical="bottom" wrapText="1"/>
    </xf>
    <xf borderId="1" fillId="3" fontId="11" numFmtId="0" xfId="0" applyAlignment="1" applyBorder="1" applyFill="1" applyFont="1">
      <alignment horizontal="center" shrinkToFit="0" vertical="center" wrapText="1"/>
    </xf>
    <xf borderId="1" fillId="3" fontId="1" numFmtId="0" xfId="0" applyAlignment="1" applyBorder="1" applyFill="1" applyFont="1">
      <alignment horizontal="center" readingOrder="0" shrinkToFit="0" vertical="center" wrapText="0"/>
    </xf>
    <xf borderId="1" fillId="4" fontId="1" numFmtId="0" xfId="0" applyAlignment="1" applyBorder="1" applyFill="1" applyFont="1">
      <alignment horizontal="center" readingOrder="0" shrinkToFit="0" vertical="center" wrapText="1"/>
    </xf>
    <xf borderId="1" fillId="5" fontId="10" numFmtId="0" xfId="0" applyAlignment="1" applyBorder="1" applyFill="1" applyFont="1">
      <alignment horizontal="center" shrinkToFit="0" vertical="center" wrapText="1"/>
    </xf>
    <xf borderId="1" fillId="5" fontId="10" numFmtId="1" xfId="0" applyAlignment="1" applyBorder="1" applyFill="1" applyFont="1" applyNumberFormat="1">
      <alignment horizontal="center" shrinkToFit="0" vertical="center" wrapText="0"/>
    </xf>
    <xf borderId="1" fillId="5" fontId="1" numFmtId="0" xfId="0" applyAlignment="1" applyBorder="1" applyFill="1" applyFont="1">
      <alignment horizontal="center" readingOrder="0" shrinkToFit="0" vertical="center" wrapText="0"/>
    </xf>
    <xf borderId="1" fillId="5" fontId="1" numFmtId="0" xfId="0" applyAlignment="1" applyBorder="1" applyFill="1" applyFont="1">
      <alignment horizontal="center" readingOrder="0" shrinkToFit="0" vertical="center" wrapText="1"/>
    </xf>
    <xf borderId="1" fillId="5" fontId="1" numFmtId="0" xfId="0" applyAlignment="1" applyBorder="1" applyFill="1" applyFont="1">
      <alignment horizontal="center" shrinkToFit="0" vertical="center" wrapText="0"/>
    </xf>
    <xf borderId="1" fillId="5" fontId="1" numFmtId="49" xfId="0" applyAlignment="1" applyBorder="1" applyFill="1" applyFont="1" applyNumberFormat="1">
      <alignment horizontal="center" readingOrder="0" shrinkToFit="0" vertical="center" wrapText="0"/>
    </xf>
    <xf borderId="1" fillId="5" fontId="1" numFmtId="1" xfId="0" applyAlignment="1" applyBorder="1" applyFill="1" applyFont="1" applyNumberFormat="1">
      <alignment horizontal="center" shrinkToFit="0" vertical="center" wrapText="0"/>
    </xf>
    <xf borderId="0" fillId="5" fontId="10" numFmtId="0" xfId="0" applyAlignment="1" applyFill="1" applyFont="1">
      <alignment horizontal="center" shrinkToFit="0" vertical="center" wrapText="0"/>
    </xf>
    <xf borderId="1" fillId="5" fontId="1" numFmtId="0" xfId="0" applyAlignment="1" applyBorder="1" applyFill="1" applyFont="1">
      <alignment horizontal="center" shrinkToFit="0" vertical="center" wrapText="1"/>
    </xf>
    <xf borderId="1" fillId="5" fontId="2" numFmtId="0" xfId="0" applyAlignment="1" applyBorder="1" applyFill="1" applyFont="1">
      <alignment horizontal="center" readingOrder="0" shrinkToFit="0" vertical="center" wrapText="1"/>
    </xf>
    <xf borderId="9" fillId="5" fontId="1" numFmtId="0" xfId="0" applyAlignment="1" applyBorder="1" applyFill="1" applyFont="1">
      <alignment horizontal="center" readingOrder="0" shrinkToFit="0" vertical="center" wrapText="1"/>
    </xf>
    <xf borderId="1" fillId="4" fontId="1" numFmtId="49" xfId="0" applyAlignment="1" applyBorder="1" applyFill="1" applyFont="1" applyNumberFormat="1">
      <alignment horizontal="center" readingOrder="0" shrinkToFit="0" vertical="center" wrapText="0"/>
    </xf>
    <xf borderId="1" fillId="5" fontId="12" numFmtId="0" xfId="0" applyAlignment="1" applyBorder="1" applyFill="1" applyFont="1">
      <alignment horizontal="center" shrinkToFit="0" vertical="center" wrapText="1"/>
    </xf>
    <xf borderId="1" fillId="5" fontId="12" numFmtId="1" xfId="0" applyAlignment="1" applyBorder="1" applyFill="1" applyFont="1" applyNumberFormat="1">
      <alignment horizontal="center" shrinkToFit="0" vertical="center" wrapText="0"/>
    </xf>
    <xf borderId="1" fillId="5" fontId="13" numFmtId="0" xfId="0" applyAlignment="1" applyBorder="1" applyFill="1" applyFont="1">
      <alignment horizontal="center" readingOrder="0" shrinkToFit="0" vertical="center" wrapText="0"/>
    </xf>
    <xf borderId="1" fillId="5" fontId="13" numFmtId="0" xfId="0" applyAlignment="1" applyBorder="1" applyFill="1" applyFont="1">
      <alignment horizontal="center" readingOrder="0" shrinkToFit="0" vertical="center" wrapText="1"/>
    </xf>
    <xf borderId="1" fillId="5" fontId="13" numFmtId="49" xfId="0" applyAlignment="1" applyBorder="1" applyFill="1" applyFont="1" applyNumberFormat="1">
      <alignment horizontal="center" readingOrder="0" shrinkToFit="0" vertical="center" wrapText="0"/>
    </xf>
    <xf borderId="1" fillId="5" fontId="13" numFmtId="0" xfId="0" applyAlignment="1" applyBorder="1" applyFill="1" applyFont="1">
      <alignment horizontal="center" shrinkToFit="0" vertical="center" wrapText="0"/>
    </xf>
    <xf borderId="1" fillId="5" fontId="14" numFmtId="0" xfId="0" applyAlignment="1" applyBorder="1" applyFill="1" applyFont="1">
      <alignment horizontal="center" readingOrder="0" shrinkToFit="0" vertical="center" wrapText="1"/>
    </xf>
    <xf borderId="9" fillId="5" fontId="13" numFmtId="0" xfId="0" applyAlignment="1" applyBorder="1" applyFill="1" applyFont="1">
      <alignment horizontal="center" readingOrder="0" shrinkToFit="0" vertical="center" wrapText="1"/>
    </xf>
    <xf borderId="1" fillId="5" fontId="13" numFmtId="0" xfId="0" applyAlignment="1" applyBorder="1" applyFill="1" applyFont="1">
      <alignment horizontal="center" shrinkToFit="0" vertical="center" wrapText="1"/>
    </xf>
    <xf borderId="0" fillId="5" fontId="12" numFmtId="0" xfId="0" applyAlignment="1" applyFill="1" applyFont="1">
      <alignment horizontal="center" shrinkToFit="0" vertical="center" wrapText="0"/>
    </xf>
    <xf borderId="1" fillId="5" fontId="2" numFmtId="0" xfId="0" applyAlignment="1" applyBorder="1" applyFill="1" applyFont="1">
      <alignment horizontal="center" shrinkToFit="0" vertical="center" wrapText="1"/>
    </xf>
    <xf borderId="1" fillId="3" fontId="1" numFmtId="1" xfId="0" applyAlignment="1" applyBorder="1" applyFill="1" applyFont="1" applyNumberFormat="1">
      <alignment horizontal="center" readingOrder="0" shrinkToFit="0" vertical="center" wrapText="0"/>
    </xf>
    <xf borderId="10" fillId="3" fontId="1" numFmtId="1" xfId="0" applyAlignment="1" applyBorder="1" applyFill="1" applyFont="1" applyNumberFormat="1">
      <alignment horizontal="center" shrinkToFit="0" vertical="center" wrapText="0"/>
    </xf>
    <xf borderId="10" fillId="3" fontId="1" numFmtId="0" xfId="0" applyAlignment="1" applyBorder="1" applyFill="1" applyFont="1">
      <alignment horizontal="center" shrinkToFit="0" vertical="center" wrapText="1"/>
    </xf>
    <xf borderId="1" fillId="3" fontId="2" numFmtId="1" xfId="0" applyAlignment="1" applyBorder="1" applyFill="1" applyFont="1" applyNumberFormat="1">
      <alignment horizontal="center" shrinkToFit="0" vertical="center" wrapText="0"/>
    </xf>
    <xf borderId="0" fillId="0" fontId="1" numFmtId="0" xfId="0" applyAlignment="1" applyFont="1">
      <alignment horizontal="center" shrinkToFit="0" vertical="bottom" wrapText="1"/>
    </xf>
    <xf borderId="1" fillId="3" fontId="1" numFmtId="49" xfId="0" applyAlignment="1" applyBorder="1" applyFill="1" applyFont="1" applyNumberFormat="1">
      <alignment horizontal="center" readingOrder="0" shrinkToFit="0" vertical="center" wrapText="0"/>
    </xf>
    <xf borderId="10" fillId="3" fontId="1" numFmtId="0" xfId="0" applyAlignment="1" applyBorder="1" applyFill="1" applyFont="1">
      <alignment horizontal="center" shrinkToFit="0" vertical="center" wrapText="0"/>
    </xf>
    <xf borderId="10" fillId="3" fontId="1" numFmtId="49" xfId="0" applyAlignment="1" applyBorder="1" applyFill="1" applyFont="1" applyNumberFormat="1">
      <alignment horizontal="center" shrinkToFit="0" vertical="center" wrapText="0"/>
    </xf>
    <xf borderId="10" fillId="3" fontId="1" numFmtId="0" xfId="0" applyAlignment="1" applyBorder="1" applyFill="1" applyFont="1">
      <alignment horizontal="center" readingOrder="0" shrinkToFit="0" vertical="center" wrapText="1"/>
    </xf>
    <xf borderId="9" fillId="5" fontId="1" numFmtId="0" xfId="0" applyAlignment="1" applyBorder="1" applyFill="1" applyFont="1">
      <alignment horizontal="center" readingOrder="0" shrinkToFit="0" vertical="center" wrapText="0"/>
    </xf>
    <xf borderId="10" fillId="5" fontId="1" numFmtId="0" xfId="0" applyAlignment="1" applyBorder="1" applyFill="1" applyFont="1">
      <alignment horizontal="center" shrinkToFit="0" vertical="center" wrapText="0"/>
    </xf>
    <xf borderId="10" fillId="5" fontId="1" numFmtId="0" xfId="0" applyAlignment="1" applyBorder="1" applyFill="1" applyFont="1">
      <alignment horizontal="center" readingOrder="0" shrinkToFit="0" vertical="center" wrapText="0"/>
    </xf>
    <xf borderId="10" fillId="5" fontId="1" numFmtId="49" xfId="0" applyAlignment="1" applyBorder="1" applyFill="1" applyFont="1" applyNumberFormat="1">
      <alignment horizontal="center" shrinkToFit="0" vertical="center" wrapText="0"/>
    </xf>
    <xf borderId="0" fillId="5" fontId="8" numFmtId="0" xfId="0" applyAlignment="1" applyFill="1" applyFont="1">
      <alignment horizontal="center" shrinkToFit="0" vertical="center" wrapText="0"/>
    </xf>
    <xf borderId="1" fillId="4" fontId="2" numFmtId="49" xfId="0" applyAlignment="1" applyBorder="1" applyFill="1" applyFont="1" applyNumberFormat="1">
      <alignment horizontal="center" readingOrder="0" shrinkToFit="0" vertical="center" wrapText="0"/>
    </xf>
    <xf borderId="1" fillId="3" fontId="1" numFmtId="164" xfId="0" applyAlignment="1" applyBorder="1" applyFill="1" applyFont="1" applyNumberFormat="1">
      <alignment horizontal="center" readingOrder="0" shrinkToFit="0" vertical="center" wrapText="0"/>
    </xf>
    <xf borderId="1" fillId="5" fontId="1" numFmtId="49" xfId="0" applyAlignment="1" applyBorder="1" applyFill="1" applyFont="1" applyNumberFormat="1">
      <alignment horizontal="center" shrinkToFit="0" vertical="center" wrapText="0"/>
    </xf>
    <xf borderId="10" fillId="3" fontId="1" numFmtId="0" xfId="0" applyAlignment="1" applyBorder="1" applyFill="1" applyFont="1">
      <alignment horizontal="center" readingOrder="0" shrinkToFit="0" vertical="center" wrapText="0"/>
    </xf>
    <xf borderId="1" fillId="3" fontId="1" numFmtId="0" xfId="0" applyAlignment="1" applyBorder="1" applyFill="1" applyFont="1">
      <alignment horizontal="center" readingOrder="0" shrinkToFit="0" vertical="center" wrapText="1"/>
    </xf>
    <xf borderId="1" fillId="3" fontId="15" numFmtId="0" xfId="0" applyAlignment="1" applyBorder="1" applyFill="1" applyFont="1">
      <alignment horizontal="center" readingOrder="0" shrinkToFit="0" vertical="center" wrapText="1"/>
    </xf>
    <xf borderId="1" fillId="4" fontId="12" numFmtId="0" xfId="0" applyAlignment="1" applyBorder="1" applyFill="1" applyFont="1">
      <alignment horizontal="center" shrinkToFit="0" vertical="center" wrapText="1"/>
    </xf>
    <xf borderId="1" fillId="4" fontId="12" numFmtId="1" xfId="0" applyAlignment="1" applyBorder="1" applyFill="1" applyFont="1" applyNumberFormat="1">
      <alignment horizontal="center" shrinkToFit="0" vertical="center" wrapText="0"/>
    </xf>
    <xf borderId="10" fillId="4" fontId="13" numFmtId="0" xfId="0" applyAlignment="1" applyBorder="1" applyFill="1" applyFont="1">
      <alignment horizontal="center" shrinkToFit="0" vertical="center" wrapText="0"/>
    </xf>
    <xf borderId="10" fillId="4" fontId="13" numFmtId="0" xfId="0" applyAlignment="1" applyBorder="1" applyFill="1" applyFont="1">
      <alignment horizontal="center" shrinkToFit="0" vertical="center" wrapText="1"/>
    </xf>
    <xf borderId="10" fillId="4" fontId="13" numFmtId="49" xfId="0" applyAlignment="1" applyBorder="1" applyFill="1" applyFont="1" applyNumberFormat="1">
      <alignment horizontal="center" shrinkToFit="0" vertical="center" wrapText="0"/>
    </xf>
    <xf borderId="1" fillId="4" fontId="13" numFmtId="1" xfId="0" applyAlignment="1" applyBorder="1" applyFill="1" applyFont="1" applyNumberFormat="1">
      <alignment horizontal="center" shrinkToFit="0" vertical="center" wrapText="0"/>
    </xf>
    <xf borderId="1" fillId="4" fontId="14" numFmtId="0" xfId="0" applyAlignment="1" applyBorder="1" applyFill="1" applyFont="1">
      <alignment horizontal="center" shrinkToFit="0" vertical="center" wrapText="1"/>
    </xf>
    <xf borderId="1" fillId="4" fontId="13" numFmtId="0" xfId="0" applyAlignment="1" applyBorder="1" applyFill="1" applyFont="1">
      <alignment horizontal="center" readingOrder="0" shrinkToFit="0" vertical="center" wrapText="1"/>
    </xf>
    <xf borderId="0" fillId="4" fontId="12" numFmtId="0" xfId="0" applyAlignment="1" applyFill="1" applyFont="1">
      <alignment horizontal="center" shrinkToFit="0" vertical="center" wrapText="0"/>
    </xf>
    <xf borderId="10" fillId="4" fontId="1" numFmtId="0" xfId="0" applyAlignment="1" applyBorder="1" applyFill="1" applyFont="1">
      <alignment horizontal="center" readingOrder="0" shrinkToFit="0" vertical="center" wrapText="0"/>
    </xf>
    <xf borderId="1" fillId="4" fontId="10" numFmtId="0" xfId="0" applyAlignment="1" applyBorder="1" applyFill="1" applyFont="1">
      <alignment horizontal="center" shrinkToFit="0" vertical="center" wrapText="1"/>
    </xf>
    <xf borderId="1" fillId="4" fontId="10" numFmtId="1" xfId="0" applyAlignment="1" applyBorder="1" applyFill="1" applyFont="1" applyNumberFormat="1">
      <alignment horizontal="center" shrinkToFit="0" vertical="center" wrapText="0"/>
    </xf>
    <xf borderId="10" fillId="4" fontId="1" numFmtId="0" xfId="0" applyAlignment="1" applyBorder="1" applyFill="1" applyFont="1">
      <alignment horizontal="center" readingOrder="0" shrinkToFit="0" vertical="center" wrapText="1"/>
    </xf>
    <xf borderId="10" fillId="4" fontId="1" numFmtId="0" xfId="0" applyAlignment="1" applyBorder="1" applyFill="1" applyFont="1">
      <alignment horizontal="center" shrinkToFit="0" vertical="center" wrapText="0"/>
    </xf>
    <xf borderId="10" fillId="4" fontId="1" numFmtId="49" xfId="0" applyAlignment="1" applyBorder="1" applyFill="1" applyFont="1" applyNumberFormat="1">
      <alignment horizontal="center" readingOrder="0" shrinkToFit="0" vertical="center" wrapText="0"/>
    </xf>
    <xf borderId="1" fillId="4" fontId="1" numFmtId="1" xfId="0" applyAlignment="1" applyBorder="1" applyFill="1" applyFont="1" applyNumberFormat="1">
      <alignment horizontal="center" shrinkToFit="0" vertical="center" wrapText="0"/>
    </xf>
    <xf borderId="1" fillId="4" fontId="1" numFmtId="49" xfId="0" applyAlignment="1" applyBorder="1" applyFill="1" applyFont="1" applyNumberFormat="1">
      <alignment horizontal="center" readingOrder="0" shrinkToFit="0" vertical="center" wrapText="1"/>
    </xf>
    <xf borderId="1" fillId="4" fontId="2" numFmtId="0" xfId="0" applyAlignment="1" applyBorder="1" applyFill="1" applyFont="1">
      <alignment horizontal="center" shrinkToFit="0" vertical="center" wrapText="1"/>
    </xf>
    <xf borderId="0" fillId="4" fontId="10" numFmtId="0" xfId="0" applyAlignment="1" applyFill="1" applyFont="1">
      <alignment horizontal="center" shrinkToFit="0" vertical="center" wrapText="0"/>
    </xf>
    <xf borderId="10" fillId="5" fontId="1" numFmtId="0" xfId="0" applyAlignment="1" applyBorder="1" applyFill="1" applyFont="1">
      <alignment horizontal="center" readingOrder="0" shrinkToFit="0" vertical="center" wrapText="1"/>
    </xf>
    <xf borderId="0" fillId="5" fontId="16" numFmtId="0" xfId="0" applyAlignment="1" applyFill="1" applyFont="1">
      <alignment horizontal="center" shrinkToFit="0" vertical="center" wrapText="0"/>
    </xf>
    <xf borderId="1" fillId="5" fontId="8" numFmtId="1" xfId="0" applyAlignment="1" applyBorder="1" applyFill="1" applyFont="1" applyNumberFormat="1">
      <alignment horizontal="center" shrinkToFit="0" vertical="center" wrapText="0"/>
    </xf>
    <xf borderId="10" fillId="5" fontId="2" numFmtId="0" xfId="0" applyAlignment="1" applyBorder="1" applyFill="1" applyFont="1">
      <alignment horizontal="center" shrinkToFit="0" vertical="center" wrapText="0"/>
    </xf>
    <xf borderId="9" fillId="5" fontId="2" numFmtId="0" xfId="0" applyAlignment="1" applyBorder="1" applyFill="1" applyFont="1">
      <alignment horizontal="center" readingOrder="0" shrinkToFit="0" vertical="center" wrapText="1"/>
    </xf>
    <xf borderId="9" fillId="5" fontId="2" numFmtId="0" xfId="0" applyAlignment="1" applyBorder="1" applyFill="1" applyFont="1">
      <alignment horizontal="center" readingOrder="0" shrinkToFit="0" vertical="center" wrapText="0"/>
    </xf>
    <xf borderId="9" fillId="5" fontId="2" numFmtId="49" xfId="0" applyAlignment="1" applyBorder="1" applyFill="1" applyFont="1" applyNumberFormat="1">
      <alignment horizontal="center" readingOrder="0" shrinkToFit="0" vertical="center" wrapText="0"/>
    </xf>
    <xf borderId="1" fillId="5" fontId="2" numFmtId="1" xfId="0" applyAlignment="1" applyBorder="1" applyFill="1" applyFont="1" applyNumberFormat="1">
      <alignment horizontal="center" shrinkToFit="0" vertical="center" wrapText="0"/>
    </xf>
    <xf borderId="1" fillId="5" fontId="2" numFmtId="1" xfId="0" applyAlignment="1" applyBorder="1" applyFill="1" applyFont="1" applyNumberFormat="1">
      <alignment horizontal="center" readingOrder="0" shrinkToFit="0" vertical="center" wrapText="0"/>
    </xf>
    <xf borderId="1" fillId="5" fontId="17" numFmtId="0" xfId="0" applyAlignment="1" applyBorder="1" applyFill="1" applyFont="1">
      <alignment horizontal="center" readingOrder="0" vertical="center"/>
    </xf>
    <xf borderId="1" fillId="5" fontId="17" numFmtId="0" xfId="0" applyAlignment="1" applyBorder="1" applyFill="1" applyFont="1">
      <alignment horizontal="center" readingOrder="0" shrinkToFit="0" vertical="center" wrapText="1"/>
    </xf>
    <xf borderId="1" fillId="5" fontId="17" numFmtId="0" xfId="0" applyAlignment="1" applyBorder="1" applyFill="1" applyFont="1">
      <alignment horizontal="center" vertical="center"/>
    </xf>
    <xf borderId="1" fillId="5" fontId="17" numFmtId="164" xfId="0" applyAlignment="1" applyBorder="1" applyFill="1" applyFont="1" applyNumberFormat="1">
      <alignment horizontal="center" vertical="center"/>
    </xf>
    <xf borderId="1" fillId="5" fontId="17" numFmtId="1" xfId="0" applyAlignment="1" applyBorder="1" applyFill="1" applyFont="1" applyNumberFormat="1">
      <alignment horizontal="center" readingOrder="0" vertical="center"/>
    </xf>
    <xf borderId="0" fillId="5" fontId="0" numFmtId="0" xfId="0" applyAlignment="1" applyFill="1" applyFont="1">
      <alignment horizontal="center" shrinkToFit="0" vertical="center" wrapText="0"/>
    </xf>
    <xf borderId="1" fillId="5" fontId="1" numFmtId="164" xfId="0" applyAlignment="1" applyBorder="1" applyFill="1" applyFont="1" applyNumberFormat="1">
      <alignment horizontal="center" readingOrder="0" shrinkToFit="0" vertical="center" wrapText="0"/>
    </xf>
    <xf borderId="1" fillId="5" fontId="8" numFmtId="0" xfId="0" applyAlignment="1" applyBorder="1" applyFill="1" applyFont="1">
      <alignment horizontal="center" shrinkToFit="0" vertical="center" wrapText="1"/>
    </xf>
    <xf borderId="1" fillId="5" fontId="2" numFmtId="0" xfId="0" applyAlignment="1" applyBorder="1" applyFill="1" applyFont="1">
      <alignment horizontal="center" readingOrder="0" shrinkToFit="0" vertical="center" wrapText="0"/>
    </xf>
    <xf borderId="0" fillId="5" fontId="18" numFmtId="0" xfId="0" applyAlignment="1" applyFill="1" applyFont="1">
      <alignment horizontal="center" shrinkToFit="0" vertical="center" wrapText="0"/>
    </xf>
    <xf borderId="0" fillId="5" fontId="17" numFmtId="0" xfId="0" applyAlignment="1" applyFill="1" applyFont="1">
      <alignment horizontal="center" readingOrder="0" shrinkToFit="0" vertical="top" wrapText="1"/>
    </xf>
    <xf borderId="1" fillId="5" fontId="17" numFmtId="0" xfId="0" applyAlignment="1" applyBorder="1" applyFill="1" applyFont="1">
      <alignment horizontal="center" readingOrder="0" shrinkToFit="0" vertical="top" wrapText="1"/>
    </xf>
    <xf borderId="1" fillId="5" fontId="2" numFmtId="164" xfId="0" applyAlignment="1" applyBorder="1" applyFill="1" applyFont="1" applyNumberFormat="1">
      <alignment horizontal="center" readingOrder="0" shrinkToFit="0" vertical="center" wrapText="0"/>
    </xf>
    <xf borderId="1" fillId="5" fontId="19" numFmtId="0" xfId="0" applyAlignment="1" applyBorder="1" applyFill="1" applyFont="1">
      <alignment horizontal="center" readingOrder="0" vertical="center"/>
    </xf>
    <xf borderId="1" fillId="5" fontId="19" numFmtId="0" xfId="0" applyAlignment="1" applyBorder="1" applyFill="1" applyFont="1">
      <alignment horizontal="center" readingOrder="0" shrinkToFit="0" vertical="center" wrapText="1"/>
    </xf>
    <xf borderId="1" fillId="5" fontId="19" numFmtId="0" xfId="0" applyAlignment="1" applyBorder="1" applyFill="1" applyFont="1">
      <alignment horizontal="center" vertical="center"/>
    </xf>
    <xf borderId="1" fillId="5" fontId="19" numFmtId="1" xfId="0" applyAlignment="1" applyBorder="1" applyFill="1" applyFont="1" applyNumberFormat="1">
      <alignment horizontal="center" vertical="center"/>
    </xf>
    <xf borderId="9" fillId="5" fontId="19" numFmtId="0" xfId="0" applyAlignment="1" applyBorder="1" applyFill="1" applyFont="1">
      <alignment horizontal="center" shrinkToFit="0" vertical="center" wrapText="1"/>
    </xf>
    <xf borderId="1" fillId="5" fontId="19" numFmtId="0" xfId="0" applyAlignment="1" applyBorder="1" applyFill="1" applyFont="1">
      <alignment vertical="center"/>
    </xf>
    <xf borderId="0" fillId="5" fontId="20" numFmtId="0" xfId="0" applyFill="1" applyFont="1"/>
    <xf borderId="1" fillId="5" fontId="17" numFmtId="1" xfId="0" applyAlignment="1" applyBorder="1" applyFill="1" applyFont="1" applyNumberFormat="1">
      <alignment horizontal="center" vertical="center"/>
    </xf>
    <xf borderId="1" fillId="5" fontId="17" numFmtId="0" xfId="0" applyAlignment="1" applyBorder="1" applyFill="1" applyFont="1">
      <alignment horizontal="center" shrinkToFit="0" wrapText="1"/>
    </xf>
    <xf borderId="1" fillId="5" fontId="17" numFmtId="0" xfId="0" applyAlignment="1" applyBorder="1" applyFill="1" applyFont="1">
      <alignment horizontal="center"/>
    </xf>
    <xf borderId="1" fillId="5" fontId="17" numFmtId="1" xfId="0" applyAlignment="1" applyBorder="1" applyFill="1" applyFont="1" applyNumberFormat="1">
      <alignment horizontal="center"/>
    </xf>
    <xf borderId="1" fillId="5" fontId="21" numFmtId="0" xfId="0" applyAlignment="1" applyBorder="1" applyFill="1" applyFont="1">
      <alignment horizontal="center" shrinkToFit="0" wrapText="1"/>
    </xf>
    <xf borderId="9" fillId="5" fontId="17" numFmtId="0" xfId="0" applyAlignment="1" applyBorder="1" applyFill="1" applyFont="1">
      <alignment horizontal="center" shrinkToFit="0" wrapText="1"/>
    </xf>
    <xf borderId="1" fillId="5" fontId="17" numFmtId="0" xfId="0" applyBorder="1" applyFill="1" applyFont="1"/>
    <xf borderId="1" fillId="5" fontId="17" numFmtId="0" xfId="0" applyAlignment="1" applyBorder="1" applyFill="1" applyFont="1">
      <alignment horizontal="center" vertical="center"/>
    </xf>
    <xf borderId="1" fillId="5" fontId="17" numFmtId="0" xfId="0" applyAlignment="1" applyBorder="1" applyFill="1" applyFont="1">
      <alignment horizontal="center" shrinkToFit="0" vertical="center" wrapText="1"/>
    </xf>
    <xf borderId="1" fillId="5" fontId="17" numFmtId="0" xfId="0" applyAlignment="1" applyBorder="1" applyFill="1" applyFont="1">
      <alignment readingOrder="0" vertical="center"/>
    </xf>
    <xf borderId="0" fillId="5" fontId="22" numFmtId="0" xfId="0" applyFill="1" applyFont="1"/>
    <xf borderId="1" fillId="5" fontId="17" numFmtId="0" xfId="0" applyAlignment="1" applyBorder="1" applyFill="1" applyFont="1">
      <alignment vertical="center"/>
    </xf>
    <xf borderId="1" fillId="4" fontId="17" numFmtId="0" xfId="0" applyAlignment="1" applyBorder="1" applyFill="1" applyFont="1">
      <alignment horizontal="center" readingOrder="0" vertical="center"/>
    </xf>
    <xf borderId="1" fillId="4" fontId="17" numFmtId="0" xfId="0" applyAlignment="1" applyBorder="1" applyFill="1" applyFont="1">
      <alignment horizontal="center" readingOrder="0" shrinkToFit="0" vertical="center" wrapText="1"/>
    </xf>
    <xf borderId="1" fillId="4" fontId="1" numFmtId="0" xfId="0" applyAlignment="1" applyBorder="1" applyFill="1" applyFont="1">
      <alignment horizontal="center" readingOrder="0" shrinkToFit="0" vertical="center" wrapText="0"/>
    </xf>
    <xf borderId="3" fillId="4" fontId="1" numFmtId="49" xfId="0" applyAlignment="1" applyBorder="1" applyFill="1" applyFont="1" applyNumberFormat="1">
      <alignment horizontal="center" readingOrder="0" shrinkToFit="0" vertical="center" wrapText="0"/>
    </xf>
    <xf borderId="1" fillId="4" fontId="21" numFmtId="0" xfId="0" applyAlignment="1" applyBorder="1" applyFill="1" applyFont="1">
      <alignment horizontal="center" readingOrder="0" vertical="center"/>
    </xf>
    <xf borderId="9" fillId="4" fontId="1" numFmtId="0" xfId="0" applyAlignment="1" applyBorder="1" applyFill="1" applyFont="1">
      <alignment horizontal="center" readingOrder="0"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0" fillId="4" fontId="1" numFmtId="0" xfId="0" applyAlignment="1" applyFill="1" applyFont="1">
      <alignment horizontal="center" shrinkToFit="0" vertical="center" wrapText="0"/>
    </xf>
    <xf borderId="1" fillId="6" fontId="10" numFmtId="1" xfId="0" applyAlignment="1" applyBorder="1" applyFill="1" applyFont="1" applyNumberFormat="1">
      <alignment horizontal="center" shrinkToFit="0" vertical="center" wrapText="0"/>
    </xf>
    <xf borderId="1" fillId="3" fontId="2" numFmtId="0" xfId="0" applyAlignment="1" applyBorder="1" applyFill="1" applyFont="1">
      <alignment horizontal="center" readingOrder="0" shrinkToFit="0" vertical="center" wrapText="0"/>
    </xf>
    <xf borderId="1" fillId="3" fontId="2" numFmtId="0" xfId="0" applyAlignment="1" applyBorder="1" applyFill="1" applyFont="1">
      <alignment horizontal="center" readingOrder="0" shrinkToFit="0" vertical="center" wrapText="1"/>
    </xf>
    <xf borderId="1" fillId="5" fontId="2" numFmtId="0" xfId="0" applyAlignment="1" applyBorder="1" applyFill="1" applyFont="1">
      <alignment horizontal="center" shrinkToFit="0" vertical="center" wrapText="0"/>
    </xf>
    <xf borderId="1" fillId="5" fontId="2" numFmtId="49" xfId="0" applyAlignment="1" applyBorder="1" applyFill="1" applyFont="1" applyNumberFormat="1">
      <alignment horizontal="center" readingOrder="0" shrinkToFit="0" vertical="center" wrapText="0"/>
    </xf>
    <xf borderId="1" fillId="5" fontId="1" numFmtId="0" xfId="0" applyAlignment="1" applyBorder="1" applyFill="1" applyFont="1">
      <alignment horizontal="center" readingOrder="0" shrinkToFit="0" vertical="center" wrapText="1"/>
    </xf>
    <xf borderId="0" fillId="5" fontId="17" numFmtId="0" xfId="0" applyAlignment="1" applyFill="1" applyFont="1">
      <alignment horizontal="center" readingOrder="0" shrinkToFit="0" vertical="center" wrapText="1"/>
    </xf>
    <xf borderId="9" fillId="5" fontId="17" numFmtId="0" xfId="0" applyAlignment="1" applyBorder="1" applyFill="1" applyFont="1">
      <alignment horizontal="center" readingOrder="0" shrinkToFit="0" vertical="center" wrapText="1"/>
    </xf>
    <xf borderId="1" fillId="5" fontId="17" numFmtId="0" xfId="0" applyAlignment="1" applyBorder="1" applyFill="1" applyFont="1">
      <alignment horizontal="center" shrinkToFit="0" vertical="center" wrapText="1"/>
    </xf>
    <xf borderId="1" fillId="5" fontId="17" numFmtId="49" xfId="0" applyAlignment="1" applyBorder="1" applyFill="1" applyFont="1" applyNumberFormat="1">
      <alignment horizontal="center" vertical="center"/>
    </xf>
    <xf borderId="1" fillId="5" fontId="21" numFmtId="0" xfId="0" applyAlignment="1" applyBorder="1" applyFill="1" applyFont="1">
      <alignment horizontal="center" readingOrder="0" shrinkToFit="0" vertical="center" wrapText="1"/>
    </xf>
    <xf borderId="1" fillId="5" fontId="17" numFmtId="49" xfId="0" applyAlignment="1" applyBorder="1" applyFill="1" applyFont="1" applyNumberFormat="1">
      <alignment horizontal="center" readingOrder="0" vertical="center"/>
    </xf>
    <xf borderId="1" fillId="5" fontId="1" numFmtId="1" xfId="0" applyAlignment="1" applyBorder="1" applyFill="1" applyFont="1" applyNumberFormat="1">
      <alignment horizontal="center" readingOrder="0" shrinkToFit="0" vertical="center" wrapText="0"/>
    </xf>
    <xf borderId="1" fillId="4" fontId="1" numFmtId="1" xfId="0" applyAlignment="1" applyBorder="1" applyFill="1" applyFont="1" applyNumberFormat="1">
      <alignment horizontal="center" readingOrder="0" shrinkToFit="0" vertical="center" wrapText="0"/>
    </xf>
    <xf borderId="1" fillId="4" fontId="2" numFmtId="0" xfId="0" applyAlignment="1" applyBorder="1" applyFill="1" applyFont="1">
      <alignment horizontal="center" readingOrder="0" shrinkToFit="0" vertical="center" wrapText="1"/>
    </xf>
    <xf borderId="1" fillId="3" fontId="2" numFmtId="49" xfId="0" applyAlignment="1" applyBorder="1" applyFill="1" applyFont="1" applyNumberFormat="1">
      <alignment horizontal="center" readingOrder="0" shrinkToFit="0" vertical="center" wrapText="0"/>
    </xf>
    <xf borderId="1" fillId="3" fontId="2" numFmtId="1" xfId="0" applyAlignment="1" applyBorder="1" applyFill="1" applyFont="1" applyNumberFormat="1">
      <alignment horizontal="center" readingOrder="0" shrinkToFit="0" vertical="center" wrapText="0"/>
    </xf>
    <xf borderId="1" fillId="3" fontId="1" numFmtId="49" xfId="0" applyAlignment="1" applyBorder="1" applyFill="1" applyFont="1" applyNumberFormat="1">
      <alignment horizontal="center" shrinkToFit="0" vertical="center" wrapText="1"/>
    </xf>
    <xf borderId="1" fillId="3" fontId="2" numFmtId="1" xfId="0" applyAlignment="1" applyBorder="1" applyFill="1" applyFont="1" applyNumberFormat="1">
      <alignment horizontal="center" readingOrder="0" shrinkToFit="0" vertical="center" wrapText="1"/>
    </xf>
    <xf borderId="1" fillId="3" fontId="1" numFmtId="1" xfId="0" applyAlignment="1" applyBorder="1" applyFill="1" applyFont="1" applyNumberFormat="1">
      <alignment horizontal="center" readingOrder="0" shrinkToFit="0" vertical="center" wrapText="1"/>
    </xf>
    <xf borderId="1" fillId="5" fontId="2" numFmtId="49" xfId="0" applyAlignment="1" applyBorder="1" applyFill="1" applyFont="1" applyNumberFormat="1">
      <alignment horizontal="center" shrinkToFit="0" vertical="center" wrapText="0"/>
    </xf>
    <xf borderId="1" fillId="5" fontId="13" numFmtId="49" xfId="0" applyAlignment="1" applyBorder="1" applyFill="1" applyFont="1" applyNumberFormat="1">
      <alignment horizontal="center" shrinkToFit="0" vertical="center" wrapText="0"/>
    </xf>
    <xf borderId="1" fillId="5" fontId="13" numFmtId="1" xfId="0" applyAlignment="1" applyBorder="1" applyFill="1" applyFont="1" applyNumberFormat="1">
      <alignment horizontal="center" readingOrder="0" shrinkToFit="0" vertical="center" wrapText="0"/>
    </xf>
    <xf borderId="0" fillId="5" fontId="23" numFmtId="0" xfId="0" applyAlignment="1" applyFill="1" applyFont="1">
      <alignment horizontal="center" readingOrder="0" shrinkToFit="0" vertical="center" wrapText="1"/>
    </xf>
    <xf borderId="1" fillId="5" fontId="21" numFmtId="0" xfId="0" applyAlignment="1" applyBorder="1" applyFill="1" applyFont="1">
      <alignment horizontal="center" shrinkToFit="0" vertical="center" wrapText="1"/>
    </xf>
    <xf borderId="1" fillId="5" fontId="21" numFmtId="0" xfId="0" applyAlignment="1" applyBorder="1" applyFill="1" applyFont="1">
      <alignment horizontal="center" shrinkToFit="0" vertical="center" wrapText="1"/>
    </xf>
    <xf borderId="1" fillId="5" fontId="21" numFmtId="49" xfId="0" applyAlignment="1" applyBorder="1" applyFill="1" applyFont="1" applyNumberFormat="1">
      <alignment horizontal="center" shrinkToFit="0" vertical="center" wrapText="1"/>
    </xf>
    <xf borderId="1" fillId="5" fontId="21" numFmtId="1" xfId="0" applyAlignment="1" applyBorder="1" applyFill="1" applyFont="1" applyNumberFormat="1">
      <alignment horizontal="center" shrinkToFit="0" vertical="center" wrapText="1"/>
    </xf>
    <xf borderId="1" fillId="5" fontId="17" numFmtId="49" xfId="0" applyAlignment="1" applyBorder="1" applyFill="1" applyFont="1" applyNumberFormat="1">
      <alignment horizontal="center" shrinkToFit="0" vertical="center" wrapText="1"/>
    </xf>
    <xf borderId="1" fillId="5" fontId="17" numFmtId="1" xfId="0" applyAlignment="1" applyBorder="1" applyFill="1" applyFont="1" applyNumberFormat="1">
      <alignment horizontal="center" shrinkToFit="0" vertical="center" wrapText="1"/>
    </xf>
    <xf borderId="1" fillId="5" fontId="21" numFmtId="49" xfId="0" applyAlignment="1" applyBorder="1" applyFill="1" applyFont="1" applyNumberFormat="1">
      <alignment horizontal="center" readingOrder="0" shrinkToFit="0" vertical="center" wrapText="1"/>
    </xf>
    <xf borderId="0" fillId="5" fontId="17" numFmtId="0" xfId="0" applyAlignment="1" applyFill="1" applyFont="1">
      <alignment horizontal="center" shrinkToFit="0" wrapText="1"/>
    </xf>
    <xf borderId="1" fillId="5" fontId="17" numFmtId="0" xfId="0" applyAlignment="1" applyBorder="1" applyFill="1" applyFont="1">
      <alignment horizontal="center"/>
    </xf>
    <xf borderId="1" fillId="5" fontId="17" numFmtId="49" xfId="0" applyAlignment="1" applyBorder="1" applyFill="1" applyFont="1" applyNumberFormat="1">
      <alignment horizontal="center"/>
    </xf>
    <xf borderId="1" fillId="5" fontId="24" numFmtId="49" xfId="0" applyAlignment="1" applyBorder="1" applyFill="1" applyFont="1" applyNumberFormat="1">
      <alignment horizontal="center" readingOrder="0" vertical="center"/>
    </xf>
    <xf borderId="0" fillId="5" fontId="10" numFmtId="0" xfId="0" applyAlignment="1" applyFill="1" applyFont="1">
      <alignment horizontal="center" readingOrder="0" shrinkToFit="0" vertical="center" wrapText="0"/>
    </xf>
    <xf borderId="0" fillId="5" fontId="1" numFmtId="0" xfId="0" applyAlignment="1" applyFill="1" applyFont="1">
      <alignment horizontal="center" shrinkToFit="0" vertical="center" wrapText="0"/>
    </xf>
    <xf borderId="3" fillId="5" fontId="17" numFmtId="0" xfId="0" applyAlignment="1" applyBorder="1" applyFill="1" applyFont="1">
      <alignment horizontal="center" readingOrder="0" shrinkToFit="0" vertical="center" wrapText="1"/>
    </xf>
    <xf borderId="0" fillId="5" fontId="21" numFmtId="0" xfId="0" applyAlignment="1" applyFill="1" applyFont="1">
      <alignment horizontal="center" readingOrder="0" shrinkToFit="0" vertical="center" wrapText="1"/>
    </xf>
    <xf borderId="1" fillId="5" fontId="21" numFmtId="49" xfId="0" applyAlignment="1" applyBorder="1" applyFill="1" applyFont="1" applyNumberFormat="1">
      <alignment horizontal="center" readingOrder="0" vertical="center"/>
    </xf>
    <xf borderId="0" fillId="5" fontId="17" numFmtId="0" xfId="0" applyAlignment="1" applyFill="1" applyFont="1">
      <alignment horizontal="center" shrinkToFit="0" vertical="center" wrapText="1"/>
    </xf>
    <xf borderId="3" fillId="5" fontId="17" numFmtId="0" xfId="0" applyAlignment="1" applyBorder="1" applyFill="1" applyFont="1">
      <alignment horizontal="center" shrinkToFit="0" vertical="center" wrapText="1"/>
    </xf>
    <xf borderId="1" fillId="5" fontId="21" numFmtId="0" xfId="0" applyAlignment="1" applyBorder="1" applyFill="1" applyFont="1">
      <alignment horizontal="center" readingOrder="0" vertical="center"/>
    </xf>
    <xf borderId="3" fillId="5" fontId="2" numFmtId="49" xfId="0" applyAlignment="1" applyBorder="1" applyFill="1" applyFont="1" applyNumberFormat="1">
      <alignment horizontal="center" readingOrder="0" shrinkToFit="0" vertical="center" wrapText="0"/>
    </xf>
    <xf borderId="3" fillId="5" fontId="21" numFmtId="0" xfId="0" applyAlignment="1" applyBorder="1" applyFill="1" applyFont="1">
      <alignment horizontal="center" readingOrder="0" shrinkToFit="0" vertical="center" wrapText="1"/>
    </xf>
    <xf borderId="3" fillId="5" fontId="17" numFmtId="164" xfId="0" applyAlignment="1" applyBorder="1" applyFill="1" applyFont="1" applyNumberFormat="1">
      <alignment horizontal="center" readingOrder="0" shrinkToFit="0" vertical="center" wrapText="1"/>
    </xf>
    <xf borderId="3" fillId="5" fontId="1" numFmtId="49" xfId="0" applyAlignment="1" applyBorder="1" applyFill="1" applyFont="1" applyNumberFormat="1">
      <alignment horizontal="center" readingOrder="0" shrinkToFit="0" vertical="center" wrapText="0"/>
    </xf>
    <xf borderId="3" fillId="5" fontId="2" numFmtId="0" xfId="0" applyAlignment="1" applyBorder="1" applyFill="1" applyFont="1">
      <alignment horizontal="center" readingOrder="0" shrinkToFit="0" vertical="center" wrapText="0"/>
    </xf>
    <xf borderId="1" fillId="5" fontId="21" numFmtId="0" xfId="0" applyAlignment="1" applyBorder="1" applyFill="1" applyFont="1">
      <alignment horizontal="center" vertical="center"/>
    </xf>
    <xf borderId="3" fillId="5" fontId="21" numFmtId="49" xfId="0" applyAlignment="1" applyBorder="1" applyFill="1" applyFont="1" applyNumberFormat="1">
      <alignment horizontal="center" readingOrder="0" vertical="center"/>
    </xf>
    <xf borderId="1" fillId="5" fontId="21" numFmtId="1" xfId="0" applyAlignment="1" applyBorder="1" applyFill="1" applyFont="1" applyNumberFormat="1">
      <alignment horizontal="center" vertical="center"/>
    </xf>
    <xf borderId="9" fillId="5" fontId="21" numFmtId="0" xfId="0" applyAlignment="1" applyBorder="1" applyFill="1" applyFont="1">
      <alignment horizontal="center" readingOrder="0" shrinkToFit="0" vertical="center" wrapText="1"/>
    </xf>
    <xf borderId="1" fillId="5" fontId="21" numFmtId="0" xfId="0" applyAlignment="1" applyBorder="1" applyFill="1" applyFont="1">
      <alignment vertical="center"/>
    </xf>
    <xf borderId="0" fillId="5" fontId="25" numFmtId="0" xfId="0" applyFill="1" applyFont="1"/>
    <xf borderId="1" fillId="5" fontId="17" numFmtId="0" xfId="0" applyAlignment="1" applyBorder="1" applyFill="1" applyFont="1">
      <alignment horizontal="center" readingOrder="0" shrinkToFit="0" vertical="center" wrapText="1"/>
    </xf>
    <xf borderId="3" fillId="5" fontId="17" numFmtId="49" xfId="0" applyAlignment="1" applyBorder="1" applyFill="1" applyFont="1" applyNumberFormat="1">
      <alignment horizontal="center" readingOrder="0" vertical="center"/>
    </xf>
    <xf borderId="1" fillId="4" fontId="8" numFmtId="0" xfId="0" applyAlignment="1" applyBorder="1" applyFill="1" applyFont="1">
      <alignment horizontal="center" shrinkToFit="0" vertical="center" wrapText="1"/>
    </xf>
    <xf borderId="1" fillId="4" fontId="8" numFmtId="1" xfId="0" applyAlignment="1" applyBorder="1" applyFill="1" applyFont="1" applyNumberFormat="1">
      <alignment horizontal="center" shrinkToFit="0" vertical="center" wrapText="0"/>
    </xf>
    <xf borderId="1" fillId="4" fontId="21" numFmtId="0" xfId="0" applyAlignment="1" applyBorder="1" applyFill="1" applyFont="1">
      <alignment horizontal="center" readingOrder="0" shrinkToFit="0" vertical="center" wrapText="1"/>
    </xf>
    <xf borderId="1" fillId="4" fontId="21" numFmtId="0" xfId="0" applyAlignment="1" applyBorder="1" applyFill="1" applyFont="1">
      <alignment horizontal="center" shrinkToFit="0" vertical="center" wrapText="1"/>
    </xf>
    <xf borderId="1" fillId="4" fontId="21" numFmtId="1" xfId="0" applyAlignment="1" applyBorder="1" applyFill="1" applyFont="1" applyNumberFormat="1">
      <alignment horizontal="center" shrinkToFit="0" vertical="center" wrapText="1"/>
    </xf>
    <xf borderId="1" fillId="4" fontId="21" numFmtId="0" xfId="0" applyAlignment="1" applyBorder="1" applyFill="1" applyFont="1">
      <alignment horizontal="center" vertical="center"/>
    </xf>
    <xf borderId="0" fillId="4" fontId="8" numFmtId="0" xfId="0" applyAlignment="1" applyFill="1" applyFont="1">
      <alignment horizontal="center" shrinkToFit="0" vertical="center" wrapText="0"/>
    </xf>
    <xf borderId="1" fillId="4" fontId="17" numFmtId="164" xfId="0" applyAlignment="1" applyBorder="1" applyFill="1" applyFont="1" applyNumberFormat="1">
      <alignment horizontal="center" readingOrder="0" shrinkToFit="0" vertical="center" wrapText="1"/>
    </xf>
    <xf borderId="1" fillId="4" fontId="17" numFmtId="1" xfId="0" applyAlignment="1" applyBorder="1" applyFill="1" applyFont="1" applyNumberFormat="1">
      <alignment horizontal="center" shrinkToFit="0" vertical="center" wrapText="1"/>
    </xf>
    <xf borderId="1" fillId="4" fontId="17" numFmtId="0" xfId="0" applyAlignment="1" applyBorder="1" applyFill="1" applyFont="1">
      <alignment horizontal="center" vertical="center"/>
    </xf>
    <xf borderId="1" fillId="4" fontId="21" numFmtId="164" xfId="0" applyAlignment="1" applyBorder="1" applyFill="1" applyFont="1" applyNumberFormat="1">
      <alignment horizontal="center" readingOrder="0" shrinkToFit="0" vertical="center" wrapText="1"/>
    </xf>
    <xf borderId="11" fillId="3" fontId="10" numFmtId="0" xfId="0" applyAlignment="1" applyBorder="1" applyFill="1" applyFont="1">
      <alignment horizontal="center" shrinkToFit="0" vertical="center" wrapText="0"/>
    </xf>
    <xf borderId="12" fillId="3" fontId="1" numFmtId="0" xfId="0" applyAlignment="1" applyBorder="1" applyFill="1" applyFont="1">
      <alignment horizontal="center" shrinkToFit="0" vertical="center" wrapText="0"/>
    </xf>
    <xf borderId="12" fillId="3" fontId="1" numFmtId="0" xfId="0" applyAlignment="1" applyBorder="1" applyFill="1" applyFont="1">
      <alignment horizontal="center" shrinkToFit="0" vertical="center" wrapText="1"/>
    </xf>
    <xf borderId="11" fillId="3" fontId="1" numFmtId="0" xfId="0" applyAlignment="1" applyBorder="1" applyFill="1" applyFont="1">
      <alignment horizontal="center" shrinkToFit="0" vertical="center" wrapText="0"/>
    </xf>
    <xf borderId="13" fillId="3" fontId="1" numFmtId="0" xfId="0" applyAlignment="1" applyBorder="1" applyFill="1" applyFont="1">
      <alignment horizontal="center" shrinkToFit="0" vertical="center" wrapText="0"/>
    </xf>
    <xf borderId="0" fillId="3" fontId="1" numFmtId="0" xfId="0" applyAlignment="1" applyFill="1" applyFont="1">
      <alignment horizontal="center" shrinkToFit="0" vertical="center" wrapText="1"/>
    </xf>
    <xf borderId="14" fillId="3" fontId="10" numFmtId="0" xfId="0" applyAlignment="1" applyBorder="1" applyFill="1" applyFont="1">
      <alignment horizontal="center" shrinkToFit="0" vertical="center" wrapText="0"/>
    </xf>
    <xf borderId="6" fillId="3" fontId="1" numFmtId="0" xfId="0" applyAlignment="1" applyBorder="1" applyFill="1" applyFont="1">
      <alignment horizontal="center" shrinkToFit="0" vertical="center" wrapText="0"/>
    </xf>
    <xf borderId="6" fillId="3" fontId="1" numFmtId="0" xfId="0" applyAlignment="1" applyBorder="1" applyFill="1" applyFont="1">
      <alignment horizontal="center" shrinkToFit="0" vertical="center" wrapText="1"/>
    </xf>
    <xf borderId="14" fillId="3" fontId="1" numFmtId="0" xfId="0" applyAlignment="1" applyBorder="1" applyFill="1" applyFont="1">
      <alignment horizontal="center" shrinkToFit="0" vertical="center" wrapText="0"/>
    </xf>
    <xf borderId="15" fillId="3" fontId="1" numFmtId="0" xfId="0" applyAlignment="1" applyBorder="1" applyFill="1" applyFont="1">
      <alignment horizontal="center" shrinkToFit="0" vertical="center" wrapText="0"/>
    </xf>
    <xf borderId="14" fillId="3" fontId="5" numFmtId="0" xfId="0" applyAlignment="1" applyBorder="1" applyFill="1" applyFont="1">
      <alignment readingOrder="0" vertical="center"/>
    </xf>
    <xf borderId="0" fillId="3" fontId="26" numFmtId="0" xfId="0" applyAlignment="1" applyFill="1" applyFont="1">
      <alignment horizontal="center" shrinkToFit="0" vertical="center" wrapText="0"/>
    </xf>
    <xf borderId="1" fillId="4" fontId="17" numFmtId="0" xfId="0" applyAlignment="1" applyBorder="1" applyFill="1" applyFont="1">
      <alignment vertical="center"/>
    </xf>
    <xf borderId="14" fillId="3" fontId="5" numFmtId="0" xfId="0" applyAlignment="1" applyBorder="1" applyFill="1" applyFont="1">
      <alignment vertical="center"/>
    </xf>
    <xf borderId="1" fillId="4" fontId="23" numFmtId="0" xfId="0" applyAlignment="1" applyBorder="1" applyFill="1" applyFont="1">
      <alignment horizontal="center" readingOrder="0" vertical="center"/>
    </xf>
    <xf borderId="16" fillId="3" fontId="5" numFmtId="0" xfId="0" applyAlignment="1" applyBorder="1" applyFill="1" applyFont="1">
      <alignment readingOrder="0" vertical="center"/>
    </xf>
    <xf borderId="17" fillId="3" fontId="10" numFmtId="0" xfId="0" applyAlignment="1" applyBorder="1" applyFill="1" applyFont="1">
      <alignment horizontal="center" shrinkToFit="0" vertical="center" wrapText="0"/>
    </xf>
    <xf borderId="18" fillId="3" fontId="10" numFmtId="0" xfId="0" applyAlignment="1" applyBorder="1" applyFill="1" applyFont="1">
      <alignment horizontal="center" shrinkToFit="0" vertical="center" wrapText="0"/>
    </xf>
    <xf borderId="19" fillId="3" fontId="27" numFmtId="0" xfId="0" applyAlignment="1" applyBorder="1" applyFill="1" applyFont="1">
      <alignment horizontal="center" shrinkToFit="0" vertical="center" wrapText="0"/>
    </xf>
    <xf borderId="20" fillId="3" fontId="6" numFmtId="0" xfId="0" applyBorder="1" applyFill="1" applyFont="1"/>
    <xf borderId="19" fillId="3" fontId="1" numFmtId="0" xfId="0" applyAlignment="1" applyBorder="1" applyFill="1" applyFont="1">
      <alignment horizontal="center" readingOrder="0" shrinkToFit="0" vertical="center" wrapText="1"/>
    </xf>
    <xf borderId="21" fillId="3" fontId="6" numFmtId="0" xfId="0" applyBorder="1" applyFill="1" applyFont="1"/>
    <xf borderId="22" fillId="3" fontId="6" numFmtId="0" xfId="0" applyBorder="1" applyFill="1" applyFont="1"/>
    <xf borderId="18" fillId="3" fontId="1" numFmtId="0" xfId="0" applyAlignment="1" applyBorder="1" applyFill="1" applyFont="1">
      <alignment horizontal="center" shrinkToFit="0" vertical="center" wrapText="0"/>
    </xf>
    <xf borderId="18" fillId="3" fontId="1" numFmtId="0" xfId="0" applyAlignment="1" applyBorder="1" applyFill="1" applyFont="1">
      <alignment horizontal="center" shrinkToFit="0" vertical="center" wrapText="1"/>
    </xf>
    <xf borderId="23" fillId="3" fontId="1" numFmtId="0" xfId="0" applyAlignment="1" applyBorder="1" applyFill="1" applyFont="1">
      <alignment horizontal="center" shrinkToFit="0" vertical="center" wrapText="0"/>
    </xf>
    <xf borderId="24" fillId="3" fontId="1" numFmtId="0" xfId="0" applyAlignment="1" applyBorder="1" applyFill="1" applyFont="1">
      <alignment horizontal="center" shrinkToFit="0" vertical="center" wrapText="0"/>
    </xf>
    <xf borderId="14" fillId="3" fontId="1" numFmtId="0" xfId="0" applyAlignment="1" applyBorder="1" applyFill="1" applyFont="1">
      <alignment horizontal="center" shrinkToFit="0" vertical="center" wrapText="1"/>
    </xf>
    <xf borderId="0" fillId="3" fontId="1" numFmtId="0" xfId="0" applyAlignment="1" applyFill="1" applyFont="1">
      <alignment horizontal="center" shrinkToFit="0" vertical="center" wrapText="0"/>
    </xf>
    <xf borderId="0" fillId="3" fontId="24" numFmtId="0" xfId="0" applyFill="1" applyFont="1"/>
    <xf borderId="25" fillId="3" fontId="6" numFmtId="0" xfId="0" applyBorder="1" applyFill="1" applyFont="1"/>
    <xf borderId="26" fillId="3" fontId="6" numFmtId="0" xfId="0" applyBorder="1" applyFill="1" applyFon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Liandra Francini Orth" id="{e2372d5c-579f-46d2-adc2-a6c309cee797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C134" dT="2026-07-30T18:19:10.00" personId="{e2372d5c-579f-46d2-adc2-a6c309cee797}" id="{277d8f06-90a3-4655-a153-1148c4505955}" done="0">
    <x18tc:text xml:space="preserve">conferir necessidade de manter</x18tc:text>
  </x18tc:threadedComment>
  <x18tc:threadedComment ref="C450" dT="2026-08-19T16:50:18.00" personId="{e2372d5c-579f-46d2-adc2-a6c309cee797}" id="{f1bec09c-1fbe-4c86-9ef7-1f708af335da}" done="1">
    <x18tc:text xml:space="preserve">falta a tag ListaMaterial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desenvolvedores.migrate.com.br/2019/05/10/tabela-de-codigos-ibge-de-uf-e-municipios/" TargetMode="External"/><Relationship Id="rId10" Type="http://schemas.openxmlformats.org/officeDocument/2006/relationships/hyperlink" Target="https://desenvolvedores.migrate.com.br/2019/05/10/tabela-de-codigos-ibge-de-uf-e-municipios/" TargetMode="External"/><Relationship Id="rId13" Type="http://schemas.openxmlformats.org/officeDocument/2006/relationships/hyperlink" Target="https://desenvolvedores.migrate.com.br/2019/05/10/tabela-de-codigos-ibge-de-uf-e-municipios/" TargetMode="External"/><Relationship Id="rId12" Type="http://schemas.openxmlformats.org/officeDocument/2006/relationships/hyperlink" Target="https://desenvolvedores.migrate.com.br/2019/05/10/tabela-de-codigos-ibge-de-uf-e-municipios/" TargetMode="Externa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desenvolvedores.migrate.info/2021/12/10/controle-de-numeracao-de-rps/" TargetMode="External"/><Relationship Id="rId9" Type="http://schemas.openxmlformats.org/officeDocument/2006/relationships/hyperlink" Target="https://www.bcb.gov.br/estabilidadefinanceira/todasmoedas" TargetMode="External"/><Relationship Id="rId15" Type="http://schemas.openxmlformats.org/officeDocument/2006/relationships/vmlDrawing" Target="../drawings/vmlDrawing1.vml"/><Relationship Id="rId14" Type="http://schemas.openxmlformats.org/officeDocument/2006/relationships/drawing" Target="../drawings/drawing1.xml"/><Relationship Id="rId5" Type="http://schemas.openxmlformats.org/officeDocument/2006/relationships/hyperlink" Target="https://desenvolvedores.migrate.com.br/2019/05/10/tabela-de-codigos-ibge-de-uf-e-municipios/" TargetMode="External"/><Relationship Id="rId6" Type="http://schemas.openxmlformats.org/officeDocument/2006/relationships/hyperlink" Target="https://desenvolvedores.migrate.com.br/2019/05/10/tabela-de-codigos-ibge-de-uf-e-municipios/" TargetMode="External"/><Relationship Id="rId7" Type="http://schemas.openxmlformats.org/officeDocument/2006/relationships/hyperlink" Target="https://desenvolvedores.migrate.com.br/2019/05/10/tabela-de-codigos-ibge-de-uf-e-municipios/" TargetMode="External"/><Relationship Id="rId8" Type="http://schemas.openxmlformats.org/officeDocument/2006/relationships/hyperlink" Target="https://desenvolvedores.migrate.com.br/2019/05/10/tabela-de-codigos-ibge-de-uf-e-municipios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9.63"/>
    <col customWidth="1" min="2" max="2" width="8.75"/>
    <col customWidth="1" min="3" max="3" width="26.38"/>
    <col customWidth="1" min="4" max="4" width="55.0"/>
    <col customWidth="1" min="5" max="5" width="6.25"/>
    <col customWidth="1" min="6" max="6" width="8.13"/>
    <col customWidth="1" min="7" max="7" width="16.0"/>
    <col customWidth="1" min="8" max="8" width="6.5"/>
    <col customWidth="1" min="9" max="9" width="61.38"/>
    <col customWidth="1" min="10" max="10" width="9.63"/>
    <col customWidth="1" min="11" max="11" width="55.5"/>
    <col customWidth="1" min="12" max="12" width="20.63"/>
    <col customWidth="1" min="13" max="24" width="7.63"/>
  </cols>
  <sheetData>
    <row r="1">
      <c r="A1" s="13"/>
      <c r="B1" s="14" t="s">
        <v>3</v>
      </c>
      <c r="C1" s="15" t="s">
        <v>14</v>
      </c>
      <c r="D1" s="16" t="s">
        <v>6</v>
      </c>
      <c r="E1" s="18" t="s">
        <v>7</v>
      </c>
      <c r="F1" s="18" t="s">
        <v>8</v>
      </c>
      <c r="G1" s="18" t="s">
        <v>9</v>
      </c>
      <c r="H1" s="18" t="s">
        <v>10</v>
      </c>
      <c r="I1" s="16" t="s">
        <v>11</v>
      </c>
      <c r="J1" s="16" t="s">
        <v>12</v>
      </c>
      <c r="K1" s="16" t="s">
        <v>16</v>
      </c>
      <c r="L1" s="21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</row>
    <row r="2">
      <c r="A2" s="27">
        <v>1.0</v>
      </c>
      <c r="B2" s="40" t="str">
        <f t="shared" ref="B2:B8" si="1">"C"&amp;"0"&amp;A2</f>
        <v>C01</v>
      </c>
      <c r="C2" s="43" t="s">
        <v>45</v>
      </c>
      <c r="D2" s="46" t="s">
        <v>45</v>
      </c>
      <c r="E2" s="43" t="s">
        <v>30</v>
      </c>
      <c r="F2" s="43" t="s">
        <v>35</v>
      </c>
      <c r="G2" s="49" t="s">
        <v>39</v>
      </c>
      <c r="H2" s="43" t="s">
        <v>35</v>
      </c>
      <c r="I2" s="51"/>
      <c r="J2" s="51" t="s">
        <v>42</v>
      </c>
      <c r="K2" s="51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</row>
    <row r="3">
      <c r="A3" s="27">
        <f t="shared" ref="A3:A640" si="2">A2+1</f>
        <v>2</v>
      </c>
      <c r="B3" s="40" t="str">
        <f t="shared" si="1"/>
        <v>C02</v>
      </c>
      <c r="C3" s="43" t="s">
        <v>72</v>
      </c>
      <c r="D3" s="51" t="s">
        <v>73</v>
      </c>
      <c r="E3" s="43" t="s">
        <v>30</v>
      </c>
      <c r="F3" s="43" t="s">
        <v>60</v>
      </c>
      <c r="G3" s="49" t="s">
        <v>39</v>
      </c>
      <c r="H3" s="43" t="s">
        <v>79</v>
      </c>
      <c r="I3" s="51" t="s">
        <v>81</v>
      </c>
      <c r="J3" s="51" t="s">
        <v>42</v>
      </c>
      <c r="K3" s="58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</row>
    <row r="4">
      <c r="A4" s="59">
        <f t="shared" si="2"/>
        <v>3</v>
      </c>
      <c r="B4" s="61" t="str">
        <f t="shared" si="1"/>
        <v>C03</v>
      </c>
      <c r="C4" s="63" t="s">
        <v>98</v>
      </c>
      <c r="D4" s="58" t="s">
        <v>100</v>
      </c>
      <c r="E4" s="63" t="s">
        <v>58</v>
      </c>
      <c r="F4" s="63" t="s">
        <v>107</v>
      </c>
      <c r="G4" s="64" t="s">
        <v>39</v>
      </c>
      <c r="H4" s="63" t="s">
        <v>79</v>
      </c>
      <c r="I4" s="58" t="s">
        <v>113</v>
      </c>
      <c r="J4" s="58" t="s">
        <v>42</v>
      </c>
      <c r="K4" s="58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</row>
    <row r="5">
      <c r="A5" s="59">
        <f t="shared" si="2"/>
        <v>4</v>
      </c>
      <c r="B5" s="61" t="str">
        <f t="shared" si="1"/>
        <v>C04</v>
      </c>
      <c r="C5" s="63" t="s">
        <v>130</v>
      </c>
      <c r="D5" s="58" t="s">
        <v>131</v>
      </c>
      <c r="E5" s="63" t="s">
        <v>58</v>
      </c>
      <c r="F5" s="63" t="s">
        <v>135</v>
      </c>
      <c r="G5" s="64" t="s">
        <v>96</v>
      </c>
      <c r="H5" s="63" t="s">
        <v>79</v>
      </c>
      <c r="I5" s="58" t="s">
        <v>138</v>
      </c>
      <c r="J5" s="58" t="s">
        <v>42</v>
      </c>
      <c r="K5" s="58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</row>
    <row r="6">
      <c r="A6" s="59">
        <f t="shared" si="2"/>
        <v>5</v>
      </c>
      <c r="B6" s="61" t="str">
        <f t="shared" si="1"/>
        <v>C05</v>
      </c>
      <c r="C6" s="63" t="s">
        <v>151</v>
      </c>
      <c r="D6" s="58" t="s">
        <v>152</v>
      </c>
      <c r="E6" s="63" t="s">
        <v>58</v>
      </c>
      <c r="F6" s="63" t="s">
        <v>154</v>
      </c>
      <c r="G6" s="64" t="s">
        <v>96</v>
      </c>
      <c r="H6" s="63" t="s">
        <v>79</v>
      </c>
      <c r="I6" s="58" t="s">
        <v>158</v>
      </c>
      <c r="J6" s="58" t="s">
        <v>42</v>
      </c>
      <c r="K6" s="58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</row>
    <row r="7">
      <c r="A7" s="59">
        <f t="shared" si="2"/>
        <v>6</v>
      </c>
      <c r="B7" s="61" t="str">
        <f t="shared" si="1"/>
        <v>C06</v>
      </c>
      <c r="C7" s="63" t="s">
        <v>165</v>
      </c>
      <c r="D7" s="58" t="s">
        <v>168</v>
      </c>
      <c r="E7" s="63" t="s">
        <v>58</v>
      </c>
      <c r="F7" s="63" t="s">
        <v>169</v>
      </c>
      <c r="G7" s="64" t="s">
        <v>96</v>
      </c>
      <c r="H7" s="63" t="s">
        <v>79</v>
      </c>
      <c r="I7" s="58" t="s">
        <v>171</v>
      </c>
      <c r="J7" s="58" t="s">
        <v>42</v>
      </c>
      <c r="K7" s="58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</row>
    <row r="8">
      <c r="A8" s="59">
        <f t="shared" si="2"/>
        <v>7</v>
      </c>
      <c r="B8" s="61" t="str">
        <f t="shared" si="1"/>
        <v>C07</v>
      </c>
      <c r="C8" s="63" t="s">
        <v>178</v>
      </c>
      <c r="D8" s="58" t="s">
        <v>179</v>
      </c>
      <c r="E8" s="63" t="s">
        <v>58</v>
      </c>
      <c r="F8" s="63" t="s">
        <v>181</v>
      </c>
      <c r="G8" s="64" t="s">
        <v>96</v>
      </c>
      <c r="H8" s="63" t="s">
        <v>79</v>
      </c>
      <c r="I8" s="58" t="s">
        <v>183</v>
      </c>
      <c r="J8" s="58" t="s">
        <v>42</v>
      </c>
      <c r="K8" s="58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</row>
    <row r="9">
      <c r="A9" s="27">
        <f t="shared" si="2"/>
        <v>8</v>
      </c>
      <c r="B9" s="40" t="s">
        <v>188</v>
      </c>
      <c r="C9" s="43" t="s">
        <v>190</v>
      </c>
      <c r="D9" s="51"/>
      <c r="E9" s="43" t="s">
        <v>30</v>
      </c>
      <c r="F9" s="43" t="s">
        <v>35</v>
      </c>
      <c r="G9" s="49" t="s">
        <v>39</v>
      </c>
      <c r="H9" s="43" t="s">
        <v>79</v>
      </c>
      <c r="I9" s="51"/>
      <c r="J9" s="51" t="s">
        <v>42</v>
      </c>
      <c r="K9" s="51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</row>
    <row r="10">
      <c r="A10" s="59">
        <f t="shared" si="2"/>
        <v>9</v>
      </c>
      <c r="B10" s="61" t="str">
        <f>"C"&amp;"0"&amp;A10</f>
        <v>C09</v>
      </c>
      <c r="C10" s="63" t="s">
        <v>208</v>
      </c>
      <c r="D10" s="58" t="s">
        <v>209</v>
      </c>
      <c r="E10" s="63" t="s">
        <v>58</v>
      </c>
      <c r="F10" s="63" t="s">
        <v>210</v>
      </c>
      <c r="G10" s="64" t="s">
        <v>39</v>
      </c>
      <c r="H10" s="71" t="str">
        <f t="shared" ref="H10:H35" si="3">B$9</f>
        <v>C08</v>
      </c>
      <c r="I10" s="58" t="s">
        <v>214</v>
      </c>
      <c r="J10" s="58" t="s">
        <v>42</v>
      </c>
      <c r="K10" s="58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</row>
    <row r="11">
      <c r="A11" s="59">
        <f t="shared" si="2"/>
        <v>10</v>
      </c>
      <c r="B11" s="61" t="str">
        <f t="shared" ref="B11:B640" si="4">"C"&amp;A11</f>
        <v>C10</v>
      </c>
      <c r="C11" s="63" t="s">
        <v>218</v>
      </c>
      <c r="D11" s="58" t="s">
        <v>219</v>
      </c>
      <c r="E11" s="63" t="s">
        <v>58</v>
      </c>
      <c r="F11" s="63" t="s">
        <v>221</v>
      </c>
      <c r="G11" s="64" t="s">
        <v>39</v>
      </c>
      <c r="H11" s="71" t="str">
        <f t="shared" si="3"/>
        <v>C08</v>
      </c>
      <c r="I11" s="58" t="s">
        <v>224</v>
      </c>
      <c r="J11" s="58" t="s">
        <v>42</v>
      </c>
      <c r="K11" s="58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</row>
    <row r="12">
      <c r="A12" s="59">
        <f t="shared" si="2"/>
        <v>11</v>
      </c>
      <c r="B12" s="61" t="str">
        <f t="shared" si="4"/>
        <v>C11</v>
      </c>
      <c r="C12" s="63" t="s">
        <v>229</v>
      </c>
      <c r="D12" s="58" t="s">
        <v>230</v>
      </c>
      <c r="E12" s="63" t="s">
        <v>58</v>
      </c>
      <c r="F12" s="63" t="s">
        <v>231</v>
      </c>
      <c r="G12" s="64" t="s">
        <v>39</v>
      </c>
      <c r="H12" s="71" t="str">
        <f t="shared" si="3"/>
        <v>C08</v>
      </c>
      <c r="I12" s="74" t="s">
        <v>233</v>
      </c>
      <c r="J12" s="58" t="s">
        <v>42</v>
      </c>
      <c r="K12" s="58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</row>
    <row r="13">
      <c r="A13" s="59">
        <f t="shared" si="2"/>
        <v>12</v>
      </c>
      <c r="B13" s="61" t="str">
        <f t="shared" si="4"/>
        <v>C12</v>
      </c>
      <c r="C13" s="63" t="s">
        <v>238</v>
      </c>
      <c r="D13" s="58" t="s">
        <v>92</v>
      </c>
      <c r="E13" s="63" t="s">
        <v>58</v>
      </c>
      <c r="F13" s="63" t="s">
        <v>94</v>
      </c>
      <c r="G13" s="64" t="s">
        <v>96</v>
      </c>
      <c r="H13" s="71" t="str">
        <f t="shared" si="3"/>
        <v>C08</v>
      </c>
      <c r="I13" s="76" t="s">
        <v>240</v>
      </c>
      <c r="J13" s="74" t="s">
        <v>256</v>
      </c>
      <c r="K13" s="58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</row>
    <row r="14">
      <c r="A14" s="59">
        <f t="shared" si="2"/>
        <v>13</v>
      </c>
      <c r="B14" s="61" t="str">
        <f t="shared" si="4"/>
        <v>C13</v>
      </c>
      <c r="C14" s="77" t="s">
        <v>260</v>
      </c>
      <c r="D14" s="74" t="s">
        <v>261</v>
      </c>
      <c r="E14" s="63" t="s">
        <v>58</v>
      </c>
      <c r="F14" s="63" t="s">
        <v>210</v>
      </c>
      <c r="G14" s="64" t="s">
        <v>39</v>
      </c>
      <c r="H14" s="71" t="str">
        <f t="shared" si="3"/>
        <v>C08</v>
      </c>
      <c r="I14" s="74" t="s">
        <v>263</v>
      </c>
      <c r="J14" s="58"/>
      <c r="K14" s="58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</row>
    <row r="15">
      <c r="A15" s="59">
        <f t="shared" si="2"/>
        <v>14</v>
      </c>
      <c r="B15" s="61" t="str">
        <f t="shared" si="4"/>
        <v>C14</v>
      </c>
      <c r="C15" s="63" t="s">
        <v>270</v>
      </c>
      <c r="D15" s="58" t="s">
        <v>271</v>
      </c>
      <c r="E15" s="63" t="s">
        <v>58</v>
      </c>
      <c r="F15" s="63" t="s">
        <v>274</v>
      </c>
      <c r="G15" s="64" t="s">
        <v>39</v>
      </c>
      <c r="H15" s="71" t="str">
        <f t="shared" si="3"/>
        <v>C08</v>
      </c>
      <c r="I15" s="58" t="s">
        <v>276</v>
      </c>
      <c r="J15" s="58" t="s">
        <v>42</v>
      </c>
      <c r="K15" s="58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</row>
    <row r="16">
      <c r="A16" s="59">
        <f t="shared" si="2"/>
        <v>15</v>
      </c>
      <c r="B16" s="61" t="str">
        <f t="shared" si="4"/>
        <v>C15</v>
      </c>
      <c r="C16" s="63" t="s">
        <v>278</v>
      </c>
      <c r="D16" s="58" t="s">
        <v>279</v>
      </c>
      <c r="E16" s="63" t="s">
        <v>58</v>
      </c>
      <c r="F16" s="63" t="s">
        <v>274</v>
      </c>
      <c r="G16" s="64" t="s">
        <v>96</v>
      </c>
      <c r="H16" s="71" t="str">
        <f t="shared" si="3"/>
        <v>C08</v>
      </c>
      <c r="I16" s="58" t="s">
        <v>276</v>
      </c>
      <c r="J16" s="58" t="s">
        <v>42</v>
      </c>
      <c r="K16" s="58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</row>
    <row r="17">
      <c r="A17" s="59">
        <f t="shared" si="2"/>
        <v>16</v>
      </c>
      <c r="B17" s="61" t="str">
        <f t="shared" si="4"/>
        <v>C16</v>
      </c>
      <c r="C17" s="63" t="s">
        <v>284</v>
      </c>
      <c r="D17" s="58" t="s">
        <v>285</v>
      </c>
      <c r="E17" s="63" t="s">
        <v>58</v>
      </c>
      <c r="F17" s="63" t="s">
        <v>231</v>
      </c>
      <c r="G17" s="64" t="s">
        <v>96</v>
      </c>
      <c r="H17" s="71" t="str">
        <f t="shared" si="3"/>
        <v>C08</v>
      </c>
      <c r="I17" s="74" t="s">
        <v>292</v>
      </c>
      <c r="J17" s="58" t="s">
        <v>293</v>
      </c>
      <c r="K17" s="58" t="s">
        <v>294</v>
      </c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</row>
    <row r="18">
      <c r="A18" s="59">
        <f t="shared" si="2"/>
        <v>17</v>
      </c>
      <c r="B18" s="61" t="str">
        <f t="shared" si="4"/>
        <v>C17</v>
      </c>
      <c r="C18" s="63" t="s">
        <v>296</v>
      </c>
      <c r="D18" s="58" t="s">
        <v>297</v>
      </c>
      <c r="E18" s="63" t="s">
        <v>58</v>
      </c>
      <c r="F18" s="63" t="s">
        <v>298</v>
      </c>
      <c r="G18" s="64" t="s">
        <v>39</v>
      </c>
      <c r="H18" s="71" t="str">
        <f t="shared" si="3"/>
        <v>C08</v>
      </c>
      <c r="I18" s="58" t="s">
        <v>299</v>
      </c>
      <c r="J18" s="58" t="s">
        <v>293</v>
      </c>
      <c r="K18" s="58" t="s">
        <v>300</v>
      </c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</row>
    <row r="19">
      <c r="A19" s="59">
        <f t="shared" si="2"/>
        <v>18</v>
      </c>
      <c r="B19" s="61" t="str">
        <f t="shared" si="4"/>
        <v>C18</v>
      </c>
      <c r="C19" s="63" t="s">
        <v>302</v>
      </c>
      <c r="D19" s="58" t="s">
        <v>303</v>
      </c>
      <c r="E19" s="63" t="s">
        <v>58</v>
      </c>
      <c r="F19" s="63" t="s">
        <v>304</v>
      </c>
      <c r="G19" s="64" t="s">
        <v>39</v>
      </c>
      <c r="H19" s="71" t="str">
        <f t="shared" si="3"/>
        <v>C08</v>
      </c>
      <c r="I19" s="58" t="s">
        <v>306</v>
      </c>
      <c r="J19" s="58" t="s">
        <v>42</v>
      </c>
      <c r="K19" s="58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</row>
    <row r="20">
      <c r="A20" s="59">
        <f t="shared" si="2"/>
        <v>19</v>
      </c>
      <c r="B20" s="61" t="str">
        <f t="shared" si="4"/>
        <v>C19</v>
      </c>
      <c r="C20" s="63" t="s">
        <v>310</v>
      </c>
      <c r="D20" s="58" t="s">
        <v>311</v>
      </c>
      <c r="E20" s="63" t="s">
        <v>58</v>
      </c>
      <c r="F20" s="63" t="s">
        <v>312</v>
      </c>
      <c r="G20" s="64" t="s">
        <v>96</v>
      </c>
      <c r="H20" s="71" t="str">
        <f t="shared" si="3"/>
        <v>C08</v>
      </c>
      <c r="I20" s="58" t="s">
        <v>314</v>
      </c>
      <c r="J20" s="58" t="s">
        <v>42</v>
      </c>
      <c r="K20" s="58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</row>
    <row r="21">
      <c r="A21" s="59">
        <f t="shared" si="2"/>
        <v>20</v>
      </c>
      <c r="B21" s="61" t="str">
        <f t="shared" si="4"/>
        <v>C20</v>
      </c>
      <c r="C21" s="63" t="s">
        <v>316</v>
      </c>
      <c r="D21" s="58" t="s">
        <v>317</v>
      </c>
      <c r="E21" s="63" t="s">
        <v>58</v>
      </c>
      <c r="F21" s="63" t="s">
        <v>318</v>
      </c>
      <c r="G21" s="64" t="s">
        <v>96</v>
      </c>
      <c r="H21" s="71" t="str">
        <f t="shared" si="3"/>
        <v>C08</v>
      </c>
      <c r="I21" s="74" t="s">
        <v>321</v>
      </c>
      <c r="J21" s="74" t="s">
        <v>323</v>
      </c>
      <c r="K21" s="58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</row>
    <row r="22">
      <c r="A22" s="59">
        <f t="shared" si="2"/>
        <v>21</v>
      </c>
      <c r="B22" s="61" t="str">
        <f t="shared" si="4"/>
        <v>C21</v>
      </c>
      <c r="C22" s="63" t="s">
        <v>325</v>
      </c>
      <c r="D22" s="58" t="s">
        <v>326</v>
      </c>
      <c r="E22" s="63" t="s">
        <v>58</v>
      </c>
      <c r="F22" s="63" t="s">
        <v>327</v>
      </c>
      <c r="G22" s="64" t="s">
        <v>96</v>
      </c>
      <c r="H22" s="71" t="str">
        <f t="shared" si="3"/>
        <v>C08</v>
      </c>
      <c r="I22" s="74" t="s">
        <v>328</v>
      </c>
      <c r="J22" s="74" t="s">
        <v>323</v>
      </c>
      <c r="K22" s="58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</row>
    <row r="23" ht="289.5" customHeight="1">
      <c r="A23" s="59">
        <f t="shared" si="2"/>
        <v>22</v>
      </c>
      <c r="B23" s="61" t="str">
        <f t="shared" si="4"/>
        <v>C22</v>
      </c>
      <c r="C23" s="63" t="s">
        <v>330</v>
      </c>
      <c r="D23" s="58" t="s">
        <v>332</v>
      </c>
      <c r="E23" s="63" t="s">
        <v>58</v>
      </c>
      <c r="F23" s="63" t="s">
        <v>333</v>
      </c>
      <c r="G23" s="64" t="s">
        <v>96</v>
      </c>
      <c r="H23" s="71" t="str">
        <f t="shared" si="3"/>
        <v>C08</v>
      </c>
      <c r="I23" s="58" t="s">
        <v>334</v>
      </c>
      <c r="J23" s="58" t="s">
        <v>335</v>
      </c>
      <c r="K23" s="58" t="s">
        <v>336</v>
      </c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</row>
    <row r="24">
      <c r="A24" s="59">
        <f t="shared" si="2"/>
        <v>23</v>
      </c>
      <c r="B24" s="61" t="str">
        <f t="shared" si="4"/>
        <v>C23</v>
      </c>
      <c r="C24" s="63" t="s">
        <v>338</v>
      </c>
      <c r="D24" s="58" t="s">
        <v>339</v>
      </c>
      <c r="E24" s="63" t="s">
        <v>58</v>
      </c>
      <c r="F24" s="63" t="s">
        <v>231</v>
      </c>
      <c r="G24" s="64" t="s">
        <v>39</v>
      </c>
      <c r="H24" s="71" t="str">
        <f t="shared" si="3"/>
        <v>C08</v>
      </c>
      <c r="I24" s="78" t="s">
        <v>341</v>
      </c>
      <c r="J24" s="58" t="s">
        <v>42</v>
      </c>
      <c r="K24" s="58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</row>
    <row r="25">
      <c r="A25" s="59">
        <f t="shared" si="2"/>
        <v>24</v>
      </c>
      <c r="B25" s="61" t="str">
        <f t="shared" si="4"/>
        <v>C24</v>
      </c>
      <c r="C25" s="63" t="s">
        <v>343</v>
      </c>
      <c r="D25" s="58" t="s">
        <v>344</v>
      </c>
      <c r="E25" s="63" t="s">
        <v>58</v>
      </c>
      <c r="F25" s="63" t="s">
        <v>318</v>
      </c>
      <c r="G25" s="64" t="s">
        <v>96</v>
      </c>
      <c r="H25" s="71" t="str">
        <f t="shared" si="3"/>
        <v>C08</v>
      </c>
      <c r="I25" s="78" t="s">
        <v>346</v>
      </c>
      <c r="J25" s="74" t="s">
        <v>323</v>
      </c>
      <c r="K25" s="74" t="s">
        <v>347</v>
      </c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</row>
    <row r="26">
      <c r="A26" s="79">
        <f t="shared" si="2"/>
        <v>25</v>
      </c>
      <c r="B26" s="80" t="str">
        <f t="shared" si="4"/>
        <v>C25</v>
      </c>
      <c r="C26" s="81" t="s">
        <v>349</v>
      </c>
      <c r="D26" s="82" t="s">
        <v>351</v>
      </c>
      <c r="E26" s="83" t="s">
        <v>58</v>
      </c>
      <c r="F26" s="83" t="s">
        <v>318</v>
      </c>
      <c r="G26" s="84" t="s">
        <v>96</v>
      </c>
      <c r="H26" s="85" t="str">
        <f t="shared" si="3"/>
        <v>C08</v>
      </c>
      <c r="I26" s="82" t="s">
        <v>355</v>
      </c>
      <c r="J26" s="82" t="s">
        <v>31</v>
      </c>
      <c r="K26" s="82" t="s">
        <v>356</v>
      </c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</row>
    <row r="27">
      <c r="A27" s="59">
        <f t="shared" si="2"/>
        <v>26</v>
      </c>
      <c r="B27" s="61" t="str">
        <f t="shared" si="4"/>
        <v>C26</v>
      </c>
      <c r="C27" s="63" t="s">
        <v>359</v>
      </c>
      <c r="D27" s="58" t="s">
        <v>360</v>
      </c>
      <c r="E27" s="63" t="s">
        <v>58</v>
      </c>
      <c r="F27" s="63" t="s">
        <v>231</v>
      </c>
      <c r="G27" s="64" t="s">
        <v>39</v>
      </c>
      <c r="H27" s="71" t="str">
        <f t="shared" si="3"/>
        <v>C08</v>
      </c>
      <c r="I27" s="58" t="s">
        <v>362</v>
      </c>
      <c r="J27" s="58" t="s">
        <v>42</v>
      </c>
      <c r="K27" s="58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</row>
    <row r="28" ht="270.75" customHeight="1">
      <c r="A28" s="59">
        <f t="shared" si="2"/>
        <v>27</v>
      </c>
      <c r="B28" s="61" t="str">
        <f t="shared" si="4"/>
        <v>C27</v>
      </c>
      <c r="C28" s="63" t="s">
        <v>364</v>
      </c>
      <c r="D28" s="58" t="s">
        <v>365</v>
      </c>
      <c r="E28" s="63" t="s">
        <v>58</v>
      </c>
      <c r="F28" s="63" t="s">
        <v>231</v>
      </c>
      <c r="G28" s="64" t="s">
        <v>96</v>
      </c>
      <c r="H28" s="71" t="str">
        <f t="shared" si="3"/>
        <v>C08</v>
      </c>
      <c r="I28" s="58" t="s">
        <v>367</v>
      </c>
      <c r="J28" s="58" t="s">
        <v>42</v>
      </c>
      <c r="K28" s="58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</row>
    <row r="29">
      <c r="A29" s="59">
        <f t="shared" si="2"/>
        <v>28</v>
      </c>
      <c r="B29" s="61" t="str">
        <f t="shared" si="4"/>
        <v>C28</v>
      </c>
      <c r="C29" s="63" t="s">
        <v>369</v>
      </c>
      <c r="D29" s="58" t="s">
        <v>370</v>
      </c>
      <c r="E29" s="63" t="s">
        <v>58</v>
      </c>
      <c r="F29" s="63" t="s">
        <v>231</v>
      </c>
      <c r="G29" s="64" t="s">
        <v>96</v>
      </c>
      <c r="H29" s="71" t="str">
        <f t="shared" si="3"/>
        <v>C08</v>
      </c>
      <c r="I29" s="74" t="s">
        <v>371</v>
      </c>
      <c r="J29" s="74" t="s">
        <v>323</v>
      </c>
      <c r="K29" s="58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</row>
    <row r="30">
      <c r="A30" s="79">
        <f t="shared" si="2"/>
        <v>29</v>
      </c>
      <c r="B30" s="80" t="str">
        <f t="shared" si="4"/>
        <v>C29</v>
      </c>
      <c r="C30" s="81" t="s">
        <v>374</v>
      </c>
      <c r="D30" s="82" t="s">
        <v>375</v>
      </c>
      <c r="E30" s="83" t="s">
        <v>58</v>
      </c>
      <c r="F30" s="83" t="s">
        <v>231</v>
      </c>
      <c r="G30" s="84" t="s">
        <v>96</v>
      </c>
      <c r="H30" s="85" t="str">
        <f t="shared" si="3"/>
        <v>C08</v>
      </c>
      <c r="I30" s="82" t="s">
        <v>376</v>
      </c>
      <c r="J30" s="82" t="s">
        <v>31</v>
      </c>
      <c r="K30" s="87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</row>
    <row r="31">
      <c r="A31" s="79">
        <f t="shared" si="2"/>
        <v>30</v>
      </c>
      <c r="B31" s="80" t="str">
        <f t="shared" si="4"/>
        <v>C30</v>
      </c>
      <c r="C31" s="81" t="s">
        <v>379</v>
      </c>
      <c r="D31" s="82" t="s">
        <v>380</v>
      </c>
      <c r="E31" s="83" t="s">
        <v>58</v>
      </c>
      <c r="F31" s="83" t="s">
        <v>231</v>
      </c>
      <c r="G31" s="84" t="s">
        <v>96</v>
      </c>
      <c r="H31" s="85" t="str">
        <f t="shared" si="3"/>
        <v>C08</v>
      </c>
      <c r="I31" s="82" t="s">
        <v>381</v>
      </c>
      <c r="J31" s="82" t="s">
        <v>31</v>
      </c>
      <c r="K31" s="87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</row>
    <row r="32">
      <c r="A32" s="59">
        <f t="shared" si="2"/>
        <v>31</v>
      </c>
      <c r="B32" s="61" t="str">
        <f t="shared" si="4"/>
        <v>C31</v>
      </c>
      <c r="C32" s="63" t="s">
        <v>385</v>
      </c>
      <c r="D32" s="58" t="s">
        <v>386</v>
      </c>
      <c r="E32" s="63" t="s">
        <v>58</v>
      </c>
      <c r="F32" s="63" t="s">
        <v>231</v>
      </c>
      <c r="G32" s="64" t="s">
        <v>39</v>
      </c>
      <c r="H32" s="71" t="str">
        <f t="shared" si="3"/>
        <v>C08</v>
      </c>
      <c r="I32" s="58" t="s">
        <v>390</v>
      </c>
      <c r="J32" s="58" t="s">
        <v>42</v>
      </c>
      <c r="K32" s="58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</row>
    <row r="33">
      <c r="A33" s="59">
        <f t="shared" si="2"/>
        <v>32</v>
      </c>
      <c r="B33" s="61" t="str">
        <f t="shared" si="4"/>
        <v>C32</v>
      </c>
      <c r="C33" s="63" t="s">
        <v>395</v>
      </c>
      <c r="D33" s="58" t="s">
        <v>396</v>
      </c>
      <c r="E33" s="63" t="s">
        <v>58</v>
      </c>
      <c r="F33" s="63" t="s">
        <v>135</v>
      </c>
      <c r="G33" s="64" t="s">
        <v>96</v>
      </c>
      <c r="H33" s="71" t="str">
        <f t="shared" si="3"/>
        <v>C08</v>
      </c>
      <c r="I33" s="58" t="s">
        <v>398</v>
      </c>
      <c r="J33" s="58" t="s">
        <v>293</v>
      </c>
      <c r="K33" s="58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</row>
    <row r="34">
      <c r="A34" s="59">
        <f t="shared" si="2"/>
        <v>33</v>
      </c>
      <c r="B34" s="61" t="str">
        <f t="shared" si="4"/>
        <v>C33</v>
      </c>
      <c r="C34" s="63" t="s">
        <v>400</v>
      </c>
      <c r="D34" s="58" t="s">
        <v>401</v>
      </c>
      <c r="E34" s="63" t="s">
        <v>58</v>
      </c>
      <c r="F34" s="63" t="s">
        <v>231</v>
      </c>
      <c r="G34" s="64" t="s">
        <v>96</v>
      </c>
      <c r="H34" s="71" t="str">
        <f t="shared" si="3"/>
        <v>C08</v>
      </c>
      <c r="I34" s="58" t="s">
        <v>404</v>
      </c>
      <c r="J34" s="58" t="s">
        <v>42</v>
      </c>
      <c r="K34" s="58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</row>
    <row r="35">
      <c r="A35" s="59">
        <f t="shared" si="2"/>
        <v>34</v>
      </c>
      <c r="B35" s="61" t="str">
        <f t="shared" si="4"/>
        <v>C34</v>
      </c>
      <c r="C35" s="63" t="s">
        <v>406</v>
      </c>
      <c r="D35" s="58" t="s">
        <v>407</v>
      </c>
      <c r="E35" s="63" t="s">
        <v>58</v>
      </c>
      <c r="F35" s="63" t="s">
        <v>409</v>
      </c>
      <c r="G35" s="64" t="s">
        <v>39</v>
      </c>
      <c r="H35" s="71" t="str">
        <f t="shared" si="3"/>
        <v>C08</v>
      </c>
      <c r="I35" s="58" t="s">
        <v>410</v>
      </c>
      <c r="J35" s="58" t="s">
        <v>42</v>
      </c>
      <c r="K35" s="58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</row>
    <row r="36">
      <c r="A36" s="79">
        <f t="shared" si="2"/>
        <v>35</v>
      </c>
      <c r="B36" s="80" t="str">
        <f t="shared" si="4"/>
        <v>C35</v>
      </c>
      <c r="C36" s="81" t="s">
        <v>411</v>
      </c>
      <c r="D36" s="82" t="s">
        <v>412</v>
      </c>
      <c r="E36" s="81" t="s">
        <v>58</v>
      </c>
      <c r="F36" s="81" t="s">
        <v>409</v>
      </c>
      <c r="G36" s="84" t="s">
        <v>39</v>
      </c>
      <c r="H36" s="83" t="s">
        <v>188</v>
      </c>
      <c r="I36" s="88" t="s">
        <v>413</v>
      </c>
      <c r="J36" s="89" t="s">
        <v>414</v>
      </c>
      <c r="K36" s="87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</row>
    <row r="37">
      <c r="A37" s="79">
        <f t="shared" si="2"/>
        <v>36</v>
      </c>
      <c r="B37" s="80" t="str">
        <f t="shared" si="4"/>
        <v>C36</v>
      </c>
      <c r="C37" s="81" t="s">
        <v>416</v>
      </c>
      <c r="D37" s="82" t="s">
        <v>417</v>
      </c>
      <c r="E37" s="81" t="s">
        <v>58</v>
      </c>
      <c r="F37" s="81" t="s">
        <v>409</v>
      </c>
      <c r="G37" s="84" t="s">
        <v>96</v>
      </c>
      <c r="H37" s="83" t="s">
        <v>188</v>
      </c>
      <c r="I37" s="88" t="s">
        <v>418</v>
      </c>
      <c r="J37" s="89" t="s">
        <v>22</v>
      </c>
      <c r="K37" s="82" t="s">
        <v>421</v>
      </c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</row>
    <row r="38">
      <c r="A38" s="79">
        <f t="shared" si="2"/>
        <v>37</v>
      </c>
      <c r="B38" s="80" t="str">
        <f t="shared" si="4"/>
        <v>C37</v>
      </c>
      <c r="C38" s="81" t="s">
        <v>425</v>
      </c>
      <c r="D38" s="82" t="s">
        <v>427</v>
      </c>
      <c r="E38" s="81" t="s">
        <v>58</v>
      </c>
      <c r="F38" s="81" t="s">
        <v>429</v>
      </c>
      <c r="G38" s="84" t="s">
        <v>39</v>
      </c>
      <c r="H38" s="83" t="s">
        <v>188</v>
      </c>
      <c r="I38" s="88" t="s">
        <v>430</v>
      </c>
      <c r="J38" s="89" t="s">
        <v>414</v>
      </c>
      <c r="K38" s="87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</row>
    <row r="39">
      <c r="A39" s="79">
        <f t="shared" si="2"/>
        <v>38</v>
      </c>
      <c r="B39" s="80" t="str">
        <f t="shared" si="4"/>
        <v>C38</v>
      </c>
      <c r="C39" s="81" t="s">
        <v>432</v>
      </c>
      <c r="D39" s="82" t="s">
        <v>433</v>
      </c>
      <c r="E39" s="81" t="s">
        <v>58</v>
      </c>
      <c r="F39" s="81" t="s">
        <v>434</v>
      </c>
      <c r="G39" s="90" t="s">
        <v>96</v>
      </c>
      <c r="H39" s="83" t="s">
        <v>188</v>
      </c>
      <c r="I39" s="88" t="s">
        <v>418</v>
      </c>
      <c r="J39" s="89" t="s">
        <v>414</v>
      </c>
      <c r="K39" s="87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</row>
    <row r="40">
      <c r="A40" s="79">
        <f t="shared" si="2"/>
        <v>39</v>
      </c>
      <c r="B40" s="80" t="str">
        <f t="shared" si="4"/>
        <v>C39</v>
      </c>
      <c r="C40" s="81" t="s">
        <v>436</v>
      </c>
      <c r="D40" s="82" t="s">
        <v>437</v>
      </c>
      <c r="E40" s="81" t="s">
        <v>58</v>
      </c>
      <c r="F40" s="81" t="s">
        <v>409</v>
      </c>
      <c r="G40" s="84" t="s">
        <v>96</v>
      </c>
      <c r="H40" s="83" t="s">
        <v>188</v>
      </c>
      <c r="I40" s="88" t="s">
        <v>418</v>
      </c>
      <c r="J40" s="89" t="s">
        <v>414</v>
      </c>
      <c r="K40" s="87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</row>
    <row r="41">
      <c r="A41" s="91">
        <f t="shared" si="2"/>
        <v>40</v>
      </c>
      <c r="B41" s="92" t="str">
        <f t="shared" si="4"/>
        <v>C40</v>
      </c>
      <c r="C41" s="93" t="s">
        <v>440</v>
      </c>
      <c r="D41" s="94" t="s">
        <v>441</v>
      </c>
      <c r="E41" s="93" t="s">
        <v>58</v>
      </c>
      <c r="F41" s="93" t="s">
        <v>442</v>
      </c>
      <c r="G41" s="95" t="s">
        <v>96</v>
      </c>
      <c r="H41" s="96" t="s">
        <v>188</v>
      </c>
      <c r="I41" s="97" t="s">
        <v>445</v>
      </c>
      <c r="J41" s="98" t="s">
        <v>15</v>
      </c>
      <c r="K41" s="99"/>
      <c r="L41" s="100"/>
      <c r="M41" s="100"/>
      <c r="N41" s="100"/>
      <c r="O41" s="100"/>
      <c r="P41" s="100"/>
      <c r="Q41" s="100"/>
      <c r="R41" s="100"/>
      <c r="S41" s="100"/>
      <c r="T41" s="100"/>
      <c r="U41" s="100"/>
      <c r="V41" s="100"/>
      <c r="W41" s="100"/>
      <c r="X41" s="100"/>
    </row>
    <row r="42">
      <c r="A42" s="79">
        <f t="shared" si="2"/>
        <v>41</v>
      </c>
      <c r="B42" s="80" t="str">
        <f t="shared" si="4"/>
        <v>C41</v>
      </c>
      <c r="C42" s="81" t="s">
        <v>448</v>
      </c>
      <c r="D42" s="82" t="s">
        <v>449</v>
      </c>
      <c r="E42" s="81" t="s">
        <v>58</v>
      </c>
      <c r="F42" s="81" t="s">
        <v>409</v>
      </c>
      <c r="G42" s="84" t="s">
        <v>39</v>
      </c>
      <c r="H42" s="83" t="s">
        <v>188</v>
      </c>
      <c r="I42" s="88" t="s">
        <v>418</v>
      </c>
      <c r="J42" s="89" t="s">
        <v>414</v>
      </c>
      <c r="K42" s="87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</row>
    <row r="43">
      <c r="A43" s="79">
        <f t="shared" si="2"/>
        <v>42</v>
      </c>
      <c r="B43" s="80" t="str">
        <f t="shared" si="4"/>
        <v>C42</v>
      </c>
      <c r="C43" s="81" t="s">
        <v>451</v>
      </c>
      <c r="D43" s="82" t="s">
        <v>452</v>
      </c>
      <c r="E43" s="81" t="s">
        <v>58</v>
      </c>
      <c r="F43" s="81" t="s">
        <v>409</v>
      </c>
      <c r="G43" s="84" t="s">
        <v>96</v>
      </c>
      <c r="H43" s="81" t="s">
        <v>188</v>
      </c>
      <c r="I43" s="88" t="s">
        <v>418</v>
      </c>
      <c r="J43" s="89" t="s">
        <v>414</v>
      </c>
      <c r="K43" s="101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</row>
    <row r="44">
      <c r="A44" s="79">
        <f t="shared" si="2"/>
        <v>43</v>
      </c>
      <c r="B44" s="80" t="str">
        <f t="shared" si="4"/>
        <v>C43</v>
      </c>
      <c r="C44" s="81" t="s">
        <v>455</v>
      </c>
      <c r="D44" s="82" t="s">
        <v>456</v>
      </c>
      <c r="E44" s="81" t="s">
        <v>58</v>
      </c>
      <c r="F44" s="81" t="s">
        <v>409</v>
      </c>
      <c r="G44" s="84" t="s">
        <v>96</v>
      </c>
      <c r="H44" s="81" t="s">
        <v>188</v>
      </c>
      <c r="I44" s="88" t="s">
        <v>457</v>
      </c>
      <c r="J44" s="89" t="s">
        <v>27</v>
      </c>
      <c r="K44" s="82" t="s">
        <v>458</v>
      </c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</row>
    <row r="45">
      <c r="A45" s="59">
        <f t="shared" si="2"/>
        <v>44</v>
      </c>
      <c r="B45" s="61" t="str">
        <f t="shared" si="4"/>
        <v>C44</v>
      </c>
      <c r="C45" s="63" t="s">
        <v>460</v>
      </c>
      <c r="D45" s="58" t="s">
        <v>461</v>
      </c>
      <c r="E45" s="63" t="s">
        <v>58</v>
      </c>
      <c r="F45" s="63" t="s">
        <v>463</v>
      </c>
      <c r="G45" s="64" t="s">
        <v>96</v>
      </c>
      <c r="H45" s="74" t="s">
        <v>188</v>
      </c>
      <c r="I45" s="58" t="s">
        <v>464</v>
      </c>
      <c r="J45" s="58" t="s">
        <v>42</v>
      </c>
      <c r="K45" s="51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</row>
    <row r="46">
      <c r="A46" s="59">
        <f t="shared" si="2"/>
        <v>45</v>
      </c>
      <c r="B46" s="61" t="str">
        <f t="shared" si="4"/>
        <v>C45</v>
      </c>
      <c r="C46" s="63" t="s">
        <v>467</v>
      </c>
      <c r="D46" s="58" t="s">
        <v>469</v>
      </c>
      <c r="E46" s="63" t="s">
        <v>58</v>
      </c>
      <c r="F46" s="63" t="s">
        <v>409</v>
      </c>
      <c r="G46" s="64" t="s">
        <v>96</v>
      </c>
      <c r="H46" s="58" t="s">
        <v>188</v>
      </c>
      <c r="I46" s="58" t="s">
        <v>473</v>
      </c>
      <c r="J46" s="58" t="s">
        <v>474</v>
      </c>
      <c r="K46" s="51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</row>
    <row r="47">
      <c r="A47" s="59">
        <f t="shared" si="2"/>
        <v>46</v>
      </c>
      <c r="B47" s="61" t="str">
        <f t="shared" si="4"/>
        <v>C46</v>
      </c>
      <c r="C47" s="63" t="s">
        <v>482</v>
      </c>
      <c r="D47" s="58" t="s">
        <v>483</v>
      </c>
      <c r="E47" s="63" t="s">
        <v>58</v>
      </c>
      <c r="F47" s="63" t="s">
        <v>486</v>
      </c>
      <c r="G47" s="64" t="s">
        <v>96</v>
      </c>
      <c r="H47" s="63" t="s">
        <v>188</v>
      </c>
      <c r="I47" s="58" t="s">
        <v>488</v>
      </c>
      <c r="J47" s="58" t="s">
        <v>42</v>
      </c>
      <c r="K47" s="58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</row>
    <row r="48">
      <c r="A48" s="59">
        <f t="shared" si="2"/>
        <v>47</v>
      </c>
      <c r="B48" s="61" t="str">
        <f t="shared" si="4"/>
        <v>C47</v>
      </c>
      <c r="C48" s="63" t="s">
        <v>493</v>
      </c>
      <c r="D48" s="58" t="s">
        <v>494</v>
      </c>
      <c r="E48" s="63" t="s">
        <v>58</v>
      </c>
      <c r="F48" s="63" t="s">
        <v>221</v>
      </c>
      <c r="G48" s="64" t="s">
        <v>96</v>
      </c>
      <c r="H48" s="63" t="s">
        <v>188</v>
      </c>
      <c r="I48" s="58" t="s">
        <v>498</v>
      </c>
      <c r="J48" s="58" t="s">
        <v>42</v>
      </c>
      <c r="K48" s="58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</row>
    <row r="49">
      <c r="A49" s="27">
        <f t="shared" si="2"/>
        <v>48</v>
      </c>
      <c r="B49" s="40" t="str">
        <f t="shared" si="4"/>
        <v>C48</v>
      </c>
      <c r="C49" s="43" t="s">
        <v>502</v>
      </c>
      <c r="D49" s="51"/>
      <c r="E49" s="43" t="s">
        <v>30</v>
      </c>
      <c r="F49" s="43" t="s">
        <v>35</v>
      </c>
      <c r="G49" s="49" t="s">
        <v>96</v>
      </c>
      <c r="H49" s="43" t="s">
        <v>188</v>
      </c>
      <c r="I49" s="51"/>
      <c r="J49" s="51" t="s">
        <v>42</v>
      </c>
      <c r="K49" s="51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</row>
    <row r="50">
      <c r="A50" s="59">
        <f t="shared" si="2"/>
        <v>49</v>
      </c>
      <c r="B50" s="61" t="str">
        <f t="shared" si="4"/>
        <v>C49</v>
      </c>
      <c r="C50" s="63" t="s">
        <v>510</v>
      </c>
      <c r="D50" s="58" t="s">
        <v>511</v>
      </c>
      <c r="E50" s="63" t="s">
        <v>58</v>
      </c>
      <c r="F50" s="63" t="s">
        <v>210</v>
      </c>
      <c r="G50" s="64" t="s">
        <v>39</v>
      </c>
      <c r="H50" s="102" t="str">
        <f t="shared" ref="H50:H57" si="5">B$49</f>
        <v>C48</v>
      </c>
      <c r="I50" s="58" t="s">
        <v>518</v>
      </c>
      <c r="J50" s="58" t="s">
        <v>42</v>
      </c>
      <c r="K50" s="58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</row>
    <row r="51">
      <c r="A51" s="59">
        <f t="shared" si="2"/>
        <v>50</v>
      </c>
      <c r="B51" s="61" t="str">
        <f t="shared" si="4"/>
        <v>C50</v>
      </c>
      <c r="C51" s="63" t="s">
        <v>520</v>
      </c>
      <c r="D51" s="58" t="s">
        <v>521</v>
      </c>
      <c r="E51" s="63" t="s">
        <v>58</v>
      </c>
      <c r="F51" s="63" t="s">
        <v>221</v>
      </c>
      <c r="G51" s="64" t="s">
        <v>39</v>
      </c>
      <c r="H51" s="102" t="str">
        <f t="shared" si="5"/>
        <v>C48</v>
      </c>
      <c r="I51" s="58"/>
      <c r="J51" s="58" t="s">
        <v>42</v>
      </c>
      <c r="K51" s="58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</row>
    <row r="52">
      <c r="A52" s="59">
        <f t="shared" si="2"/>
        <v>51</v>
      </c>
      <c r="B52" s="61" t="str">
        <f t="shared" si="4"/>
        <v>C51</v>
      </c>
      <c r="C52" s="63" t="s">
        <v>527</v>
      </c>
      <c r="D52" s="58" t="s">
        <v>528</v>
      </c>
      <c r="E52" s="63" t="s">
        <v>58</v>
      </c>
      <c r="F52" s="63" t="s">
        <v>231</v>
      </c>
      <c r="G52" s="64" t="s">
        <v>39</v>
      </c>
      <c r="H52" s="102" t="str">
        <f t="shared" si="5"/>
        <v>C48</v>
      </c>
      <c r="I52" s="58"/>
      <c r="J52" s="58" t="s">
        <v>42</v>
      </c>
      <c r="K52" s="51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</row>
    <row r="53">
      <c r="A53" s="59">
        <f t="shared" si="2"/>
        <v>52</v>
      </c>
      <c r="B53" s="61" t="str">
        <f t="shared" si="4"/>
        <v>C52</v>
      </c>
      <c r="C53" s="63" t="s">
        <v>530</v>
      </c>
      <c r="D53" s="58" t="s">
        <v>531</v>
      </c>
      <c r="E53" s="63" t="s">
        <v>58</v>
      </c>
      <c r="F53" s="63" t="s">
        <v>210</v>
      </c>
      <c r="G53" s="64" t="s">
        <v>96</v>
      </c>
      <c r="H53" s="102" t="str">
        <f t="shared" si="5"/>
        <v>C48</v>
      </c>
      <c r="I53" s="58" t="s">
        <v>533</v>
      </c>
      <c r="J53" s="58" t="s">
        <v>42</v>
      </c>
      <c r="K53" s="58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</row>
    <row r="54">
      <c r="A54" s="59">
        <f t="shared" si="2"/>
        <v>53</v>
      </c>
      <c r="B54" s="61" t="str">
        <f t="shared" si="4"/>
        <v>C53</v>
      </c>
      <c r="C54" s="63" t="s">
        <v>536</v>
      </c>
      <c r="D54" s="58" t="s">
        <v>537</v>
      </c>
      <c r="E54" s="63" t="s">
        <v>58</v>
      </c>
      <c r="F54" s="63" t="s">
        <v>274</v>
      </c>
      <c r="G54" s="64" t="s">
        <v>96</v>
      </c>
      <c r="H54" s="102" t="str">
        <f t="shared" si="5"/>
        <v>C48</v>
      </c>
      <c r="I54" s="58" t="s">
        <v>540</v>
      </c>
      <c r="J54" s="58" t="s">
        <v>42</v>
      </c>
      <c r="K54" s="58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</row>
    <row r="55">
      <c r="A55" s="59">
        <f t="shared" si="2"/>
        <v>54</v>
      </c>
      <c r="B55" s="61" t="str">
        <f t="shared" si="4"/>
        <v>C54</v>
      </c>
      <c r="C55" s="63" t="s">
        <v>547</v>
      </c>
      <c r="D55" s="58" t="s">
        <v>548</v>
      </c>
      <c r="E55" s="63" t="s">
        <v>58</v>
      </c>
      <c r="F55" s="63" t="s">
        <v>549</v>
      </c>
      <c r="G55" s="64" t="s">
        <v>96</v>
      </c>
      <c r="H55" s="102" t="str">
        <f t="shared" si="5"/>
        <v>C48</v>
      </c>
      <c r="I55" s="58"/>
      <c r="J55" s="58" t="s">
        <v>42</v>
      </c>
      <c r="K55" s="58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</row>
    <row r="56">
      <c r="A56" s="59">
        <f t="shared" si="2"/>
        <v>55</v>
      </c>
      <c r="B56" s="61" t="str">
        <f t="shared" si="4"/>
        <v>C55</v>
      </c>
      <c r="C56" s="63" t="s">
        <v>552</v>
      </c>
      <c r="D56" s="58" t="s">
        <v>553</v>
      </c>
      <c r="E56" s="63" t="s">
        <v>58</v>
      </c>
      <c r="F56" s="63" t="s">
        <v>304</v>
      </c>
      <c r="G56" s="64" t="s">
        <v>96</v>
      </c>
      <c r="H56" s="102" t="str">
        <f t="shared" si="5"/>
        <v>C48</v>
      </c>
      <c r="I56" s="74" t="s">
        <v>555</v>
      </c>
      <c r="J56" s="74" t="s">
        <v>323</v>
      </c>
      <c r="K56" s="58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</row>
    <row r="57">
      <c r="A57" s="59">
        <f t="shared" si="2"/>
        <v>56</v>
      </c>
      <c r="B57" s="61" t="str">
        <f t="shared" si="4"/>
        <v>C56</v>
      </c>
      <c r="C57" s="63" t="s">
        <v>557</v>
      </c>
      <c r="D57" s="58" t="s">
        <v>558</v>
      </c>
      <c r="E57" s="63" t="s">
        <v>58</v>
      </c>
      <c r="F57" s="63" t="s">
        <v>559</v>
      </c>
      <c r="G57" s="64" t="s">
        <v>96</v>
      </c>
      <c r="H57" s="102" t="str">
        <f t="shared" si="5"/>
        <v>C48</v>
      </c>
      <c r="I57" s="74" t="s">
        <v>561</v>
      </c>
      <c r="J57" s="74" t="s">
        <v>323</v>
      </c>
      <c r="K57" s="58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</row>
    <row r="58">
      <c r="A58" s="27">
        <f t="shared" si="2"/>
        <v>57</v>
      </c>
      <c r="B58" s="40" t="str">
        <f t="shared" si="4"/>
        <v>C57</v>
      </c>
      <c r="C58" s="43" t="s">
        <v>563</v>
      </c>
      <c r="D58" s="51"/>
      <c r="E58" s="43" t="s">
        <v>30</v>
      </c>
      <c r="F58" s="43" t="s">
        <v>35</v>
      </c>
      <c r="G58" s="49" t="s">
        <v>39</v>
      </c>
      <c r="H58" s="43" t="s">
        <v>188</v>
      </c>
      <c r="I58" s="51"/>
      <c r="J58" s="51" t="s">
        <v>42</v>
      </c>
      <c r="K58" s="58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</row>
    <row r="59">
      <c r="A59" s="59">
        <f t="shared" si="2"/>
        <v>58</v>
      </c>
      <c r="B59" s="61" t="str">
        <f t="shared" si="4"/>
        <v>C58</v>
      </c>
      <c r="C59" s="63" t="s">
        <v>573</v>
      </c>
      <c r="D59" s="58" t="s">
        <v>574</v>
      </c>
      <c r="E59" s="63" t="s">
        <v>575</v>
      </c>
      <c r="F59" s="63" t="s">
        <v>577</v>
      </c>
      <c r="G59" s="64" t="s">
        <v>39</v>
      </c>
      <c r="H59" s="103" t="str">
        <f t="shared" ref="H59:H66" si="6">B$58</f>
        <v>C57</v>
      </c>
      <c r="I59" s="104" t="s">
        <v>586</v>
      </c>
      <c r="J59" s="58" t="s">
        <v>42</v>
      </c>
      <c r="K59" s="58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</row>
    <row r="60">
      <c r="A60" s="59">
        <f t="shared" si="2"/>
        <v>59</v>
      </c>
      <c r="B60" s="61" t="str">
        <f t="shared" si="4"/>
        <v>C59</v>
      </c>
      <c r="C60" s="63" t="s">
        <v>591</v>
      </c>
      <c r="D60" s="58" t="s">
        <v>592</v>
      </c>
      <c r="E60" s="63" t="s">
        <v>58</v>
      </c>
      <c r="F60" s="63" t="s">
        <v>593</v>
      </c>
      <c r="G60" s="64" t="s">
        <v>39</v>
      </c>
      <c r="H60" s="103" t="str">
        <f t="shared" si="6"/>
        <v>C57</v>
      </c>
      <c r="I60" s="58"/>
      <c r="J60" s="58" t="s">
        <v>42</v>
      </c>
      <c r="K60" s="58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</row>
    <row r="61">
      <c r="A61" s="59">
        <f t="shared" si="2"/>
        <v>60</v>
      </c>
      <c r="B61" s="61" t="str">
        <f t="shared" si="4"/>
        <v>C60</v>
      </c>
      <c r="C61" s="63" t="s">
        <v>597</v>
      </c>
      <c r="D61" s="58" t="s">
        <v>599</v>
      </c>
      <c r="E61" s="63" t="s">
        <v>58</v>
      </c>
      <c r="F61" s="63" t="s">
        <v>593</v>
      </c>
      <c r="G61" s="64" t="s">
        <v>39</v>
      </c>
      <c r="H61" s="103" t="str">
        <f t="shared" si="6"/>
        <v>C57</v>
      </c>
      <c r="I61" s="58"/>
      <c r="J61" s="58" t="s">
        <v>42</v>
      </c>
      <c r="K61" s="58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</row>
    <row r="62">
      <c r="A62" s="59">
        <f t="shared" si="2"/>
        <v>61</v>
      </c>
      <c r="B62" s="61" t="str">
        <f t="shared" si="4"/>
        <v>C61</v>
      </c>
      <c r="C62" s="63" t="s">
        <v>604</v>
      </c>
      <c r="D62" s="58" t="s">
        <v>605</v>
      </c>
      <c r="E62" s="63" t="s">
        <v>58</v>
      </c>
      <c r="F62" s="63" t="s">
        <v>606</v>
      </c>
      <c r="G62" s="64" t="s">
        <v>39</v>
      </c>
      <c r="H62" s="103" t="str">
        <f t="shared" si="6"/>
        <v>C57</v>
      </c>
      <c r="I62" s="58"/>
      <c r="J62" s="58" t="s">
        <v>42</v>
      </c>
      <c r="K62" s="51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</row>
    <row r="63">
      <c r="A63" s="59">
        <f t="shared" si="2"/>
        <v>62</v>
      </c>
      <c r="B63" s="61" t="str">
        <f t="shared" si="4"/>
        <v>C62</v>
      </c>
      <c r="C63" s="63" t="s">
        <v>611</v>
      </c>
      <c r="D63" s="58" t="s">
        <v>612</v>
      </c>
      <c r="E63" s="63" t="s">
        <v>58</v>
      </c>
      <c r="F63" s="63" t="s">
        <v>606</v>
      </c>
      <c r="G63" s="64" t="s">
        <v>96</v>
      </c>
      <c r="H63" s="103" t="str">
        <f t="shared" si="6"/>
        <v>C57</v>
      </c>
      <c r="I63" s="58" t="s">
        <v>621</v>
      </c>
      <c r="J63" s="58" t="s">
        <v>42</v>
      </c>
      <c r="K63" s="58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</row>
    <row r="64">
      <c r="A64" s="59">
        <f t="shared" si="2"/>
        <v>63</v>
      </c>
      <c r="B64" s="61" t="str">
        <f t="shared" si="4"/>
        <v>C63</v>
      </c>
      <c r="C64" s="63" t="s">
        <v>627</v>
      </c>
      <c r="D64" s="58" t="s">
        <v>628</v>
      </c>
      <c r="E64" s="63" t="s">
        <v>58</v>
      </c>
      <c r="F64" s="63" t="s">
        <v>606</v>
      </c>
      <c r="G64" s="64" t="s">
        <v>96</v>
      </c>
      <c r="H64" s="103" t="str">
        <f t="shared" si="6"/>
        <v>C57</v>
      </c>
      <c r="I64" s="58"/>
      <c r="J64" s="58" t="s">
        <v>42</v>
      </c>
      <c r="K64" s="58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</row>
    <row r="65">
      <c r="A65" s="59">
        <f t="shared" si="2"/>
        <v>64</v>
      </c>
      <c r="B65" s="61" t="str">
        <f t="shared" si="4"/>
        <v>C64</v>
      </c>
      <c r="C65" s="63" t="s">
        <v>638</v>
      </c>
      <c r="D65" s="58" t="s">
        <v>639</v>
      </c>
      <c r="E65" s="63" t="s">
        <v>58</v>
      </c>
      <c r="F65" s="63" t="s">
        <v>327</v>
      </c>
      <c r="G65" s="64" t="s">
        <v>96</v>
      </c>
      <c r="H65" s="103" t="str">
        <f t="shared" si="6"/>
        <v>C57</v>
      </c>
      <c r="I65" s="51" t="s">
        <v>642</v>
      </c>
      <c r="J65" s="74" t="s">
        <v>323</v>
      </c>
      <c r="K65" s="58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</row>
    <row r="66">
      <c r="A66" s="27">
        <f t="shared" si="2"/>
        <v>65</v>
      </c>
      <c r="B66" s="40" t="str">
        <f t="shared" si="4"/>
        <v>C65</v>
      </c>
      <c r="C66" s="43" t="s">
        <v>644</v>
      </c>
      <c r="D66" s="51" t="s">
        <v>645</v>
      </c>
      <c r="E66" s="43" t="s">
        <v>30</v>
      </c>
      <c r="F66" s="43" t="s">
        <v>35</v>
      </c>
      <c r="G66" s="49" t="s">
        <v>39</v>
      </c>
      <c r="H66" s="105" t="str">
        <f t="shared" si="6"/>
        <v>C57</v>
      </c>
      <c r="I66" s="51"/>
      <c r="J66" s="51" t="s">
        <v>42</v>
      </c>
      <c r="K66" s="51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</row>
    <row r="67">
      <c r="A67" s="59">
        <f t="shared" si="2"/>
        <v>66</v>
      </c>
      <c r="B67" s="61" t="str">
        <f t="shared" si="4"/>
        <v>C66</v>
      </c>
      <c r="C67" s="63" t="s">
        <v>650</v>
      </c>
      <c r="D67" s="58" t="s">
        <v>651</v>
      </c>
      <c r="E67" s="63" t="s">
        <v>58</v>
      </c>
      <c r="F67" s="63" t="s">
        <v>652</v>
      </c>
      <c r="G67" s="64" t="s">
        <v>39</v>
      </c>
      <c r="H67" s="71" t="str">
        <f t="shared" ref="H67:H76" si="7">B$66</f>
        <v>C65</v>
      </c>
      <c r="I67" s="58"/>
      <c r="J67" s="58" t="s">
        <v>42</v>
      </c>
      <c r="K67" s="58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</row>
    <row r="68">
      <c r="A68" s="59">
        <f t="shared" si="2"/>
        <v>67</v>
      </c>
      <c r="B68" s="61" t="str">
        <f t="shared" si="4"/>
        <v>C67</v>
      </c>
      <c r="C68" s="63" t="s">
        <v>658</v>
      </c>
      <c r="D68" s="58" t="s">
        <v>660</v>
      </c>
      <c r="E68" s="63" t="s">
        <v>58</v>
      </c>
      <c r="F68" s="63" t="s">
        <v>593</v>
      </c>
      <c r="G68" s="64" t="s">
        <v>39</v>
      </c>
      <c r="H68" s="71" t="str">
        <f t="shared" si="7"/>
        <v>C65</v>
      </c>
      <c r="I68" s="58"/>
      <c r="J68" s="58" t="s">
        <v>42</v>
      </c>
      <c r="K68" s="58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</row>
    <row r="69">
      <c r="A69" s="59">
        <f t="shared" si="2"/>
        <v>68</v>
      </c>
      <c r="B69" s="61" t="str">
        <f t="shared" si="4"/>
        <v>C68</v>
      </c>
      <c r="C69" s="63" t="s">
        <v>662</v>
      </c>
      <c r="D69" s="58" t="s">
        <v>663</v>
      </c>
      <c r="E69" s="63" t="s">
        <v>58</v>
      </c>
      <c r="F69" s="63" t="s">
        <v>593</v>
      </c>
      <c r="G69" s="64" t="s">
        <v>96</v>
      </c>
      <c r="H69" s="71" t="str">
        <f t="shared" si="7"/>
        <v>C65</v>
      </c>
      <c r="I69" s="58"/>
      <c r="J69" s="58" t="s">
        <v>42</v>
      </c>
      <c r="K69" s="58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</row>
    <row r="70">
      <c r="A70" s="59">
        <f t="shared" si="2"/>
        <v>69</v>
      </c>
      <c r="B70" s="61" t="str">
        <f t="shared" si="4"/>
        <v>C69</v>
      </c>
      <c r="C70" s="63" t="s">
        <v>666</v>
      </c>
      <c r="D70" s="58" t="s">
        <v>667</v>
      </c>
      <c r="E70" s="63" t="s">
        <v>58</v>
      </c>
      <c r="F70" s="63" t="s">
        <v>593</v>
      </c>
      <c r="G70" s="64" t="s">
        <v>96</v>
      </c>
      <c r="H70" s="71" t="str">
        <f t="shared" si="7"/>
        <v>C65</v>
      </c>
      <c r="I70" s="58"/>
      <c r="J70" s="58" t="s">
        <v>42</v>
      </c>
      <c r="K70" s="58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</row>
    <row r="71">
      <c r="A71" s="59">
        <f t="shared" si="2"/>
        <v>70</v>
      </c>
      <c r="B71" s="61" t="str">
        <f t="shared" si="4"/>
        <v>C70</v>
      </c>
      <c r="C71" s="63" t="s">
        <v>669</v>
      </c>
      <c r="D71" s="58" t="s">
        <v>670</v>
      </c>
      <c r="E71" s="63" t="s">
        <v>58</v>
      </c>
      <c r="F71" s="63" t="s">
        <v>593</v>
      </c>
      <c r="G71" s="64" t="s">
        <v>39</v>
      </c>
      <c r="H71" s="71" t="str">
        <f t="shared" si="7"/>
        <v>C65</v>
      </c>
      <c r="I71" s="58"/>
      <c r="J71" s="58" t="s">
        <v>42</v>
      </c>
      <c r="K71" s="58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</row>
    <row r="72">
      <c r="A72" s="59">
        <f t="shared" si="2"/>
        <v>71</v>
      </c>
      <c r="B72" s="61" t="str">
        <f t="shared" si="4"/>
        <v>C71</v>
      </c>
      <c r="C72" s="63" t="s">
        <v>673</v>
      </c>
      <c r="D72" s="58" t="s">
        <v>674</v>
      </c>
      <c r="E72" s="63" t="s">
        <v>58</v>
      </c>
      <c r="F72" s="63" t="s">
        <v>675</v>
      </c>
      <c r="G72" s="64" t="s">
        <v>39</v>
      </c>
      <c r="H72" s="71" t="str">
        <f t="shared" si="7"/>
        <v>C65</v>
      </c>
      <c r="I72" s="76" t="s">
        <v>676</v>
      </c>
      <c r="J72" s="58" t="s">
        <v>42</v>
      </c>
      <c r="K72" s="58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</row>
    <row r="73">
      <c r="A73" s="59">
        <f t="shared" si="2"/>
        <v>72</v>
      </c>
      <c r="B73" s="61" t="str">
        <f t="shared" si="4"/>
        <v>C72</v>
      </c>
      <c r="C73" s="63" t="s">
        <v>682</v>
      </c>
      <c r="D73" s="58" t="s">
        <v>683</v>
      </c>
      <c r="E73" s="63" t="s">
        <v>58</v>
      </c>
      <c r="F73" s="63" t="s">
        <v>684</v>
      </c>
      <c r="G73" s="64" t="s">
        <v>39</v>
      </c>
      <c r="H73" s="71" t="str">
        <f t="shared" si="7"/>
        <v>C65</v>
      </c>
      <c r="I73" s="58" t="s">
        <v>686</v>
      </c>
      <c r="J73" s="58" t="s">
        <v>42</v>
      </c>
      <c r="K73" s="51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</row>
    <row r="74">
      <c r="A74" s="59">
        <f t="shared" si="2"/>
        <v>73</v>
      </c>
      <c r="B74" s="61" t="str">
        <f t="shared" si="4"/>
        <v>C73</v>
      </c>
      <c r="C74" s="63" t="s">
        <v>690</v>
      </c>
      <c r="D74" s="58" t="s">
        <v>691</v>
      </c>
      <c r="E74" s="63" t="s">
        <v>58</v>
      </c>
      <c r="F74" s="77" t="s">
        <v>692</v>
      </c>
      <c r="G74" s="64" t="s">
        <v>39</v>
      </c>
      <c r="H74" s="71" t="str">
        <f t="shared" si="7"/>
        <v>C65</v>
      </c>
      <c r="I74" s="58"/>
      <c r="J74" s="58" t="s">
        <v>42</v>
      </c>
      <c r="K74" s="58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</row>
    <row r="75">
      <c r="A75" s="59">
        <f t="shared" si="2"/>
        <v>74</v>
      </c>
      <c r="B75" s="61" t="str">
        <f t="shared" si="4"/>
        <v>C74</v>
      </c>
      <c r="C75" s="63" t="s">
        <v>695</v>
      </c>
      <c r="D75" s="58" t="s">
        <v>696</v>
      </c>
      <c r="E75" s="63" t="s">
        <v>58</v>
      </c>
      <c r="F75" s="63" t="s">
        <v>577</v>
      </c>
      <c r="G75" s="64" t="s">
        <v>96</v>
      </c>
      <c r="H75" s="71" t="str">
        <f t="shared" si="7"/>
        <v>C65</v>
      </c>
      <c r="I75" s="58"/>
      <c r="J75" s="58" t="s">
        <v>42</v>
      </c>
      <c r="K75" s="58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</row>
    <row r="76">
      <c r="A76" s="59">
        <f t="shared" si="2"/>
        <v>75</v>
      </c>
      <c r="B76" s="61" t="str">
        <f t="shared" si="4"/>
        <v>C75</v>
      </c>
      <c r="C76" s="63" t="s">
        <v>702</v>
      </c>
      <c r="D76" s="58" t="s">
        <v>703</v>
      </c>
      <c r="E76" s="63" t="s">
        <v>58</v>
      </c>
      <c r="F76" s="63" t="s">
        <v>705</v>
      </c>
      <c r="G76" s="64" t="s">
        <v>96</v>
      </c>
      <c r="H76" s="71" t="str">
        <f t="shared" si="7"/>
        <v>C65</v>
      </c>
      <c r="I76" s="58"/>
      <c r="J76" s="58" t="s">
        <v>42</v>
      </c>
      <c r="K76" s="51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</row>
    <row r="77">
      <c r="A77" s="27">
        <f t="shared" si="2"/>
        <v>76</v>
      </c>
      <c r="B77" s="40" t="str">
        <f t="shared" si="4"/>
        <v>C76</v>
      </c>
      <c r="C77" s="43" t="s">
        <v>708</v>
      </c>
      <c r="D77" s="51"/>
      <c r="E77" s="43" t="s">
        <v>30</v>
      </c>
      <c r="F77" s="43" t="s">
        <v>35</v>
      </c>
      <c r="G77" s="49" t="s">
        <v>96</v>
      </c>
      <c r="H77" s="51" t="s">
        <v>188</v>
      </c>
      <c r="I77" s="51" t="s">
        <v>711</v>
      </c>
      <c r="J77" s="51" t="s">
        <v>42</v>
      </c>
      <c r="K77" s="58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</row>
    <row r="78">
      <c r="A78" s="27">
        <f t="shared" si="2"/>
        <v>77</v>
      </c>
      <c r="B78" s="40" t="str">
        <f t="shared" si="4"/>
        <v>C77</v>
      </c>
      <c r="C78" s="43" t="s">
        <v>712</v>
      </c>
      <c r="D78" s="51"/>
      <c r="E78" s="43" t="s">
        <v>30</v>
      </c>
      <c r="F78" s="43" t="s">
        <v>35</v>
      </c>
      <c r="G78" s="49" t="s">
        <v>713</v>
      </c>
      <c r="H78" s="105" t="str">
        <f>B$77</f>
        <v>C76</v>
      </c>
      <c r="I78" s="51" t="s">
        <v>715</v>
      </c>
      <c r="J78" s="51" t="s">
        <v>42</v>
      </c>
      <c r="K78" s="58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</row>
    <row r="79">
      <c r="A79" s="59">
        <f t="shared" si="2"/>
        <v>78</v>
      </c>
      <c r="B79" s="61" t="str">
        <f t="shared" si="4"/>
        <v>C78</v>
      </c>
      <c r="C79" s="63" t="s">
        <v>717</v>
      </c>
      <c r="D79" s="58" t="s">
        <v>718</v>
      </c>
      <c r="E79" s="63" t="s">
        <v>58</v>
      </c>
      <c r="F79" s="63" t="s">
        <v>719</v>
      </c>
      <c r="G79" s="64" t="s">
        <v>39</v>
      </c>
      <c r="H79" s="71" t="str">
        <f t="shared" ref="H79:H144" si="8">B$78</f>
        <v>C77</v>
      </c>
      <c r="I79" s="58"/>
      <c r="J79" s="58" t="s">
        <v>42</v>
      </c>
      <c r="K79" s="58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</row>
    <row r="80">
      <c r="A80" s="59">
        <f t="shared" si="2"/>
        <v>79</v>
      </c>
      <c r="B80" s="61" t="str">
        <f t="shared" si="4"/>
        <v>C79</v>
      </c>
      <c r="C80" s="63" t="s">
        <v>725</v>
      </c>
      <c r="D80" s="58" t="s">
        <v>726</v>
      </c>
      <c r="E80" s="63" t="s">
        <v>58</v>
      </c>
      <c r="F80" s="63" t="s">
        <v>727</v>
      </c>
      <c r="G80" s="64" t="s">
        <v>39</v>
      </c>
      <c r="H80" s="71" t="str">
        <f t="shared" si="8"/>
        <v>C77</v>
      </c>
      <c r="I80" s="58"/>
      <c r="J80" s="58" t="s">
        <v>42</v>
      </c>
      <c r="K80" s="58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</row>
    <row r="81">
      <c r="A81" s="59">
        <f t="shared" si="2"/>
        <v>80</v>
      </c>
      <c r="B81" s="61" t="str">
        <f t="shared" si="4"/>
        <v>C80</v>
      </c>
      <c r="C81" s="63" t="s">
        <v>729</v>
      </c>
      <c r="D81" s="58" t="s">
        <v>730</v>
      </c>
      <c r="E81" s="63" t="s">
        <v>58</v>
      </c>
      <c r="F81" s="63" t="s">
        <v>732</v>
      </c>
      <c r="G81" s="64" t="s">
        <v>39</v>
      </c>
      <c r="H81" s="71" t="str">
        <f t="shared" si="8"/>
        <v>C77</v>
      </c>
      <c r="I81" s="51" t="s">
        <v>734</v>
      </c>
      <c r="J81" s="58" t="s">
        <v>42</v>
      </c>
      <c r="K81" s="58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</row>
    <row r="82">
      <c r="A82" s="59">
        <f t="shared" si="2"/>
        <v>81</v>
      </c>
      <c r="B82" s="61" t="str">
        <f t="shared" si="4"/>
        <v>C81</v>
      </c>
      <c r="C82" s="63" t="s">
        <v>737</v>
      </c>
      <c r="D82" s="58" t="s">
        <v>739</v>
      </c>
      <c r="E82" s="63" t="s">
        <v>58</v>
      </c>
      <c r="F82" s="63" t="s">
        <v>740</v>
      </c>
      <c r="G82" s="64" t="s">
        <v>39</v>
      </c>
      <c r="H82" s="71" t="str">
        <f t="shared" si="8"/>
        <v>C77</v>
      </c>
      <c r="I82" s="58"/>
      <c r="J82" s="58" t="s">
        <v>42</v>
      </c>
      <c r="K82" s="58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</row>
    <row r="83">
      <c r="A83" s="59">
        <f t="shared" si="2"/>
        <v>82</v>
      </c>
      <c r="B83" s="61" t="str">
        <f t="shared" si="4"/>
        <v>C82</v>
      </c>
      <c r="C83" s="63" t="s">
        <v>742</v>
      </c>
      <c r="D83" s="58" t="s">
        <v>743</v>
      </c>
      <c r="E83" s="63" t="s">
        <v>58</v>
      </c>
      <c r="F83" s="63" t="s">
        <v>740</v>
      </c>
      <c r="G83" s="64" t="s">
        <v>39</v>
      </c>
      <c r="H83" s="71" t="str">
        <f t="shared" si="8"/>
        <v>C77</v>
      </c>
      <c r="I83" s="58"/>
      <c r="J83" s="58" t="s">
        <v>42</v>
      </c>
      <c r="K83" s="51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</row>
    <row r="84">
      <c r="A84" s="59">
        <f t="shared" si="2"/>
        <v>83</v>
      </c>
      <c r="B84" s="61" t="str">
        <f t="shared" si="4"/>
        <v>C83</v>
      </c>
      <c r="C84" s="63" t="s">
        <v>744</v>
      </c>
      <c r="D84" s="58" t="s">
        <v>745</v>
      </c>
      <c r="E84" s="63" t="s">
        <v>58</v>
      </c>
      <c r="F84" s="63" t="s">
        <v>60</v>
      </c>
      <c r="G84" s="64" t="s">
        <v>96</v>
      </c>
      <c r="H84" s="71" t="str">
        <f t="shared" si="8"/>
        <v>C77</v>
      </c>
      <c r="I84" s="58"/>
      <c r="J84" s="58" t="s">
        <v>42</v>
      </c>
      <c r="K84" s="58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</row>
    <row r="85">
      <c r="A85" s="59">
        <f t="shared" si="2"/>
        <v>84</v>
      </c>
      <c r="B85" s="61" t="str">
        <f t="shared" si="4"/>
        <v>C84</v>
      </c>
      <c r="C85" s="63" t="s">
        <v>746</v>
      </c>
      <c r="D85" s="58" t="s">
        <v>747</v>
      </c>
      <c r="E85" s="63" t="s">
        <v>58</v>
      </c>
      <c r="F85" s="63" t="s">
        <v>740</v>
      </c>
      <c r="G85" s="64" t="s">
        <v>96</v>
      </c>
      <c r="H85" s="71" t="str">
        <f t="shared" si="8"/>
        <v>C77</v>
      </c>
      <c r="I85" s="58"/>
      <c r="J85" s="58" t="s">
        <v>42</v>
      </c>
      <c r="K85" s="58" t="s">
        <v>748</v>
      </c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</row>
    <row r="86">
      <c r="A86" s="59">
        <f t="shared" si="2"/>
        <v>85</v>
      </c>
      <c r="B86" s="61" t="str">
        <f t="shared" si="4"/>
        <v>C85</v>
      </c>
      <c r="C86" s="63" t="s">
        <v>749</v>
      </c>
      <c r="D86" s="58" t="s">
        <v>750</v>
      </c>
      <c r="E86" s="63" t="s">
        <v>58</v>
      </c>
      <c r="F86" s="63" t="s">
        <v>304</v>
      </c>
      <c r="G86" s="64" t="s">
        <v>96</v>
      </c>
      <c r="H86" s="71" t="str">
        <f t="shared" si="8"/>
        <v>C77</v>
      </c>
      <c r="I86" s="58" t="s">
        <v>751</v>
      </c>
      <c r="J86" s="58" t="s">
        <v>42</v>
      </c>
      <c r="K86" s="51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</row>
    <row r="87">
      <c r="A87" s="59">
        <f t="shared" si="2"/>
        <v>86</v>
      </c>
      <c r="B87" s="61" t="str">
        <f t="shared" si="4"/>
        <v>C86</v>
      </c>
      <c r="C87" s="63" t="s">
        <v>752</v>
      </c>
      <c r="D87" s="58" t="s">
        <v>753</v>
      </c>
      <c r="E87" s="63" t="s">
        <v>58</v>
      </c>
      <c r="F87" s="63" t="s">
        <v>60</v>
      </c>
      <c r="G87" s="64" t="s">
        <v>96</v>
      </c>
      <c r="H87" s="71" t="str">
        <f t="shared" si="8"/>
        <v>C77</v>
      </c>
      <c r="I87" s="58"/>
      <c r="J87" s="58" t="s">
        <v>42</v>
      </c>
      <c r="K87" s="58" t="s">
        <v>754</v>
      </c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</row>
    <row r="88">
      <c r="A88" s="59">
        <f t="shared" si="2"/>
        <v>87</v>
      </c>
      <c r="B88" s="61" t="str">
        <f t="shared" si="4"/>
        <v>C87</v>
      </c>
      <c r="C88" s="63" t="s">
        <v>755</v>
      </c>
      <c r="D88" s="58" t="s">
        <v>756</v>
      </c>
      <c r="E88" s="63" t="s">
        <v>58</v>
      </c>
      <c r="F88" s="63" t="s">
        <v>757</v>
      </c>
      <c r="G88" s="64" t="s">
        <v>96</v>
      </c>
      <c r="H88" s="71" t="str">
        <f t="shared" si="8"/>
        <v>C77</v>
      </c>
      <c r="I88" s="58" t="s">
        <v>758</v>
      </c>
      <c r="J88" s="58" t="s">
        <v>42</v>
      </c>
      <c r="K88" s="58" t="s">
        <v>759</v>
      </c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</row>
    <row r="89">
      <c r="A89" s="59">
        <f t="shared" si="2"/>
        <v>88</v>
      </c>
      <c r="B89" s="61" t="str">
        <f t="shared" si="4"/>
        <v>C88</v>
      </c>
      <c r="C89" s="63" t="s">
        <v>760</v>
      </c>
      <c r="D89" s="58" t="s">
        <v>761</v>
      </c>
      <c r="E89" s="63" t="s">
        <v>58</v>
      </c>
      <c r="F89" s="63" t="s">
        <v>762</v>
      </c>
      <c r="G89" s="64" t="s">
        <v>96</v>
      </c>
      <c r="H89" s="71" t="str">
        <f t="shared" si="8"/>
        <v>C77</v>
      </c>
      <c r="I89" s="58"/>
      <c r="J89" s="58" t="s">
        <v>42</v>
      </c>
      <c r="K89" s="58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</row>
    <row r="90">
      <c r="A90" s="59">
        <f t="shared" si="2"/>
        <v>89</v>
      </c>
      <c r="B90" s="61" t="str">
        <f t="shared" si="4"/>
        <v>C89</v>
      </c>
      <c r="C90" s="63" t="s">
        <v>763</v>
      </c>
      <c r="D90" s="58" t="s">
        <v>764</v>
      </c>
      <c r="E90" s="63" t="s">
        <v>58</v>
      </c>
      <c r="F90" s="63" t="s">
        <v>765</v>
      </c>
      <c r="G90" s="64" t="s">
        <v>39</v>
      </c>
      <c r="H90" s="71" t="str">
        <f t="shared" si="8"/>
        <v>C77</v>
      </c>
      <c r="I90" s="58"/>
      <c r="J90" s="58" t="s">
        <v>42</v>
      </c>
      <c r="K90" s="58" t="s">
        <v>766</v>
      </c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</row>
    <row r="91">
      <c r="A91" s="59">
        <f t="shared" si="2"/>
        <v>90</v>
      </c>
      <c r="B91" s="61" t="str">
        <f t="shared" si="4"/>
        <v>C90</v>
      </c>
      <c r="C91" s="63" t="s">
        <v>767</v>
      </c>
      <c r="D91" s="58" t="s">
        <v>768</v>
      </c>
      <c r="E91" s="63" t="s">
        <v>58</v>
      </c>
      <c r="F91" s="63" t="s">
        <v>765</v>
      </c>
      <c r="G91" s="64" t="s">
        <v>96</v>
      </c>
      <c r="H91" s="71" t="str">
        <f t="shared" si="8"/>
        <v>C77</v>
      </c>
      <c r="I91" s="58"/>
      <c r="J91" s="58" t="s">
        <v>42</v>
      </c>
      <c r="K91" s="58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</row>
    <row r="92">
      <c r="A92" s="59">
        <f t="shared" si="2"/>
        <v>91</v>
      </c>
      <c r="B92" s="61" t="str">
        <f t="shared" si="4"/>
        <v>C91</v>
      </c>
      <c r="C92" s="63" t="s">
        <v>769</v>
      </c>
      <c r="D92" s="58" t="s">
        <v>770</v>
      </c>
      <c r="E92" s="63" t="s">
        <v>58</v>
      </c>
      <c r="F92" s="63" t="s">
        <v>771</v>
      </c>
      <c r="G92" s="64" t="s">
        <v>39</v>
      </c>
      <c r="H92" s="71" t="str">
        <f t="shared" si="8"/>
        <v>C77</v>
      </c>
      <c r="I92" s="58" t="s">
        <v>772</v>
      </c>
      <c r="J92" s="58" t="s">
        <v>42</v>
      </c>
      <c r="K92" s="58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</row>
    <row r="93">
      <c r="A93" s="59">
        <f t="shared" si="2"/>
        <v>92</v>
      </c>
      <c r="B93" s="61" t="str">
        <f t="shared" si="4"/>
        <v>C92</v>
      </c>
      <c r="C93" s="63" t="s">
        <v>773</v>
      </c>
      <c r="D93" s="58" t="s">
        <v>774</v>
      </c>
      <c r="E93" s="63" t="s">
        <v>58</v>
      </c>
      <c r="F93" s="63" t="s">
        <v>775</v>
      </c>
      <c r="G93" s="64" t="s">
        <v>96</v>
      </c>
      <c r="H93" s="71" t="str">
        <f t="shared" si="8"/>
        <v>C77</v>
      </c>
      <c r="I93" s="58" t="s">
        <v>776</v>
      </c>
      <c r="J93" s="58" t="s">
        <v>42</v>
      </c>
      <c r="K93" s="51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</row>
    <row r="94">
      <c r="A94" s="59">
        <f t="shared" si="2"/>
        <v>93</v>
      </c>
      <c r="B94" s="61" t="str">
        <f t="shared" si="4"/>
        <v>C93</v>
      </c>
      <c r="C94" s="63" t="s">
        <v>777</v>
      </c>
      <c r="D94" s="58" t="s">
        <v>778</v>
      </c>
      <c r="E94" s="63" t="s">
        <v>58</v>
      </c>
      <c r="F94" s="63" t="s">
        <v>765</v>
      </c>
      <c r="G94" s="64" t="s">
        <v>39</v>
      </c>
      <c r="H94" s="71" t="str">
        <f t="shared" si="8"/>
        <v>C77</v>
      </c>
      <c r="I94" s="58" t="s">
        <v>779</v>
      </c>
      <c r="J94" s="58" t="s">
        <v>42</v>
      </c>
      <c r="K94" s="58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</row>
    <row r="95">
      <c r="A95" s="59">
        <f t="shared" si="2"/>
        <v>94</v>
      </c>
      <c r="B95" s="61" t="str">
        <f t="shared" si="4"/>
        <v>C94</v>
      </c>
      <c r="C95" s="63" t="s">
        <v>780</v>
      </c>
      <c r="D95" s="58" t="s">
        <v>781</v>
      </c>
      <c r="E95" s="63" t="s">
        <v>58</v>
      </c>
      <c r="F95" s="63" t="s">
        <v>765</v>
      </c>
      <c r="G95" s="64" t="s">
        <v>96</v>
      </c>
      <c r="H95" s="71" t="str">
        <f t="shared" si="8"/>
        <v>C77</v>
      </c>
      <c r="I95" s="58" t="s">
        <v>782</v>
      </c>
      <c r="J95" s="58" t="s">
        <v>42</v>
      </c>
      <c r="K95" s="58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</row>
    <row r="96">
      <c r="A96" s="59">
        <f t="shared" si="2"/>
        <v>95</v>
      </c>
      <c r="B96" s="61" t="str">
        <f t="shared" si="4"/>
        <v>C95</v>
      </c>
      <c r="C96" s="63" t="s">
        <v>783</v>
      </c>
      <c r="D96" s="58" t="s">
        <v>784</v>
      </c>
      <c r="E96" s="63" t="s">
        <v>58</v>
      </c>
      <c r="F96" s="63" t="s">
        <v>231</v>
      </c>
      <c r="G96" s="64" t="s">
        <v>39</v>
      </c>
      <c r="H96" s="71" t="str">
        <f t="shared" si="8"/>
        <v>C77</v>
      </c>
      <c r="I96" s="58" t="s">
        <v>785</v>
      </c>
      <c r="J96" s="58" t="s">
        <v>42</v>
      </c>
      <c r="K96" s="51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</row>
    <row r="97">
      <c r="A97" s="59">
        <f t="shared" si="2"/>
        <v>96</v>
      </c>
      <c r="B97" s="61" t="str">
        <f t="shared" si="4"/>
        <v>C96</v>
      </c>
      <c r="C97" s="63" t="s">
        <v>786</v>
      </c>
      <c r="D97" s="58" t="s">
        <v>787</v>
      </c>
      <c r="E97" s="63" t="s">
        <v>58</v>
      </c>
      <c r="F97" s="63" t="s">
        <v>231</v>
      </c>
      <c r="G97" s="64" t="s">
        <v>96</v>
      </c>
      <c r="H97" s="71" t="str">
        <f t="shared" si="8"/>
        <v>C77</v>
      </c>
      <c r="I97" s="58" t="s">
        <v>788</v>
      </c>
      <c r="J97" s="58" t="s">
        <v>42</v>
      </c>
      <c r="K97" s="58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</row>
    <row r="98">
      <c r="A98" s="59">
        <f t="shared" si="2"/>
        <v>97</v>
      </c>
      <c r="B98" s="61" t="str">
        <f t="shared" si="4"/>
        <v>C97</v>
      </c>
      <c r="C98" s="63" t="s">
        <v>789</v>
      </c>
      <c r="D98" s="58" t="s">
        <v>790</v>
      </c>
      <c r="E98" s="63" t="s">
        <v>58</v>
      </c>
      <c r="F98" s="63" t="s">
        <v>762</v>
      </c>
      <c r="G98" s="64" t="s">
        <v>39</v>
      </c>
      <c r="H98" s="71" t="str">
        <f t="shared" si="8"/>
        <v>C77</v>
      </c>
      <c r="I98" s="58" t="s">
        <v>791</v>
      </c>
      <c r="J98" s="58" t="s">
        <v>42</v>
      </c>
      <c r="K98" s="58" t="s">
        <v>792</v>
      </c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</row>
    <row r="99">
      <c r="A99" s="59">
        <f t="shared" si="2"/>
        <v>98</v>
      </c>
      <c r="B99" s="61" t="str">
        <f t="shared" si="4"/>
        <v>C98</v>
      </c>
      <c r="C99" s="63" t="s">
        <v>793</v>
      </c>
      <c r="D99" s="58" t="s">
        <v>794</v>
      </c>
      <c r="E99" s="63" t="s">
        <v>58</v>
      </c>
      <c r="F99" s="63" t="s">
        <v>434</v>
      </c>
      <c r="G99" s="64" t="s">
        <v>96</v>
      </c>
      <c r="H99" s="71" t="str">
        <f t="shared" si="8"/>
        <v>C77</v>
      </c>
      <c r="I99" s="74" t="s">
        <v>795</v>
      </c>
      <c r="J99" s="74" t="s">
        <v>323</v>
      </c>
      <c r="K99" s="58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</row>
    <row r="100">
      <c r="A100" s="59">
        <f t="shared" si="2"/>
        <v>99</v>
      </c>
      <c r="B100" s="61" t="str">
        <f t="shared" si="4"/>
        <v>C99</v>
      </c>
      <c r="C100" s="63" t="s">
        <v>796</v>
      </c>
      <c r="D100" s="58" t="s">
        <v>797</v>
      </c>
      <c r="E100" s="63" t="s">
        <v>58</v>
      </c>
      <c r="F100" s="63" t="s">
        <v>298</v>
      </c>
      <c r="G100" s="64" t="s">
        <v>39</v>
      </c>
      <c r="H100" s="71" t="str">
        <f t="shared" si="8"/>
        <v>C77</v>
      </c>
      <c r="I100" s="58" t="s">
        <v>798</v>
      </c>
      <c r="J100" s="58" t="s">
        <v>42</v>
      </c>
      <c r="K100" s="58" t="s">
        <v>799</v>
      </c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</row>
    <row r="101">
      <c r="A101" s="59">
        <f t="shared" si="2"/>
        <v>100</v>
      </c>
      <c r="B101" s="61" t="str">
        <f t="shared" si="4"/>
        <v>C100</v>
      </c>
      <c r="C101" s="63" t="s">
        <v>800</v>
      </c>
      <c r="D101" s="58" t="s">
        <v>801</v>
      </c>
      <c r="E101" s="63" t="s">
        <v>58</v>
      </c>
      <c r="F101" s="63" t="s">
        <v>802</v>
      </c>
      <c r="G101" s="64" t="s">
        <v>96</v>
      </c>
      <c r="H101" s="71" t="str">
        <f t="shared" si="8"/>
        <v>C77</v>
      </c>
      <c r="I101" s="76" t="s">
        <v>803</v>
      </c>
      <c r="J101" s="58" t="s">
        <v>42</v>
      </c>
      <c r="K101" s="58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</row>
    <row r="102">
      <c r="A102" s="59">
        <f t="shared" si="2"/>
        <v>101</v>
      </c>
      <c r="B102" s="61" t="str">
        <f t="shared" si="4"/>
        <v>C101</v>
      </c>
      <c r="C102" s="63" t="s">
        <v>804</v>
      </c>
      <c r="D102" s="58" t="s">
        <v>805</v>
      </c>
      <c r="E102" s="63" t="s">
        <v>58</v>
      </c>
      <c r="F102" s="63" t="s">
        <v>312</v>
      </c>
      <c r="G102" s="64" t="s">
        <v>96</v>
      </c>
      <c r="H102" s="71" t="str">
        <f t="shared" si="8"/>
        <v>C77</v>
      </c>
      <c r="I102" s="58" t="s">
        <v>314</v>
      </c>
      <c r="J102" s="58" t="s">
        <v>42</v>
      </c>
      <c r="K102" s="58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</row>
    <row r="103">
      <c r="A103" s="59">
        <f t="shared" si="2"/>
        <v>102</v>
      </c>
      <c r="B103" s="61" t="str">
        <f t="shared" si="4"/>
        <v>C102</v>
      </c>
      <c r="C103" s="63" t="s">
        <v>806</v>
      </c>
      <c r="D103" s="58" t="s">
        <v>807</v>
      </c>
      <c r="E103" s="63" t="s">
        <v>58</v>
      </c>
      <c r="F103" s="63" t="s">
        <v>429</v>
      </c>
      <c r="G103" s="64" t="s">
        <v>96</v>
      </c>
      <c r="H103" s="71" t="str">
        <f t="shared" si="8"/>
        <v>C77</v>
      </c>
      <c r="I103" s="58" t="s">
        <v>808</v>
      </c>
      <c r="J103" s="58" t="s">
        <v>42</v>
      </c>
      <c r="K103" s="58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</row>
    <row r="104">
      <c r="A104" s="59">
        <f t="shared" si="2"/>
        <v>103</v>
      </c>
      <c r="B104" s="61" t="str">
        <f t="shared" si="4"/>
        <v>C103</v>
      </c>
      <c r="C104" s="63" t="s">
        <v>809</v>
      </c>
      <c r="D104" s="58" t="s">
        <v>810</v>
      </c>
      <c r="E104" s="63" t="s">
        <v>58</v>
      </c>
      <c r="F104" s="63" t="s">
        <v>811</v>
      </c>
      <c r="G104" s="64" t="s">
        <v>96</v>
      </c>
      <c r="H104" s="71" t="str">
        <f t="shared" si="8"/>
        <v>C77</v>
      </c>
      <c r="I104" s="58" t="s">
        <v>812</v>
      </c>
      <c r="J104" s="58" t="s">
        <v>42</v>
      </c>
      <c r="K104" s="51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</row>
    <row r="105">
      <c r="A105" s="59">
        <f t="shared" si="2"/>
        <v>104</v>
      </c>
      <c r="B105" s="61" t="str">
        <f t="shared" si="4"/>
        <v>C104</v>
      </c>
      <c r="C105" s="63" t="s">
        <v>813</v>
      </c>
      <c r="D105" s="58" t="s">
        <v>814</v>
      </c>
      <c r="E105" s="63" t="s">
        <v>58</v>
      </c>
      <c r="F105" s="63" t="s">
        <v>815</v>
      </c>
      <c r="G105" s="64" t="s">
        <v>96</v>
      </c>
      <c r="H105" s="71" t="str">
        <f t="shared" si="8"/>
        <v>C77</v>
      </c>
      <c r="I105" s="58" t="s">
        <v>812</v>
      </c>
      <c r="J105" s="58" t="s">
        <v>42</v>
      </c>
      <c r="K105" s="58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</row>
    <row r="106">
      <c r="A106" s="59">
        <f t="shared" si="2"/>
        <v>105</v>
      </c>
      <c r="B106" s="61" t="str">
        <f t="shared" si="4"/>
        <v>C105</v>
      </c>
      <c r="C106" s="63" t="s">
        <v>816</v>
      </c>
      <c r="D106" s="58" t="s">
        <v>817</v>
      </c>
      <c r="E106" s="63" t="s">
        <v>58</v>
      </c>
      <c r="F106" s="63" t="s">
        <v>210</v>
      </c>
      <c r="G106" s="64" t="s">
        <v>96</v>
      </c>
      <c r="H106" s="71" t="str">
        <f t="shared" si="8"/>
        <v>C77</v>
      </c>
      <c r="I106" s="58" t="s">
        <v>812</v>
      </c>
      <c r="J106" s="58" t="s">
        <v>42</v>
      </c>
      <c r="K106" s="58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</row>
    <row r="107">
      <c r="A107" s="59">
        <f t="shared" si="2"/>
        <v>106</v>
      </c>
      <c r="B107" s="61" t="str">
        <f t="shared" si="4"/>
        <v>C106</v>
      </c>
      <c r="C107" s="63" t="s">
        <v>818</v>
      </c>
      <c r="D107" s="58" t="s">
        <v>819</v>
      </c>
      <c r="E107" s="63" t="s">
        <v>58</v>
      </c>
      <c r="F107" s="63" t="s">
        <v>765</v>
      </c>
      <c r="G107" s="64" t="s">
        <v>96</v>
      </c>
      <c r="H107" s="71" t="str">
        <f t="shared" si="8"/>
        <v>C77</v>
      </c>
      <c r="I107" s="58" t="s">
        <v>812</v>
      </c>
      <c r="J107" s="58" t="s">
        <v>42</v>
      </c>
      <c r="K107" s="51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</row>
    <row r="108">
      <c r="A108" s="59">
        <f t="shared" si="2"/>
        <v>107</v>
      </c>
      <c r="B108" s="61" t="str">
        <f t="shared" si="4"/>
        <v>C107</v>
      </c>
      <c r="C108" s="63" t="s">
        <v>820</v>
      </c>
      <c r="D108" s="58" t="s">
        <v>821</v>
      </c>
      <c r="E108" s="63" t="s">
        <v>58</v>
      </c>
      <c r="F108" s="63" t="s">
        <v>765</v>
      </c>
      <c r="G108" s="64" t="s">
        <v>96</v>
      </c>
      <c r="H108" s="71" t="str">
        <f t="shared" si="8"/>
        <v>C77</v>
      </c>
      <c r="I108" s="58"/>
      <c r="J108" s="58" t="s">
        <v>42</v>
      </c>
      <c r="K108" s="58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</row>
    <row r="109">
      <c r="A109" s="59">
        <f t="shared" si="2"/>
        <v>108</v>
      </c>
      <c r="B109" s="61" t="str">
        <f t="shared" si="4"/>
        <v>C108</v>
      </c>
      <c r="C109" s="63" t="s">
        <v>822</v>
      </c>
      <c r="D109" s="58" t="s">
        <v>823</v>
      </c>
      <c r="E109" s="63" t="s">
        <v>58</v>
      </c>
      <c r="F109" s="63" t="s">
        <v>765</v>
      </c>
      <c r="G109" s="64" t="s">
        <v>96</v>
      </c>
      <c r="H109" s="71" t="str">
        <f t="shared" si="8"/>
        <v>C77</v>
      </c>
      <c r="I109" s="58"/>
      <c r="J109" s="58" t="s">
        <v>42</v>
      </c>
      <c r="K109" s="58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</row>
    <row r="110">
      <c r="A110" s="59">
        <f t="shared" si="2"/>
        <v>109</v>
      </c>
      <c r="B110" s="61" t="str">
        <f t="shared" si="4"/>
        <v>C109</v>
      </c>
      <c r="C110" s="63" t="s">
        <v>824</v>
      </c>
      <c r="D110" s="58" t="s">
        <v>825</v>
      </c>
      <c r="E110" s="63" t="s">
        <v>58</v>
      </c>
      <c r="F110" s="63" t="s">
        <v>826</v>
      </c>
      <c r="G110" s="64" t="s">
        <v>96</v>
      </c>
      <c r="H110" s="71" t="str">
        <f t="shared" si="8"/>
        <v>C77</v>
      </c>
      <c r="I110" s="58" t="s">
        <v>827</v>
      </c>
      <c r="J110" s="58" t="s">
        <v>42</v>
      </c>
      <c r="K110" s="58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</row>
    <row r="111">
      <c r="A111" s="59">
        <f t="shared" si="2"/>
        <v>110</v>
      </c>
      <c r="B111" s="61" t="str">
        <f t="shared" si="4"/>
        <v>C110</v>
      </c>
      <c r="C111" s="63" t="s">
        <v>828</v>
      </c>
      <c r="D111" s="58" t="s">
        <v>829</v>
      </c>
      <c r="E111" s="63" t="s">
        <v>58</v>
      </c>
      <c r="F111" s="63" t="s">
        <v>765</v>
      </c>
      <c r="G111" s="64" t="s">
        <v>96</v>
      </c>
      <c r="H111" s="71" t="str">
        <f t="shared" si="8"/>
        <v>C77</v>
      </c>
      <c r="I111" s="58"/>
      <c r="J111" s="58" t="s">
        <v>42</v>
      </c>
      <c r="K111" s="58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</row>
    <row r="112">
      <c r="A112" s="59">
        <f t="shared" si="2"/>
        <v>111</v>
      </c>
      <c r="B112" s="61" t="str">
        <f t="shared" si="4"/>
        <v>C111</v>
      </c>
      <c r="C112" s="77" t="s">
        <v>830</v>
      </c>
      <c r="D112" s="58" t="s">
        <v>831</v>
      </c>
      <c r="E112" s="63" t="s">
        <v>58</v>
      </c>
      <c r="F112" s="63" t="s">
        <v>740</v>
      </c>
      <c r="G112" s="64" t="s">
        <v>96</v>
      </c>
      <c r="H112" s="71" t="str">
        <f t="shared" si="8"/>
        <v>C77</v>
      </c>
      <c r="I112" s="58"/>
      <c r="J112" s="58" t="s">
        <v>42</v>
      </c>
      <c r="K112" s="58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</row>
    <row r="113">
      <c r="A113" s="59">
        <f t="shared" si="2"/>
        <v>112</v>
      </c>
      <c r="B113" s="61" t="str">
        <f t="shared" si="4"/>
        <v>C112</v>
      </c>
      <c r="C113" s="63" t="s">
        <v>832</v>
      </c>
      <c r="D113" s="58" t="s">
        <v>833</v>
      </c>
      <c r="E113" s="63" t="s">
        <v>58</v>
      </c>
      <c r="F113" s="63" t="s">
        <v>826</v>
      </c>
      <c r="G113" s="64" t="s">
        <v>96</v>
      </c>
      <c r="H113" s="71" t="str">
        <f t="shared" si="8"/>
        <v>C77</v>
      </c>
      <c r="I113" s="58" t="s">
        <v>827</v>
      </c>
      <c r="J113" s="58" t="s">
        <v>42</v>
      </c>
      <c r="K113" s="58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</row>
    <row r="114">
      <c r="A114" s="59">
        <f t="shared" si="2"/>
        <v>113</v>
      </c>
      <c r="B114" s="61" t="str">
        <f t="shared" si="4"/>
        <v>C113</v>
      </c>
      <c r="C114" s="63" t="s">
        <v>834</v>
      </c>
      <c r="D114" s="58" t="s">
        <v>835</v>
      </c>
      <c r="E114" s="63" t="s">
        <v>58</v>
      </c>
      <c r="F114" s="63" t="s">
        <v>765</v>
      </c>
      <c r="G114" s="64" t="s">
        <v>96</v>
      </c>
      <c r="H114" s="71" t="str">
        <f t="shared" si="8"/>
        <v>C77</v>
      </c>
      <c r="I114" s="58"/>
      <c r="J114" s="58" t="s">
        <v>42</v>
      </c>
      <c r="K114" s="51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</row>
    <row r="115">
      <c r="A115" s="59">
        <f t="shared" si="2"/>
        <v>114</v>
      </c>
      <c r="B115" s="61" t="str">
        <f t="shared" si="4"/>
        <v>C114</v>
      </c>
      <c r="C115" s="63" t="s">
        <v>836</v>
      </c>
      <c r="D115" s="58" t="s">
        <v>837</v>
      </c>
      <c r="E115" s="63" t="s">
        <v>58</v>
      </c>
      <c r="F115" s="63" t="s">
        <v>740</v>
      </c>
      <c r="G115" s="64" t="s">
        <v>96</v>
      </c>
      <c r="H115" s="71" t="str">
        <f t="shared" si="8"/>
        <v>C77</v>
      </c>
      <c r="I115" s="58"/>
      <c r="J115" s="58" t="s">
        <v>42</v>
      </c>
      <c r="K115" s="51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</row>
    <row r="116">
      <c r="A116" s="59">
        <f t="shared" si="2"/>
        <v>115</v>
      </c>
      <c r="B116" s="61" t="str">
        <f t="shared" si="4"/>
        <v>C115</v>
      </c>
      <c r="C116" s="63" t="s">
        <v>838</v>
      </c>
      <c r="D116" s="58" t="s">
        <v>839</v>
      </c>
      <c r="E116" s="63" t="s">
        <v>58</v>
      </c>
      <c r="F116" s="63" t="s">
        <v>826</v>
      </c>
      <c r="G116" s="64" t="s">
        <v>96</v>
      </c>
      <c r="H116" s="71" t="str">
        <f t="shared" si="8"/>
        <v>C77</v>
      </c>
      <c r="I116" s="58" t="s">
        <v>827</v>
      </c>
      <c r="J116" s="58" t="s">
        <v>42</v>
      </c>
      <c r="K116" s="58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</row>
    <row r="117">
      <c r="A117" s="59">
        <f t="shared" si="2"/>
        <v>116</v>
      </c>
      <c r="B117" s="61" t="str">
        <f t="shared" si="4"/>
        <v>C116</v>
      </c>
      <c r="C117" s="63" t="s">
        <v>840</v>
      </c>
      <c r="D117" s="58" t="s">
        <v>841</v>
      </c>
      <c r="E117" s="63" t="s">
        <v>58</v>
      </c>
      <c r="F117" s="63" t="s">
        <v>765</v>
      </c>
      <c r="G117" s="64" t="s">
        <v>96</v>
      </c>
      <c r="H117" s="71" t="str">
        <f t="shared" si="8"/>
        <v>C77</v>
      </c>
      <c r="I117" s="58"/>
      <c r="J117" s="58" t="s">
        <v>42</v>
      </c>
      <c r="K117" s="58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</row>
    <row r="118">
      <c r="A118" s="59">
        <f t="shared" si="2"/>
        <v>117</v>
      </c>
      <c r="B118" s="61" t="str">
        <f t="shared" si="4"/>
        <v>C117</v>
      </c>
      <c r="C118" s="63" t="s">
        <v>842</v>
      </c>
      <c r="D118" s="58" t="s">
        <v>843</v>
      </c>
      <c r="E118" s="63" t="s">
        <v>58</v>
      </c>
      <c r="F118" s="63" t="s">
        <v>740</v>
      </c>
      <c r="G118" s="64" t="s">
        <v>96</v>
      </c>
      <c r="H118" s="71" t="str">
        <f t="shared" si="8"/>
        <v>C77</v>
      </c>
      <c r="I118" s="58"/>
      <c r="J118" s="58" t="s">
        <v>42</v>
      </c>
      <c r="K118" s="58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</row>
    <row r="119">
      <c r="A119" s="59">
        <f t="shared" si="2"/>
        <v>118</v>
      </c>
      <c r="B119" s="61" t="str">
        <f t="shared" si="4"/>
        <v>C118</v>
      </c>
      <c r="C119" s="63" t="s">
        <v>844</v>
      </c>
      <c r="D119" s="58" t="s">
        <v>845</v>
      </c>
      <c r="E119" s="63" t="s">
        <v>58</v>
      </c>
      <c r="F119" s="63" t="s">
        <v>826</v>
      </c>
      <c r="G119" s="64" t="s">
        <v>96</v>
      </c>
      <c r="H119" s="71" t="str">
        <f t="shared" si="8"/>
        <v>C77</v>
      </c>
      <c r="I119" s="58" t="s">
        <v>827</v>
      </c>
      <c r="J119" s="58" t="s">
        <v>42</v>
      </c>
      <c r="K119" s="51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</row>
    <row r="120">
      <c r="A120" s="59">
        <f t="shared" si="2"/>
        <v>119</v>
      </c>
      <c r="B120" s="61" t="str">
        <f t="shared" si="4"/>
        <v>C119</v>
      </c>
      <c r="C120" s="63" t="s">
        <v>846</v>
      </c>
      <c r="D120" s="58" t="s">
        <v>847</v>
      </c>
      <c r="E120" s="63" t="s">
        <v>58</v>
      </c>
      <c r="F120" s="63" t="s">
        <v>765</v>
      </c>
      <c r="G120" s="64" t="s">
        <v>96</v>
      </c>
      <c r="H120" s="71" t="str">
        <f t="shared" si="8"/>
        <v>C77</v>
      </c>
      <c r="I120" s="58"/>
      <c r="J120" s="58" t="s">
        <v>42</v>
      </c>
      <c r="K120" s="58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</row>
    <row r="121">
      <c r="A121" s="59">
        <f t="shared" si="2"/>
        <v>120</v>
      </c>
      <c r="B121" s="61" t="str">
        <f t="shared" si="4"/>
        <v>C120</v>
      </c>
      <c r="C121" s="63" t="s">
        <v>848</v>
      </c>
      <c r="D121" s="58" t="s">
        <v>849</v>
      </c>
      <c r="E121" s="63" t="s">
        <v>58</v>
      </c>
      <c r="F121" s="63" t="s">
        <v>740</v>
      </c>
      <c r="G121" s="64" t="s">
        <v>96</v>
      </c>
      <c r="H121" s="71" t="str">
        <f t="shared" si="8"/>
        <v>C77</v>
      </c>
      <c r="I121" s="58"/>
      <c r="J121" s="58" t="s">
        <v>42</v>
      </c>
      <c r="K121" s="58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</row>
    <row r="122">
      <c r="A122" s="59">
        <f t="shared" si="2"/>
        <v>121</v>
      </c>
      <c r="B122" s="61" t="str">
        <f t="shared" si="4"/>
        <v>C121</v>
      </c>
      <c r="C122" s="63" t="s">
        <v>850</v>
      </c>
      <c r="D122" s="58" t="s">
        <v>851</v>
      </c>
      <c r="E122" s="63" t="s">
        <v>58</v>
      </c>
      <c r="F122" s="63" t="s">
        <v>826</v>
      </c>
      <c r="G122" s="64" t="s">
        <v>96</v>
      </c>
      <c r="H122" s="71" t="str">
        <f t="shared" si="8"/>
        <v>C77</v>
      </c>
      <c r="I122" s="58" t="s">
        <v>827</v>
      </c>
      <c r="J122" s="58" t="s">
        <v>42</v>
      </c>
      <c r="K122" s="58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</row>
    <row r="123">
      <c r="A123" s="59">
        <f t="shared" si="2"/>
        <v>122</v>
      </c>
      <c r="B123" s="61" t="str">
        <f t="shared" si="4"/>
        <v>C122</v>
      </c>
      <c r="C123" s="63" t="s">
        <v>852</v>
      </c>
      <c r="D123" s="58" t="s">
        <v>853</v>
      </c>
      <c r="E123" s="63" t="s">
        <v>58</v>
      </c>
      <c r="F123" s="63" t="s">
        <v>765</v>
      </c>
      <c r="G123" s="64" t="s">
        <v>96</v>
      </c>
      <c r="H123" s="71" t="str">
        <f t="shared" si="8"/>
        <v>C77</v>
      </c>
      <c r="I123" s="58"/>
      <c r="J123" s="58" t="s">
        <v>42</v>
      </c>
      <c r="K123" s="58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</row>
    <row r="124">
      <c r="A124" s="59">
        <f t="shared" si="2"/>
        <v>123</v>
      </c>
      <c r="B124" s="61" t="str">
        <f t="shared" si="4"/>
        <v>C123</v>
      </c>
      <c r="C124" s="63" t="s">
        <v>854</v>
      </c>
      <c r="D124" s="58" t="s">
        <v>855</v>
      </c>
      <c r="E124" s="63" t="s">
        <v>58</v>
      </c>
      <c r="F124" s="77" t="s">
        <v>740</v>
      </c>
      <c r="G124" s="107" t="s">
        <v>96</v>
      </c>
      <c r="H124" s="71" t="str">
        <f t="shared" si="8"/>
        <v>C77</v>
      </c>
      <c r="I124" s="58"/>
      <c r="J124" s="58" t="s">
        <v>42</v>
      </c>
      <c r="K124" s="58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</row>
    <row r="125">
      <c r="A125" s="59">
        <f t="shared" si="2"/>
        <v>124</v>
      </c>
      <c r="B125" s="61" t="str">
        <f t="shared" si="4"/>
        <v>C124</v>
      </c>
      <c r="C125" s="63" t="s">
        <v>856</v>
      </c>
      <c r="D125" s="58" t="s">
        <v>857</v>
      </c>
      <c r="E125" s="63" t="s">
        <v>58</v>
      </c>
      <c r="F125" s="63" t="s">
        <v>765</v>
      </c>
      <c r="G125" s="64" t="s">
        <v>96</v>
      </c>
      <c r="H125" s="71" t="str">
        <f t="shared" si="8"/>
        <v>C77</v>
      </c>
      <c r="I125" s="58" t="s">
        <v>858</v>
      </c>
      <c r="J125" s="58" t="s">
        <v>859</v>
      </c>
      <c r="K125" s="58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</row>
    <row r="126">
      <c r="A126" s="59">
        <f t="shared" si="2"/>
        <v>125</v>
      </c>
      <c r="B126" s="61" t="str">
        <f t="shared" si="4"/>
        <v>C125</v>
      </c>
      <c r="C126" s="63" t="s">
        <v>860</v>
      </c>
      <c r="D126" s="58" t="s">
        <v>861</v>
      </c>
      <c r="E126" s="63" t="s">
        <v>58</v>
      </c>
      <c r="F126" s="63" t="s">
        <v>765</v>
      </c>
      <c r="G126" s="64" t="s">
        <v>96</v>
      </c>
      <c r="H126" s="71" t="str">
        <f t="shared" si="8"/>
        <v>C77</v>
      </c>
      <c r="I126" s="58" t="s">
        <v>862</v>
      </c>
      <c r="J126" s="58" t="s">
        <v>42</v>
      </c>
      <c r="K126" s="58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</row>
    <row r="127">
      <c r="A127" s="59">
        <f t="shared" si="2"/>
        <v>126</v>
      </c>
      <c r="B127" s="61" t="str">
        <f t="shared" si="4"/>
        <v>C126</v>
      </c>
      <c r="C127" s="63" t="s">
        <v>863</v>
      </c>
      <c r="D127" s="58" t="s">
        <v>864</v>
      </c>
      <c r="E127" s="63" t="s">
        <v>58</v>
      </c>
      <c r="F127" s="63" t="s">
        <v>765</v>
      </c>
      <c r="G127" s="64" t="s">
        <v>96</v>
      </c>
      <c r="H127" s="71" t="str">
        <f t="shared" si="8"/>
        <v>C77</v>
      </c>
      <c r="I127" s="58"/>
      <c r="J127" s="58" t="s">
        <v>42</v>
      </c>
      <c r="K127" s="58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</row>
    <row r="128">
      <c r="A128" s="59">
        <f t="shared" si="2"/>
        <v>127</v>
      </c>
      <c r="B128" s="61" t="str">
        <f t="shared" si="4"/>
        <v>C127</v>
      </c>
      <c r="C128" s="63" t="s">
        <v>865</v>
      </c>
      <c r="D128" s="58" t="s">
        <v>866</v>
      </c>
      <c r="E128" s="63" t="s">
        <v>58</v>
      </c>
      <c r="F128" s="63" t="s">
        <v>826</v>
      </c>
      <c r="G128" s="64" t="s">
        <v>96</v>
      </c>
      <c r="H128" s="71" t="str">
        <f t="shared" si="8"/>
        <v>C77</v>
      </c>
      <c r="I128" s="58" t="s">
        <v>827</v>
      </c>
      <c r="J128" s="58" t="s">
        <v>42</v>
      </c>
      <c r="K128" s="58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</row>
    <row r="129">
      <c r="A129" s="59">
        <f t="shared" si="2"/>
        <v>128</v>
      </c>
      <c r="B129" s="61" t="str">
        <f t="shared" si="4"/>
        <v>C128</v>
      </c>
      <c r="C129" s="63" t="s">
        <v>867</v>
      </c>
      <c r="D129" s="58" t="s">
        <v>868</v>
      </c>
      <c r="E129" s="63" t="s">
        <v>58</v>
      </c>
      <c r="F129" s="63" t="s">
        <v>304</v>
      </c>
      <c r="G129" s="64" t="s">
        <v>96</v>
      </c>
      <c r="H129" s="71" t="str">
        <f t="shared" si="8"/>
        <v>C77</v>
      </c>
      <c r="I129" s="58" t="s">
        <v>869</v>
      </c>
      <c r="J129" s="58" t="s">
        <v>42</v>
      </c>
      <c r="K129" s="51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</row>
    <row r="130">
      <c r="A130" s="59">
        <f t="shared" si="2"/>
        <v>129</v>
      </c>
      <c r="B130" s="61" t="str">
        <f t="shared" si="4"/>
        <v>C129</v>
      </c>
      <c r="C130" s="63" t="s">
        <v>870</v>
      </c>
      <c r="D130" s="104" t="s">
        <v>871</v>
      </c>
      <c r="E130" s="63" t="s">
        <v>58</v>
      </c>
      <c r="F130" s="108" t="s">
        <v>559</v>
      </c>
      <c r="G130" s="109" t="s">
        <v>96</v>
      </c>
      <c r="H130" s="71" t="str">
        <f t="shared" si="8"/>
        <v>C77</v>
      </c>
      <c r="I130" s="58" t="s">
        <v>872</v>
      </c>
      <c r="J130" s="58" t="s">
        <v>293</v>
      </c>
      <c r="K130" s="58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</row>
    <row r="131">
      <c r="A131" s="59">
        <f t="shared" si="2"/>
        <v>130</v>
      </c>
      <c r="B131" s="61" t="str">
        <f t="shared" si="4"/>
        <v>C130</v>
      </c>
      <c r="C131" s="63" t="s">
        <v>873</v>
      </c>
      <c r="D131" s="104" t="s">
        <v>874</v>
      </c>
      <c r="E131" s="108" t="s">
        <v>58</v>
      </c>
      <c r="F131" s="63" t="s">
        <v>765</v>
      </c>
      <c r="G131" s="109" t="s">
        <v>96</v>
      </c>
      <c r="H131" s="71" t="str">
        <f t="shared" si="8"/>
        <v>C77</v>
      </c>
      <c r="I131" s="58" t="s">
        <v>875</v>
      </c>
      <c r="J131" s="58" t="s">
        <v>876</v>
      </c>
      <c r="K131" s="51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</row>
    <row r="132">
      <c r="A132" s="59">
        <f t="shared" si="2"/>
        <v>131</v>
      </c>
      <c r="B132" s="61" t="str">
        <f t="shared" si="4"/>
        <v>C131</v>
      </c>
      <c r="C132" s="63" t="s">
        <v>877</v>
      </c>
      <c r="D132" s="104" t="s">
        <v>878</v>
      </c>
      <c r="E132" s="108" t="s">
        <v>58</v>
      </c>
      <c r="F132" s="63" t="s">
        <v>765</v>
      </c>
      <c r="G132" s="109" t="s">
        <v>96</v>
      </c>
      <c r="H132" s="71" t="str">
        <f t="shared" si="8"/>
        <v>C77</v>
      </c>
      <c r="I132" s="58"/>
      <c r="J132" s="58" t="s">
        <v>876</v>
      </c>
      <c r="K132" s="58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</row>
    <row r="133">
      <c r="A133" s="59">
        <f t="shared" si="2"/>
        <v>132</v>
      </c>
      <c r="B133" s="61" t="str">
        <f t="shared" si="4"/>
        <v>C132</v>
      </c>
      <c r="C133" s="63" t="s">
        <v>879</v>
      </c>
      <c r="D133" s="104" t="s">
        <v>880</v>
      </c>
      <c r="E133" s="108" t="s">
        <v>58</v>
      </c>
      <c r="F133" s="63" t="s">
        <v>765</v>
      </c>
      <c r="G133" s="109" t="s">
        <v>96</v>
      </c>
      <c r="H133" s="71" t="str">
        <f t="shared" si="8"/>
        <v>C77</v>
      </c>
      <c r="I133" s="58"/>
      <c r="J133" s="58" t="s">
        <v>876</v>
      </c>
      <c r="K133" s="58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</row>
    <row r="134">
      <c r="A134" s="59">
        <f t="shared" si="2"/>
        <v>133</v>
      </c>
      <c r="B134" s="61" t="str">
        <f t="shared" si="4"/>
        <v>C133</v>
      </c>
      <c r="C134" s="108" t="s">
        <v>881</v>
      </c>
      <c r="D134" s="104" t="s">
        <v>882</v>
      </c>
      <c r="E134" s="108" t="s">
        <v>58</v>
      </c>
      <c r="F134" s="108" t="s">
        <v>765</v>
      </c>
      <c r="G134" s="109" t="s">
        <v>96</v>
      </c>
      <c r="H134" s="71" t="str">
        <f t="shared" si="8"/>
        <v>C77</v>
      </c>
      <c r="I134" s="58" t="s">
        <v>883</v>
      </c>
      <c r="J134" s="104" t="s">
        <v>859</v>
      </c>
      <c r="K134" s="51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</row>
    <row r="135">
      <c r="A135" s="59">
        <f t="shared" si="2"/>
        <v>134</v>
      </c>
      <c r="B135" s="61" t="str">
        <f t="shared" si="4"/>
        <v>C134</v>
      </c>
      <c r="C135" s="108" t="s">
        <v>884</v>
      </c>
      <c r="D135" s="104" t="s">
        <v>885</v>
      </c>
      <c r="E135" s="108" t="s">
        <v>58</v>
      </c>
      <c r="F135" s="108" t="s">
        <v>886</v>
      </c>
      <c r="G135" s="109" t="s">
        <v>96</v>
      </c>
      <c r="H135" s="71" t="str">
        <f t="shared" si="8"/>
        <v>C77</v>
      </c>
      <c r="I135" s="58" t="s">
        <v>887</v>
      </c>
      <c r="J135" s="110" t="s">
        <v>888</v>
      </c>
      <c r="K135" s="51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</row>
    <row r="136">
      <c r="A136" s="59">
        <f t="shared" si="2"/>
        <v>135</v>
      </c>
      <c r="B136" s="61" t="str">
        <f t="shared" si="4"/>
        <v>C135</v>
      </c>
      <c r="C136" s="108" t="s">
        <v>889</v>
      </c>
      <c r="D136" s="104" t="s">
        <v>890</v>
      </c>
      <c r="E136" s="108" t="s">
        <v>58</v>
      </c>
      <c r="F136" s="108" t="s">
        <v>891</v>
      </c>
      <c r="G136" s="109" t="s">
        <v>96</v>
      </c>
      <c r="H136" s="71" t="str">
        <f t="shared" si="8"/>
        <v>C77</v>
      </c>
      <c r="I136" s="58" t="s">
        <v>887</v>
      </c>
      <c r="J136" s="110" t="s">
        <v>888</v>
      </c>
      <c r="K136" s="51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</row>
    <row r="137">
      <c r="A137" s="59">
        <f t="shared" si="2"/>
        <v>136</v>
      </c>
      <c r="B137" s="61" t="str">
        <f t="shared" si="4"/>
        <v>C136</v>
      </c>
      <c r="C137" s="108" t="s">
        <v>892</v>
      </c>
      <c r="D137" s="104" t="s">
        <v>893</v>
      </c>
      <c r="E137" s="108" t="s">
        <v>58</v>
      </c>
      <c r="F137" s="108" t="s">
        <v>891</v>
      </c>
      <c r="G137" s="109" t="s">
        <v>96</v>
      </c>
      <c r="H137" s="71" t="str">
        <f t="shared" si="8"/>
        <v>C77</v>
      </c>
      <c r="I137" s="58" t="s">
        <v>887</v>
      </c>
      <c r="J137" s="110" t="s">
        <v>888</v>
      </c>
      <c r="K137" s="51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</row>
    <row r="138">
      <c r="A138" s="59">
        <f t="shared" si="2"/>
        <v>137</v>
      </c>
      <c r="B138" s="61" t="str">
        <f t="shared" si="4"/>
        <v>C137</v>
      </c>
      <c r="C138" s="108" t="s">
        <v>894</v>
      </c>
      <c r="D138" s="104" t="s">
        <v>895</v>
      </c>
      <c r="E138" s="108" t="s">
        <v>58</v>
      </c>
      <c r="F138" s="108" t="s">
        <v>896</v>
      </c>
      <c r="G138" s="109" t="s">
        <v>96</v>
      </c>
      <c r="H138" s="71" t="str">
        <f t="shared" si="8"/>
        <v>C77</v>
      </c>
      <c r="I138" s="58" t="s">
        <v>887</v>
      </c>
      <c r="J138" s="110" t="s">
        <v>888</v>
      </c>
      <c r="K138" s="51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</row>
    <row r="139">
      <c r="A139" s="59">
        <f t="shared" si="2"/>
        <v>138</v>
      </c>
      <c r="B139" s="61" t="str">
        <f t="shared" si="4"/>
        <v>C138</v>
      </c>
      <c r="C139" s="108" t="s">
        <v>897</v>
      </c>
      <c r="D139" s="104" t="s">
        <v>898</v>
      </c>
      <c r="E139" s="108" t="s">
        <v>58</v>
      </c>
      <c r="F139" s="108" t="s">
        <v>274</v>
      </c>
      <c r="G139" s="109" t="s">
        <v>96</v>
      </c>
      <c r="H139" s="71" t="str">
        <f t="shared" si="8"/>
        <v>C77</v>
      </c>
      <c r="I139" s="58" t="s">
        <v>899</v>
      </c>
      <c r="J139" s="110" t="s">
        <v>888</v>
      </c>
      <c r="K139" s="51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</row>
    <row r="140">
      <c r="A140" s="59">
        <f t="shared" si="2"/>
        <v>139</v>
      </c>
      <c r="B140" s="61" t="str">
        <f t="shared" si="4"/>
        <v>C139</v>
      </c>
      <c r="C140" s="108" t="s">
        <v>900</v>
      </c>
      <c r="D140" s="104" t="s">
        <v>901</v>
      </c>
      <c r="E140" s="108" t="s">
        <v>58</v>
      </c>
      <c r="F140" s="108" t="s">
        <v>274</v>
      </c>
      <c r="G140" s="109" t="s">
        <v>96</v>
      </c>
      <c r="H140" s="71" t="str">
        <f t="shared" si="8"/>
        <v>C77</v>
      </c>
      <c r="I140" s="58" t="s">
        <v>899</v>
      </c>
      <c r="J140" s="110" t="s">
        <v>888</v>
      </c>
      <c r="K140" s="51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</row>
    <row r="141">
      <c r="A141" s="59">
        <f t="shared" si="2"/>
        <v>140</v>
      </c>
      <c r="B141" s="61" t="str">
        <f t="shared" si="4"/>
        <v>C140</v>
      </c>
      <c r="C141" s="108" t="s">
        <v>902</v>
      </c>
      <c r="D141" s="104" t="s">
        <v>903</v>
      </c>
      <c r="E141" s="108" t="s">
        <v>58</v>
      </c>
      <c r="F141" s="108" t="s">
        <v>904</v>
      </c>
      <c r="G141" s="109" t="s">
        <v>96</v>
      </c>
      <c r="H141" s="71" t="str">
        <f t="shared" si="8"/>
        <v>C77</v>
      </c>
      <c r="I141" s="58" t="s">
        <v>887</v>
      </c>
      <c r="J141" s="110" t="s">
        <v>888</v>
      </c>
      <c r="K141" s="51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</row>
    <row r="142">
      <c r="A142" s="79">
        <f t="shared" si="2"/>
        <v>141</v>
      </c>
      <c r="B142" s="80" t="str">
        <f t="shared" si="4"/>
        <v>C141</v>
      </c>
      <c r="C142" s="111" t="s">
        <v>905</v>
      </c>
      <c r="D142" s="89" t="s">
        <v>906</v>
      </c>
      <c r="E142" s="112" t="s">
        <v>58</v>
      </c>
      <c r="F142" s="113" t="s">
        <v>907</v>
      </c>
      <c r="G142" s="114" t="s">
        <v>96</v>
      </c>
      <c r="H142" s="85" t="str">
        <f t="shared" si="8"/>
        <v>C77</v>
      </c>
      <c r="I142" s="88" t="s">
        <v>908</v>
      </c>
      <c r="J142" s="89" t="s">
        <v>19</v>
      </c>
      <c r="K142" s="87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</row>
    <row r="143">
      <c r="A143" s="79">
        <f t="shared" si="2"/>
        <v>142</v>
      </c>
      <c r="B143" s="80" t="str">
        <f t="shared" si="4"/>
        <v>C142</v>
      </c>
      <c r="C143" s="111" t="s">
        <v>909</v>
      </c>
      <c r="D143" s="89" t="s">
        <v>910</v>
      </c>
      <c r="E143" s="112" t="s">
        <v>58</v>
      </c>
      <c r="F143" s="113" t="s">
        <v>911</v>
      </c>
      <c r="G143" s="114" t="s">
        <v>96</v>
      </c>
      <c r="H143" s="85" t="str">
        <f t="shared" si="8"/>
        <v>C77</v>
      </c>
      <c r="I143" s="88" t="s">
        <v>912</v>
      </c>
      <c r="J143" s="89" t="s">
        <v>19</v>
      </c>
      <c r="K143" s="87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</row>
    <row r="144">
      <c r="A144" s="79">
        <f t="shared" si="2"/>
        <v>143</v>
      </c>
      <c r="B144" s="80" t="str">
        <f t="shared" si="4"/>
        <v>C143</v>
      </c>
      <c r="C144" s="111" t="s">
        <v>913</v>
      </c>
      <c r="D144" s="89" t="s">
        <v>914</v>
      </c>
      <c r="E144" s="112" t="s">
        <v>58</v>
      </c>
      <c r="F144" s="113" t="s">
        <v>915</v>
      </c>
      <c r="G144" s="114" t="s">
        <v>96</v>
      </c>
      <c r="H144" s="85" t="str">
        <f t="shared" si="8"/>
        <v>C77</v>
      </c>
      <c r="I144" s="88" t="s">
        <v>916</v>
      </c>
      <c r="J144" s="89" t="s">
        <v>19</v>
      </c>
      <c r="K144" s="87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</row>
    <row r="145">
      <c r="A145" s="27">
        <f t="shared" si="2"/>
        <v>144</v>
      </c>
      <c r="B145" s="40" t="str">
        <f t="shared" si="4"/>
        <v>C144</v>
      </c>
      <c r="C145" s="43" t="s">
        <v>917</v>
      </c>
      <c r="D145" s="51"/>
      <c r="E145" s="43" t="s">
        <v>30</v>
      </c>
      <c r="F145" s="43" t="s">
        <v>35</v>
      </c>
      <c r="G145" s="49" t="s">
        <v>96</v>
      </c>
      <c r="H145" s="43" t="s">
        <v>188</v>
      </c>
      <c r="I145" s="51"/>
      <c r="J145" s="51" t="s">
        <v>42</v>
      </c>
      <c r="K145" s="58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</row>
    <row r="146">
      <c r="A146" s="27">
        <f t="shared" si="2"/>
        <v>145</v>
      </c>
      <c r="B146" s="40" t="str">
        <f t="shared" si="4"/>
        <v>C145</v>
      </c>
      <c r="C146" s="43" t="s">
        <v>918</v>
      </c>
      <c r="D146" s="51"/>
      <c r="E146" s="43" t="s">
        <v>30</v>
      </c>
      <c r="F146" s="43" t="s">
        <v>35</v>
      </c>
      <c r="G146" s="49" t="s">
        <v>919</v>
      </c>
      <c r="H146" s="105" t="str">
        <f>B$145</f>
        <v>C144</v>
      </c>
      <c r="I146" s="51" t="s">
        <v>715</v>
      </c>
      <c r="J146" s="51" t="s">
        <v>42</v>
      </c>
      <c r="K146" s="58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</row>
    <row r="147">
      <c r="A147" s="59">
        <f t="shared" si="2"/>
        <v>146</v>
      </c>
      <c r="B147" s="61" t="str">
        <f t="shared" si="4"/>
        <v>C146</v>
      </c>
      <c r="C147" s="63" t="s">
        <v>920</v>
      </c>
      <c r="D147" s="58" t="s">
        <v>921</v>
      </c>
      <c r="E147" s="63" t="s">
        <v>58</v>
      </c>
      <c r="F147" s="63" t="s">
        <v>922</v>
      </c>
      <c r="G147" s="64" t="s">
        <v>96</v>
      </c>
      <c r="H147" s="71" t="str">
        <f t="shared" ref="H147:H154" si="9">B$146</f>
        <v>C145</v>
      </c>
      <c r="I147" s="58"/>
      <c r="J147" s="58" t="s">
        <v>42</v>
      </c>
      <c r="K147" s="58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</row>
    <row r="148">
      <c r="A148" s="59">
        <f t="shared" si="2"/>
        <v>147</v>
      </c>
      <c r="B148" s="61" t="str">
        <f t="shared" si="4"/>
        <v>C147</v>
      </c>
      <c r="C148" s="63" t="s">
        <v>923</v>
      </c>
      <c r="D148" s="58" t="s">
        <v>924</v>
      </c>
      <c r="E148" s="63" t="s">
        <v>58</v>
      </c>
      <c r="F148" s="63" t="s">
        <v>765</v>
      </c>
      <c r="G148" s="64" t="s">
        <v>96</v>
      </c>
      <c r="H148" s="71" t="str">
        <f t="shared" si="9"/>
        <v>C145</v>
      </c>
      <c r="I148" s="58"/>
      <c r="J148" s="58" t="s">
        <v>42</v>
      </c>
      <c r="K148" s="58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</row>
    <row r="149">
      <c r="A149" s="59">
        <f t="shared" si="2"/>
        <v>148</v>
      </c>
      <c r="B149" s="61" t="str">
        <f t="shared" si="4"/>
        <v>C148</v>
      </c>
      <c r="C149" s="63" t="s">
        <v>925</v>
      </c>
      <c r="D149" s="58" t="s">
        <v>926</v>
      </c>
      <c r="E149" s="63" t="s">
        <v>58</v>
      </c>
      <c r="F149" s="63" t="s">
        <v>927</v>
      </c>
      <c r="G149" s="64" t="s">
        <v>96</v>
      </c>
      <c r="H149" s="71" t="str">
        <f t="shared" si="9"/>
        <v>C145</v>
      </c>
      <c r="I149" s="58" t="s">
        <v>928</v>
      </c>
      <c r="J149" s="58" t="s">
        <v>42</v>
      </c>
      <c r="K149" s="51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</row>
    <row r="150">
      <c r="A150" s="59">
        <f t="shared" si="2"/>
        <v>149</v>
      </c>
      <c r="B150" s="61" t="str">
        <f t="shared" si="4"/>
        <v>C149</v>
      </c>
      <c r="C150" s="63" t="s">
        <v>929</v>
      </c>
      <c r="D150" s="58" t="s">
        <v>930</v>
      </c>
      <c r="E150" s="63" t="s">
        <v>58</v>
      </c>
      <c r="F150" s="63" t="s">
        <v>78</v>
      </c>
      <c r="G150" s="64" t="s">
        <v>96</v>
      </c>
      <c r="H150" s="71" t="str">
        <f t="shared" si="9"/>
        <v>C145</v>
      </c>
      <c r="I150" s="58" t="s">
        <v>931</v>
      </c>
      <c r="J150" s="58" t="s">
        <v>42</v>
      </c>
      <c r="K150" s="58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</row>
    <row r="151">
      <c r="A151" s="59">
        <f t="shared" si="2"/>
        <v>150</v>
      </c>
      <c r="B151" s="61" t="str">
        <f t="shared" si="4"/>
        <v>C150</v>
      </c>
      <c r="C151" s="63" t="s">
        <v>932</v>
      </c>
      <c r="D151" s="58" t="s">
        <v>933</v>
      </c>
      <c r="E151" s="63" t="s">
        <v>58</v>
      </c>
      <c r="F151" s="63" t="s">
        <v>409</v>
      </c>
      <c r="G151" s="64" t="s">
        <v>96</v>
      </c>
      <c r="H151" s="71" t="str">
        <f t="shared" si="9"/>
        <v>C145</v>
      </c>
      <c r="I151" s="58" t="s">
        <v>934</v>
      </c>
      <c r="J151" s="58" t="s">
        <v>42</v>
      </c>
      <c r="K151" s="58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</row>
    <row r="152">
      <c r="A152" s="59">
        <f t="shared" si="2"/>
        <v>151</v>
      </c>
      <c r="B152" s="61" t="str">
        <f t="shared" si="4"/>
        <v>C151</v>
      </c>
      <c r="C152" s="63" t="s">
        <v>935</v>
      </c>
      <c r="D152" s="58" t="s">
        <v>936</v>
      </c>
      <c r="E152" s="63" t="s">
        <v>58</v>
      </c>
      <c r="F152" s="63" t="s">
        <v>762</v>
      </c>
      <c r="G152" s="64" t="s">
        <v>96</v>
      </c>
      <c r="H152" s="71" t="str">
        <f t="shared" si="9"/>
        <v>C145</v>
      </c>
      <c r="I152" s="58" t="s">
        <v>931</v>
      </c>
      <c r="J152" s="58" t="s">
        <v>42</v>
      </c>
      <c r="K152" s="51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</row>
    <row r="153">
      <c r="A153" s="59">
        <f t="shared" si="2"/>
        <v>152</v>
      </c>
      <c r="B153" s="61" t="str">
        <f t="shared" si="4"/>
        <v>C152</v>
      </c>
      <c r="C153" s="63" t="s">
        <v>937</v>
      </c>
      <c r="D153" s="58" t="s">
        <v>938</v>
      </c>
      <c r="E153" s="63" t="s">
        <v>58</v>
      </c>
      <c r="F153" s="63" t="s">
        <v>765</v>
      </c>
      <c r="G153" s="64" t="s">
        <v>96</v>
      </c>
      <c r="H153" s="71" t="str">
        <f t="shared" si="9"/>
        <v>C145</v>
      </c>
      <c r="I153" s="58" t="s">
        <v>939</v>
      </c>
      <c r="J153" s="58" t="s">
        <v>940</v>
      </c>
      <c r="K153" s="58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</row>
    <row r="154">
      <c r="A154" s="59">
        <f t="shared" si="2"/>
        <v>153</v>
      </c>
      <c r="B154" s="61" t="str">
        <f t="shared" si="4"/>
        <v>C153</v>
      </c>
      <c r="C154" s="63" t="s">
        <v>941</v>
      </c>
      <c r="D154" s="58" t="s">
        <v>942</v>
      </c>
      <c r="E154" s="63" t="s">
        <v>58</v>
      </c>
      <c r="F154" s="63" t="s">
        <v>765</v>
      </c>
      <c r="G154" s="64" t="s">
        <v>96</v>
      </c>
      <c r="H154" s="71" t="str">
        <f t="shared" si="9"/>
        <v>C145</v>
      </c>
      <c r="I154" s="58" t="s">
        <v>943</v>
      </c>
      <c r="J154" s="58" t="s">
        <v>940</v>
      </c>
      <c r="K154" s="58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</row>
    <row r="155">
      <c r="A155" s="27">
        <f t="shared" si="2"/>
        <v>154</v>
      </c>
      <c r="B155" s="40" t="str">
        <f t="shared" si="4"/>
        <v>C154</v>
      </c>
      <c r="C155" s="43" t="s">
        <v>944</v>
      </c>
      <c r="D155" s="51"/>
      <c r="E155" s="43" t="s">
        <v>30</v>
      </c>
      <c r="F155" s="43" t="s">
        <v>35</v>
      </c>
      <c r="G155" s="116" t="s">
        <v>96</v>
      </c>
      <c r="H155" s="43" t="s">
        <v>188</v>
      </c>
      <c r="I155" s="51"/>
      <c r="J155" s="51" t="s">
        <v>42</v>
      </c>
      <c r="K155" s="58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</row>
    <row r="156">
      <c r="A156" s="59">
        <f t="shared" si="2"/>
        <v>155</v>
      </c>
      <c r="B156" s="61" t="str">
        <f t="shared" si="4"/>
        <v>C155</v>
      </c>
      <c r="C156" s="63" t="s">
        <v>945</v>
      </c>
      <c r="D156" s="58" t="s">
        <v>790</v>
      </c>
      <c r="E156" s="63" t="s">
        <v>58</v>
      </c>
      <c r="F156" s="63" t="s">
        <v>762</v>
      </c>
      <c r="G156" s="117">
        <v>45658.0</v>
      </c>
      <c r="H156" s="71" t="str">
        <f t="shared" ref="H156:H183" si="10">B$155</f>
        <v>C154</v>
      </c>
      <c r="I156" s="58" t="s">
        <v>791</v>
      </c>
      <c r="J156" s="58" t="s">
        <v>42</v>
      </c>
      <c r="K156" s="58" t="s">
        <v>792</v>
      </c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</row>
    <row r="157">
      <c r="A157" s="59">
        <f t="shared" si="2"/>
        <v>156</v>
      </c>
      <c r="B157" s="61" t="str">
        <f t="shared" si="4"/>
        <v>C156</v>
      </c>
      <c r="C157" s="63" t="s">
        <v>946</v>
      </c>
      <c r="D157" s="58" t="s">
        <v>947</v>
      </c>
      <c r="E157" s="63" t="s">
        <v>58</v>
      </c>
      <c r="F157" s="63" t="s">
        <v>948</v>
      </c>
      <c r="G157" s="64" t="s">
        <v>96</v>
      </c>
      <c r="H157" s="71" t="str">
        <f t="shared" si="10"/>
        <v>C154</v>
      </c>
      <c r="I157" s="58" t="s">
        <v>947</v>
      </c>
      <c r="J157" s="58" t="s">
        <v>42</v>
      </c>
      <c r="K157" s="58" t="s">
        <v>754</v>
      </c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</row>
    <row r="158">
      <c r="A158" s="59">
        <f t="shared" si="2"/>
        <v>157</v>
      </c>
      <c r="B158" s="61" t="str">
        <f t="shared" si="4"/>
        <v>C157</v>
      </c>
      <c r="C158" s="63" t="s">
        <v>949</v>
      </c>
      <c r="D158" s="58" t="s">
        <v>950</v>
      </c>
      <c r="E158" s="63" t="s">
        <v>58</v>
      </c>
      <c r="F158" s="63" t="s">
        <v>951</v>
      </c>
      <c r="G158" s="64" t="s">
        <v>96</v>
      </c>
      <c r="H158" s="71" t="str">
        <f t="shared" si="10"/>
        <v>C154</v>
      </c>
      <c r="I158" s="58" t="s">
        <v>952</v>
      </c>
      <c r="J158" s="58" t="s">
        <v>42</v>
      </c>
      <c r="K158" s="51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</row>
    <row r="159">
      <c r="A159" s="59">
        <f t="shared" si="2"/>
        <v>158</v>
      </c>
      <c r="B159" s="61" t="str">
        <f t="shared" si="4"/>
        <v>C158</v>
      </c>
      <c r="C159" s="63" t="s">
        <v>953</v>
      </c>
      <c r="D159" s="58" t="s">
        <v>954</v>
      </c>
      <c r="E159" s="63" t="s">
        <v>58</v>
      </c>
      <c r="F159" s="63" t="s">
        <v>955</v>
      </c>
      <c r="G159" s="64" t="s">
        <v>96</v>
      </c>
      <c r="H159" s="71" t="str">
        <f t="shared" si="10"/>
        <v>C154</v>
      </c>
      <c r="I159" s="58" t="s">
        <v>956</v>
      </c>
      <c r="J159" s="74" t="s">
        <v>957</v>
      </c>
      <c r="K159" s="51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</row>
    <row r="160">
      <c r="A160" s="59">
        <f t="shared" si="2"/>
        <v>159</v>
      </c>
      <c r="B160" s="61" t="str">
        <f t="shared" si="4"/>
        <v>C159</v>
      </c>
      <c r="C160" s="81" t="s">
        <v>958</v>
      </c>
      <c r="D160" s="58" t="s">
        <v>959</v>
      </c>
      <c r="E160" s="63" t="s">
        <v>58</v>
      </c>
      <c r="F160" s="63" t="s">
        <v>434</v>
      </c>
      <c r="G160" s="64" t="s">
        <v>96</v>
      </c>
      <c r="H160" s="71" t="str">
        <f t="shared" si="10"/>
        <v>C154</v>
      </c>
      <c r="I160" s="74" t="s">
        <v>960</v>
      </c>
      <c r="J160" s="74" t="s">
        <v>323</v>
      </c>
      <c r="K160" s="51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</row>
    <row r="161">
      <c r="A161" s="79">
        <f t="shared" si="2"/>
        <v>160</v>
      </c>
      <c r="B161" s="80" t="str">
        <f t="shared" si="4"/>
        <v>C160</v>
      </c>
      <c r="C161" s="81" t="s">
        <v>961</v>
      </c>
      <c r="D161" s="82" t="s">
        <v>962</v>
      </c>
      <c r="E161" s="83" t="s">
        <v>58</v>
      </c>
      <c r="F161" s="81" t="s">
        <v>955</v>
      </c>
      <c r="G161" s="118" t="s">
        <v>96</v>
      </c>
      <c r="H161" s="85" t="str">
        <f t="shared" si="10"/>
        <v>C154</v>
      </c>
      <c r="I161" s="82" t="s">
        <v>963</v>
      </c>
      <c r="J161" s="82" t="s">
        <v>31</v>
      </c>
      <c r="K161" s="82" t="s">
        <v>964</v>
      </c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</row>
    <row r="162">
      <c r="A162" s="59">
        <f t="shared" si="2"/>
        <v>161</v>
      </c>
      <c r="B162" s="61" t="str">
        <f t="shared" si="4"/>
        <v>C161</v>
      </c>
      <c r="C162" s="63" t="s">
        <v>965</v>
      </c>
      <c r="D162" s="58" t="s">
        <v>756</v>
      </c>
      <c r="E162" s="63" t="s">
        <v>58</v>
      </c>
      <c r="F162" s="63" t="s">
        <v>757</v>
      </c>
      <c r="G162" s="64" t="s">
        <v>39</v>
      </c>
      <c r="H162" s="71" t="str">
        <f t="shared" si="10"/>
        <v>C154</v>
      </c>
      <c r="I162" s="58" t="s">
        <v>966</v>
      </c>
      <c r="J162" s="58" t="s">
        <v>42</v>
      </c>
      <c r="K162" s="58" t="s">
        <v>759</v>
      </c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</row>
    <row r="163">
      <c r="A163" s="59">
        <f t="shared" si="2"/>
        <v>162</v>
      </c>
      <c r="B163" s="61" t="str">
        <f t="shared" si="4"/>
        <v>C162</v>
      </c>
      <c r="C163" s="63" t="s">
        <v>967</v>
      </c>
      <c r="D163" s="58" t="s">
        <v>968</v>
      </c>
      <c r="E163" s="63" t="s">
        <v>58</v>
      </c>
      <c r="F163" s="63" t="s">
        <v>727</v>
      </c>
      <c r="G163" s="64" t="s">
        <v>96</v>
      </c>
      <c r="H163" s="71" t="str">
        <f t="shared" si="10"/>
        <v>C154</v>
      </c>
      <c r="I163" s="58" t="s">
        <v>969</v>
      </c>
      <c r="J163" s="58" t="s">
        <v>42</v>
      </c>
      <c r="K163" s="58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</row>
    <row r="164">
      <c r="A164" s="59">
        <f t="shared" si="2"/>
        <v>163</v>
      </c>
      <c r="B164" s="61" t="str">
        <f t="shared" si="4"/>
        <v>C163</v>
      </c>
      <c r="C164" s="63" t="s">
        <v>970</v>
      </c>
      <c r="D164" s="58" t="s">
        <v>971</v>
      </c>
      <c r="E164" s="63" t="s">
        <v>58</v>
      </c>
      <c r="F164" s="63" t="s">
        <v>972</v>
      </c>
      <c r="G164" s="64" t="s">
        <v>39</v>
      </c>
      <c r="H164" s="71" t="str">
        <f t="shared" si="10"/>
        <v>C154</v>
      </c>
      <c r="I164" s="58" t="s">
        <v>973</v>
      </c>
      <c r="J164" s="58" t="s">
        <v>42</v>
      </c>
      <c r="K164" s="58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</row>
    <row r="165">
      <c r="A165" s="59">
        <f t="shared" si="2"/>
        <v>164</v>
      </c>
      <c r="B165" s="61" t="str">
        <f t="shared" si="4"/>
        <v>C164</v>
      </c>
      <c r="C165" s="63" t="s">
        <v>673</v>
      </c>
      <c r="D165" s="58" t="s">
        <v>674</v>
      </c>
      <c r="E165" s="63" t="s">
        <v>58</v>
      </c>
      <c r="F165" s="63" t="s">
        <v>802</v>
      </c>
      <c r="G165" s="64" t="s">
        <v>39</v>
      </c>
      <c r="H165" s="71" t="str">
        <f t="shared" si="10"/>
        <v>C154</v>
      </c>
      <c r="I165" s="76" t="s">
        <v>974</v>
      </c>
      <c r="J165" s="58" t="s">
        <v>42</v>
      </c>
      <c r="K165" s="58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</row>
    <row r="166">
      <c r="A166" s="59">
        <f t="shared" si="2"/>
        <v>165</v>
      </c>
      <c r="B166" s="61" t="str">
        <f t="shared" si="4"/>
        <v>C165</v>
      </c>
      <c r="C166" s="63" t="s">
        <v>975</v>
      </c>
      <c r="D166" s="58" t="s">
        <v>976</v>
      </c>
      <c r="E166" s="63" t="s">
        <v>58</v>
      </c>
      <c r="F166" s="63" t="s">
        <v>765</v>
      </c>
      <c r="G166" s="64" t="s">
        <v>96</v>
      </c>
      <c r="H166" s="71" t="str">
        <f t="shared" si="10"/>
        <v>C154</v>
      </c>
      <c r="I166" s="58" t="s">
        <v>976</v>
      </c>
      <c r="J166" s="58" t="s">
        <v>42</v>
      </c>
      <c r="K166" s="58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</row>
    <row r="167">
      <c r="A167" s="59">
        <f t="shared" si="2"/>
        <v>166</v>
      </c>
      <c r="B167" s="61" t="str">
        <f t="shared" si="4"/>
        <v>C166</v>
      </c>
      <c r="C167" s="63" t="s">
        <v>977</v>
      </c>
      <c r="D167" s="58" t="s">
        <v>978</v>
      </c>
      <c r="E167" s="63" t="s">
        <v>58</v>
      </c>
      <c r="F167" s="63" t="s">
        <v>60</v>
      </c>
      <c r="G167" s="64" t="s">
        <v>96</v>
      </c>
      <c r="H167" s="71" t="str">
        <f t="shared" si="10"/>
        <v>C154</v>
      </c>
      <c r="I167" s="58" t="s">
        <v>979</v>
      </c>
      <c r="J167" s="58" t="s">
        <v>42</v>
      </c>
      <c r="K167" s="58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</row>
    <row r="168">
      <c r="A168" s="59">
        <f t="shared" si="2"/>
        <v>167</v>
      </c>
      <c r="B168" s="61" t="str">
        <f t="shared" si="4"/>
        <v>C167</v>
      </c>
      <c r="C168" s="63" t="s">
        <v>980</v>
      </c>
      <c r="D168" s="58" t="s">
        <v>981</v>
      </c>
      <c r="E168" s="63" t="s">
        <v>58</v>
      </c>
      <c r="F168" s="63" t="s">
        <v>762</v>
      </c>
      <c r="G168" s="64" t="s">
        <v>96</v>
      </c>
      <c r="H168" s="71" t="str">
        <f t="shared" si="10"/>
        <v>C154</v>
      </c>
      <c r="I168" s="58" t="s">
        <v>981</v>
      </c>
      <c r="J168" s="58" t="s">
        <v>42</v>
      </c>
      <c r="K168" s="58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</row>
    <row r="169">
      <c r="A169" s="59">
        <f t="shared" si="2"/>
        <v>168</v>
      </c>
      <c r="B169" s="61" t="str">
        <f t="shared" si="4"/>
        <v>C168</v>
      </c>
      <c r="C169" s="63" t="s">
        <v>982</v>
      </c>
      <c r="D169" s="58" t="s">
        <v>983</v>
      </c>
      <c r="E169" s="63" t="s">
        <v>58</v>
      </c>
      <c r="F169" s="63" t="s">
        <v>304</v>
      </c>
      <c r="G169" s="64" t="s">
        <v>96</v>
      </c>
      <c r="H169" s="71" t="str">
        <f t="shared" si="10"/>
        <v>C154</v>
      </c>
      <c r="I169" s="58" t="s">
        <v>984</v>
      </c>
      <c r="J169" s="58" t="s">
        <v>42</v>
      </c>
      <c r="K169" s="51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</row>
    <row r="170">
      <c r="A170" s="59">
        <f t="shared" si="2"/>
        <v>169</v>
      </c>
      <c r="B170" s="61" t="str">
        <f t="shared" si="4"/>
        <v>C169</v>
      </c>
      <c r="C170" s="63" t="s">
        <v>985</v>
      </c>
      <c r="D170" s="58" t="s">
        <v>986</v>
      </c>
      <c r="E170" s="63" t="s">
        <v>58</v>
      </c>
      <c r="F170" s="63" t="s">
        <v>987</v>
      </c>
      <c r="G170" s="64" t="s">
        <v>96</v>
      </c>
      <c r="H170" s="71" t="str">
        <f t="shared" si="10"/>
        <v>C154</v>
      </c>
      <c r="I170" s="76" t="s">
        <v>803</v>
      </c>
      <c r="J170" s="58" t="s">
        <v>42</v>
      </c>
      <c r="K170" s="58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</row>
    <row r="171">
      <c r="A171" s="59">
        <f t="shared" si="2"/>
        <v>170</v>
      </c>
      <c r="B171" s="61" t="str">
        <f t="shared" si="4"/>
        <v>C170</v>
      </c>
      <c r="C171" s="63" t="s">
        <v>988</v>
      </c>
      <c r="D171" s="58" t="s">
        <v>989</v>
      </c>
      <c r="E171" s="63" t="s">
        <v>58</v>
      </c>
      <c r="F171" s="63" t="s">
        <v>274</v>
      </c>
      <c r="G171" s="64" t="s">
        <v>96</v>
      </c>
      <c r="H171" s="71" t="str">
        <f t="shared" si="10"/>
        <v>C154</v>
      </c>
      <c r="I171" s="58" t="s">
        <v>990</v>
      </c>
      <c r="J171" s="58" t="s">
        <v>42</v>
      </c>
      <c r="K171" s="58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</row>
    <row r="172">
      <c r="A172" s="59">
        <f t="shared" si="2"/>
        <v>171</v>
      </c>
      <c r="B172" s="61" t="str">
        <f t="shared" si="4"/>
        <v>C171</v>
      </c>
      <c r="C172" s="63" t="s">
        <v>991</v>
      </c>
      <c r="D172" s="58" t="s">
        <v>992</v>
      </c>
      <c r="E172" s="63" t="s">
        <v>58</v>
      </c>
      <c r="F172" s="63" t="s">
        <v>559</v>
      </c>
      <c r="G172" s="64" t="s">
        <v>96</v>
      </c>
      <c r="H172" s="71" t="str">
        <f t="shared" si="10"/>
        <v>C154</v>
      </c>
      <c r="I172" s="58" t="s">
        <v>992</v>
      </c>
      <c r="J172" s="58" t="s">
        <v>42</v>
      </c>
      <c r="K172" s="58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</row>
    <row r="173">
      <c r="A173" s="59">
        <f t="shared" si="2"/>
        <v>172</v>
      </c>
      <c r="B173" s="61" t="str">
        <f t="shared" si="4"/>
        <v>C172</v>
      </c>
      <c r="C173" s="63" t="s">
        <v>993</v>
      </c>
      <c r="D173" s="58" t="s">
        <v>994</v>
      </c>
      <c r="E173" s="63" t="s">
        <v>58</v>
      </c>
      <c r="F173" s="63" t="s">
        <v>955</v>
      </c>
      <c r="G173" s="64" t="s">
        <v>96</v>
      </c>
      <c r="H173" s="71" t="str">
        <f t="shared" si="10"/>
        <v>C154</v>
      </c>
      <c r="I173" s="58" t="s">
        <v>995</v>
      </c>
      <c r="J173" s="58" t="s">
        <v>42</v>
      </c>
      <c r="K173" s="58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</row>
    <row r="174">
      <c r="A174" s="59">
        <f t="shared" si="2"/>
        <v>173</v>
      </c>
      <c r="B174" s="61" t="str">
        <f t="shared" si="4"/>
        <v>C173</v>
      </c>
      <c r="C174" s="63" t="s">
        <v>996</v>
      </c>
      <c r="D174" s="58" t="s">
        <v>997</v>
      </c>
      <c r="E174" s="63" t="s">
        <v>58</v>
      </c>
      <c r="F174" s="63" t="s">
        <v>955</v>
      </c>
      <c r="G174" s="64" t="s">
        <v>96</v>
      </c>
      <c r="H174" s="71" t="str">
        <f t="shared" si="10"/>
        <v>C154</v>
      </c>
      <c r="I174" s="58" t="s">
        <v>998</v>
      </c>
      <c r="J174" s="58" t="s">
        <v>42</v>
      </c>
      <c r="K174" s="51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</row>
    <row r="175">
      <c r="A175" s="59">
        <f t="shared" si="2"/>
        <v>174</v>
      </c>
      <c r="B175" s="61" t="str">
        <f t="shared" si="4"/>
        <v>C174</v>
      </c>
      <c r="C175" s="63" t="s">
        <v>999</v>
      </c>
      <c r="D175" s="58" t="s">
        <v>1000</v>
      </c>
      <c r="E175" s="63" t="s">
        <v>58</v>
      </c>
      <c r="F175" s="63" t="s">
        <v>1001</v>
      </c>
      <c r="G175" s="64" t="s">
        <v>96</v>
      </c>
      <c r="H175" s="71" t="str">
        <f t="shared" si="10"/>
        <v>C154</v>
      </c>
      <c r="I175" s="58" t="s">
        <v>1002</v>
      </c>
      <c r="J175" s="58" t="s">
        <v>1003</v>
      </c>
      <c r="K175" s="58" t="s">
        <v>1004</v>
      </c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</row>
    <row r="176">
      <c r="A176" s="59">
        <f t="shared" si="2"/>
        <v>175</v>
      </c>
      <c r="B176" s="61" t="str">
        <f t="shared" si="4"/>
        <v>C175</v>
      </c>
      <c r="C176" s="63" t="s">
        <v>1005</v>
      </c>
      <c r="D176" s="58" t="s">
        <v>1006</v>
      </c>
      <c r="E176" s="63" t="s">
        <v>58</v>
      </c>
      <c r="F176" s="63" t="s">
        <v>719</v>
      </c>
      <c r="G176" s="64" t="s">
        <v>96</v>
      </c>
      <c r="H176" s="71" t="str">
        <f t="shared" si="10"/>
        <v>C154</v>
      </c>
      <c r="I176" s="58" t="s">
        <v>1007</v>
      </c>
      <c r="J176" s="58" t="s">
        <v>1008</v>
      </c>
      <c r="K176" s="58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</row>
    <row r="177">
      <c r="A177" s="59">
        <f t="shared" si="2"/>
        <v>176</v>
      </c>
      <c r="B177" s="61" t="str">
        <f t="shared" si="4"/>
        <v>C176</v>
      </c>
      <c r="C177" s="63" t="s">
        <v>1009</v>
      </c>
      <c r="D177" s="58" t="s">
        <v>1010</v>
      </c>
      <c r="E177" s="63" t="s">
        <v>58</v>
      </c>
      <c r="F177" s="63" t="s">
        <v>719</v>
      </c>
      <c r="G177" s="64" t="s">
        <v>96</v>
      </c>
      <c r="H177" s="71" t="str">
        <f t="shared" si="10"/>
        <v>C154</v>
      </c>
      <c r="I177" s="58" t="s">
        <v>1011</v>
      </c>
      <c r="J177" s="58" t="s">
        <v>940</v>
      </c>
      <c r="K177" s="58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</row>
    <row r="178">
      <c r="A178" s="59">
        <f t="shared" si="2"/>
        <v>177</v>
      </c>
      <c r="B178" s="61" t="str">
        <f t="shared" si="4"/>
        <v>C177</v>
      </c>
      <c r="C178" s="63" t="s">
        <v>1012</v>
      </c>
      <c r="D178" s="58" t="s">
        <v>1013</v>
      </c>
      <c r="E178" s="63" t="s">
        <v>58</v>
      </c>
      <c r="F178" s="63" t="s">
        <v>210</v>
      </c>
      <c r="G178" s="64" t="s">
        <v>96</v>
      </c>
      <c r="H178" s="71" t="str">
        <f t="shared" si="10"/>
        <v>C154</v>
      </c>
      <c r="I178" s="58" t="s">
        <v>1014</v>
      </c>
      <c r="J178" s="58" t="s">
        <v>1015</v>
      </c>
      <c r="K178" s="58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</row>
    <row r="179">
      <c r="A179" s="59">
        <f t="shared" si="2"/>
        <v>178</v>
      </c>
      <c r="B179" s="61" t="str">
        <f t="shared" si="4"/>
        <v>C178</v>
      </c>
      <c r="C179" s="63" t="s">
        <v>1016</v>
      </c>
      <c r="D179" s="58" t="s">
        <v>1017</v>
      </c>
      <c r="E179" s="63" t="s">
        <v>58</v>
      </c>
      <c r="F179" s="63" t="s">
        <v>915</v>
      </c>
      <c r="G179" s="64" t="s">
        <v>96</v>
      </c>
      <c r="H179" s="71" t="str">
        <f t="shared" si="10"/>
        <v>C154</v>
      </c>
      <c r="I179" s="88" t="s">
        <v>1018</v>
      </c>
      <c r="J179" s="74" t="s">
        <v>1019</v>
      </c>
      <c r="K179" s="58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</row>
    <row r="180">
      <c r="A180" s="59">
        <f t="shared" si="2"/>
        <v>179</v>
      </c>
      <c r="B180" s="61" t="str">
        <f t="shared" si="4"/>
        <v>C179</v>
      </c>
      <c r="C180" s="63" t="s">
        <v>1020</v>
      </c>
      <c r="D180" s="58" t="s">
        <v>1021</v>
      </c>
      <c r="E180" s="63" t="s">
        <v>58</v>
      </c>
      <c r="F180" s="63" t="s">
        <v>559</v>
      </c>
      <c r="G180" s="64" t="s">
        <v>96</v>
      </c>
      <c r="H180" s="71" t="str">
        <f t="shared" si="10"/>
        <v>C154</v>
      </c>
      <c r="I180" s="74" t="s">
        <v>1022</v>
      </c>
      <c r="J180" s="74" t="s">
        <v>323</v>
      </c>
      <c r="K180" s="58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</row>
    <row r="181">
      <c r="A181" s="59">
        <f t="shared" si="2"/>
        <v>180</v>
      </c>
      <c r="B181" s="61" t="str">
        <f t="shared" si="4"/>
        <v>C180</v>
      </c>
      <c r="C181" s="63" t="s">
        <v>1023</v>
      </c>
      <c r="D181" s="58" t="s">
        <v>1024</v>
      </c>
      <c r="E181" s="63" t="s">
        <v>58</v>
      </c>
      <c r="F181" s="63" t="s">
        <v>951</v>
      </c>
      <c r="G181" s="64" t="s">
        <v>96</v>
      </c>
      <c r="H181" s="71" t="str">
        <f t="shared" si="10"/>
        <v>C154</v>
      </c>
      <c r="I181" s="74" t="s">
        <v>1025</v>
      </c>
      <c r="J181" s="74" t="s">
        <v>323</v>
      </c>
      <c r="K181" s="74" t="s">
        <v>1026</v>
      </c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</row>
    <row r="182">
      <c r="A182" s="59">
        <f t="shared" si="2"/>
        <v>181</v>
      </c>
      <c r="B182" s="61" t="str">
        <f t="shared" si="4"/>
        <v>C181</v>
      </c>
      <c r="C182" s="63" t="s">
        <v>1027</v>
      </c>
      <c r="D182" s="58" t="s">
        <v>1028</v>
      </c>
      <c r="E182" s="63" t="s">
        <v>58</v>
      </c>
      <c r="F182" s="63" t="s">
        <v>304</v>
      </c>
      <c r="G182" s="64" t="s">
        <v>96</v>
      </c>
      <c r="H182" s="71" t="str">
        <f t="shared" si="10"/>
        <v>C154</v>
      </c>
      <c r="I182" s="82" t="s">
        <v>1029</v>
      </c>
      <c r="J182" s="74" t="s">
        <v>323</v>
      </c>
      <c r="K182" s="58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</row>
    <row r="183">
      <c r="A183" s="27">
        <f t="shared" si="2"/>
        <v>182</v>
      </c>
      <c r="B183" s="40" t="str">
        <f t="shared" si="4"/>
        <v>C182</v>
      </c>
      <c r="C183" s="43" t="s">
        <v>1030</v>
      </c>
      <c r="D183" s="51"/>
      <c r="E183" s="43" t="s">
        <v>30</v>
      </c>
      <c r="F183" s="43" t="s">
        <v>35</v>
      </c>
      <c r="G183" s="116" t="s">
        <v>96</v>
      </c>
      <c r="H183" s="105" t="str">
        <f t="shared" si="10"/>
        <v>C154</v>
      </c>
      <c r="I183" s="51"/>
      <c r="J183" s="51" t="s">
        <v>42</v>
      </c>
      <c r="K183" s="58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</row>
    <row r="184">
      <c r="A184" s="59">
        <f t="shared" si="2"/>
        <v>183</v>
      </c>
      <c r="B184" s="61" t="str">
        <f t="shared" si="4"/>
        <v>C183</v>
      </c>
      <c r="C184" s="63" t="s">
        <v>1031</v>
      </c>
      <c r="D184" s="58" t="s">
        <v>1032</v>
      </c>
      <c r="E184" s="63" t="s">
        <v>58</v>
      </c>
      <c r="F184" s="63" t="s">
        <v>765</v>
      </c>
      <c r="G184" s="64" t="s">
        <v>39</v>
      </c>
      <c r="H184" s="71" t="str">
        <f t="shared" ref="H184:H257" si="11">B$183</f>
        <v>C182</v>
      </c>
      <c r="I184" s="78" t="s">
        <v>1033</v>
      </c>
      <c r="J184" s="58" t="s">
        <v>42</v>
      </c>
      <c r="K184" s="58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</row>
    <row r="185">
      <c r="A185" s="59">
        <f t="shared" si="2"/>
        <v>184</v>
      </c>
      <c r="B185" s="61" t="str">
        <f t="shared" si="4"/>
        <v>C184</v>
      </c>
      <c r="C185" s="63" t="s">
        <v>1034</v>
      </c>
      <c r="D185" s="58" t="s">
        <v>1035</v>
      </c>
      <c r="E185" s="63" t="s">
        <v>58</v>
      </c>
      <c r="F185" s="63" t="s">
        <v>1036</v>
      </c>
      <c r="G185" s="64" t="s">
        <v>96</v>
      </c>
      <c r="H185" s="71" t="str">
        <f t="shared" si="11"/>
        <v>C182</v>
      </c>
      <c r="I185" s="51" t="s">
        <v>642</v>
      </c>
      <c r="J185" s="74" t="s">
        <v>323</v>
      </c>
      <c r="K185" s="58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</row>
    <row r="186">
      <c r="A186" s="59">
        <f t="shared" si="2"/>
        <v>185</v>
      </c>
      <c r="B186" s="61" t="str">
        <f t="shared" si="4"/>
        <v>C185</v>
      </c>
      <c r="C186" s="63" t="s">
        <v>1037</v>
      </c>
      <c r="D186" s="58" t="s">
        <v>1038</v>
      </c>
      <c r="E186" s="63" t="s">
        <v>58</v>
      </c>
      <c r="F186" s="63" t="s">
        <v>765</v>
      </c>
      <c r="G186" s="64" t="s">
        <v>96</v>
      </c>
      <c r="H186" s="71" t="str">
        <f t="shared" si="11"/>
        <v>C182</v>
      </c>
      <c r="I186" s="58" t="s">
        <v>1039</v>
      </c>
      <c r="J186" s="58" t="s">
        <v>42</v>
      </c>
      <c r="K186" s="58" t="s">
        <v>748</v>
      </c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</row>
    <row r="187">
      <c r="A187" s="59">
        <f t="shared" si="2"/>
        <v>186</v>
      </c>
      <c r="B187" s="61" t="str">
        <f t="shared" si="4"/>
        <v>C186</v>
      </c>
      <c r="C187" s="63" t="s">
        <v>1040</v>
      </c>
      <c r="D187" s="58" t="s">
        <v>853</v>
      </c>
      <c r="E187" s="63" t="s">
        <v>58</v>
      </c>
      <c r="F187" s="63" t="s">
        <v>765</v>
      </c>
      <c r="G187" s="64" t="s">
        <v>96</v>
      </c>
      <c r="H187" s="71" t="str">
        <f t="shared" si="11"/>
        <v>C182</v>
      </c>
      <c r="I187" s="88" t="s">
        <v>1041</v>
      </c>
      <c r="J187" s="74" t="s">
        <v>1019</v>
      </c>
      <c r="K187" s="51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</row>
    <row r="188">
      <c r="A188" s="79">
        <f t="shared" si="2"/>
        <v>187</v>
      </c>
      <c r="B188" s="80" t="str">
        <f t="shared" si="4"/>
        <v>C187</v>
      </c>
      <c r="C188" s="81" t="s">
        <v>1042</v>
      </c>
      <c r="D188" s="82" t="s">
        <v>1043</v>
      </c>
      <c r="E188" s="83" t="s">
        <v>58</v>
      </c>
      <c r="F188" s="83" t="s">
        <v>765</v>
      </c>
      <c r="G188" s="84" t="s">
        <v>96</v>
      </c>
      <c r="H188" s="85" t="str">
        <f t="shared" si="11"/>
        <v>C182</v>
      </c>
      <c r="I188" s="88"/>
      <c r="J188" s="82" t="s">
        <v>1044</v>
      </c>
      <c r="K188" s="87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</row>
    <row r="189">
      <c r="A189" s="59">
        <f t="shared" si="2"/>
        <v>188</v>
      </c>
      <c r="B189" s="61" t="str">
        <f t="shared" si="4"/>
        <v>C188</v>
      </c>
      <c r="C189" s="63" t="s">
        <v>1045</v>
      </c>
      <c r="D189" s="58" t="s">
        <v>1046</v>
      </c>
      <c r="E189" s="63" t="s">
        <v>58</v>
      </c>
      <c r="F189" s="63" t="s">
        <v>765</v>
      </c>
      <c r="G189" s="64" t="s">
        <v>96</v>
      </c>
      <c r="H189" s="71" t="str">
        <f t="shared" si="11"/>
        <v>C182</v>
      </c>
      <c r="I189" s="58"/>
      <c r="J189" s="58" t="s">
        <v>42</v>
      </c>
      <c r="K189" s="58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</row>
    <row r="190">
      <c r="A190" s="59">
        <f t="shared" si="2"/>
        <v>189</v>
      </c>
      <c r="B190" s="61" t="str">
        <f t="shared" si="4"/>
        <v>C189</v>
      </c>
      <c r="C190" s="63" t="s">
        <v>1047</v>
      </c>
      <c r="D190" s="58" t="s">
        <v>841</v>
      </c>
      <c r="E190" s="63" t="s">
        <v>58</v>
      </c>
      <c r="F190" s="63" t="s">
        <v>765</v>
      </c>
      <c r="G190" s="64" t="s">
        <v>96</v>
      </c>
      <c r="H190" s="71" t="str">
        <f t="shared" si="11"/>
        <v>C182</v>
      </c>
      <c r="I190" s="88" t="s">
        <v>1041</v>
      </c>
      <c r="J190" s="74" t="s">
        <v>1019</v>
      </c>
      <c r="K190" s="58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</row>
    <row r="191">
      <c r="A191" s="79">
        <f t="shared" si="2"/>
        <v>190</v>
      </c>
      <c r="B191" s="80" t="str">
        <f t="shared" si="4"/>
        <v>C190</v>
      </c>
      <c r="C191" s="81" t="s">
        <v>1048</v>
      </c>
      <c r="D191" s="82" t="s">
        <v>1049</v>
      </c>
      <c r="E191" s="83" t="s">
        <v>58</v>
      </c>
      <c r="F191" s="83" t="s">
        <v>765</v>
      </c>
      <c r="G191" s="84" t="s">
        <v>96</v>
      </c>
      <c r="H191" s="85" t="str">
        <f t="shared" si="11"/>
        <v>C182</v>
      </c>
      <c r="I191" s="88"/>
      <c r="J191" s="82" t="s">
        <v>1044</v>
      </c>
      <c r="K191" s="87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</row>
    <row r="192">
      <c r="A192" s="59">
        <f t="shared" si="2"/>
        <v>191</v>
      </c>
      <c r="B192" s="61" t="str">
        <f t="shared" si="4"/>
        <v>C191</v>
      </c>
      <c r="C192" s="63" t="s">
        <v>1050</v>
      </c>
      <c r="D192" s="58" t="s">
        <v>1051</v>
      </c>
      <c r="E192" s="63" t="s">
        <v>58</v>
      </c>
      <c r="F192" s="63" t="s">
        <v>765</v>
      </c>
      <c r="G192" s="64" t="s">
        <v>96</v>
      </c>
      <c r="H192" s="71" t="str">
        <f t="shared" si="11"/>
        <v>C182</v>
      </c>
      <c r="I192" s="58"/>
      <c r="J192" s="58" t="s">
        <v>42</v>
      </c>
      <c r="K192" s="58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</row>
    <row r="193">
      <c r="A193" s="59">
        <f t="shared" si="2"/>
        <v>192</v>
      </c>
      <c r="B193" s="61" t="str">
        <f t="shared" si="4"/>
        <v>C192</v>
      </c>
      <c r="C193" s="63" t="s">
        <v>1052</v>
      </c>
      <c r="D193" s="58" t="s">
        <v>829</v>
      </c>
      <c r="E193" s="63" t="s">
        <v>58</v>
      </c>
      <c r="F193" s="63" t="s">
        <v>765</v>
      </c>
      <c r="G193" s="64" t="s">
        <v>96</v>
      </c>
      <c r="H193" s="71" t="str">
        <f t="shared" si="11"/>
        <v>C182</v>
      </c>
      <c r="I193" s="88" t="s">
        <v>1041</v>
      </c>
      <c r="J193" s="74" t="s">
        <v>1019</v>
      </c>
      <c r="K193" s="58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</row>
    <row r="194">
      <c r="A194" s="59">
        <f t="shared" si="2"/>
        <v>193</v>
      </c>
      <c r="B194" s="61" t="str">
        <f t="shared" si="4"/>
        <v>C193</v>
      </c>
      <c r="C194" s="63" t="s">
        <v>1053</v>
      </c>
      <c r="D194" s="58" t="s">
        <v>1054</v>
      </c>
      <c r="E194" s="63" t="s">
        <v>58</v>
      </c>
      <c r="F194" s="63" t="s">
        <v>765</v>
      </c>
      <c r="G194" s="64" t="s">
        <v>96</v>
      </c>
      <c r="H194" s="71" t="str">
        <f t="shared" si="11"/>
        <v>C182</v>
      </c>
      <c r="I194" s="58"/>
      <c r="J194" s="58" t="s">
        <v>42</v>
      </c>
      <c r="K194" s="58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</row>
    <row r="195">
      <c r="A195" s="59">
        <f t="shared" si="2"/>
        <v>194</v>
      </c>
      <c r="B195" s="61" t="str">
        <f t="shared" si="4"/>
        <v>C194</v>
      </c>
      <c r="C195" s="63" t="s">
        <v>1055</v>
      </c>
      <c r="D195" s="58" t="s">
        <v>835</v>
      </c>
      <c r="E195" s="63" t="s">
        <v>58</v>
      </c>
      <c r="F195" s="63" t="s">
        <v>765</v>
      </c>
      <c r="G195" s="64" t="s">
        <v>96</v>
      </c>
      <c r="H195" s="71" t="str">
        <f t="shared" si="11"/>
        <v>C182</v>
      </c>
      <c r="I195" s="88" t="s">
        <v>1041</v>
      </c>
      <c r="J195" s="74" t="s">
        <v>1019</v>
      </c>
      <c r="K195" s="51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</row>
    <row r="196">
      <c r="A196" s="59">
        <f t="shared" si="2"/>
        <v>195</v>
      </c>
      <c r="B196" s="61" t="str">
        <f t="shared" si="4"/>
        <v>C195</v>
      </c>
      <c r="C196" s="63" t="s">
        <v>1056</v>
      </c>
      <c r="D196" s="58" t="s">
        <v>1057</v>
      </c>
      <c r="E196" s="63" t="s">
        <v>58</v>
      </c>
      <c r="F196" s="63" t="s">
        <v>765</v>
      </c>
      <c r="G196" s="64" t="s">
        <v>96</v>
      </c>
      <c r="H196" s="71" t="str">
        <f t="shared" si="11"/>
        <v>C182</v>
      </c>
      <c r="I196" s="58"/>
      <c r="J196" s="58" t="s">
        <v>42</v>
      </c>
      <c r="K196" s="58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</row>
    <row r="197">
      <c r="A197" s="59">
        <f t="shared" si="2"/>
        <v>196</v>
      </c>
      <c r="B197" s="61" t="str">
        <f t="shared" si="4"/>
        <v>C196</v>
      </c>
      <c r="C197" s="63" t="s">
        <v>1058</v>
      </c>
      <c r="D197" s="58" t="s">
        <v>1059</v>
      </c>
      <c r="E197" s="63" t="s">
        <v>58</v>
      </c>
      <c r="F197" s="63" t="s">
        <v>765</v>
      </c>
      <c r="G197" s="64" t="s">
        <v>96</v>
      </c>
      <c r="H197" s="71" t="str">
        <f t="shared" si="11"/>
        <v>C182</v>
      </c>
      <c r="I197" s="88" t="s">
        <v>1041</v>
      </c>
      <c r="J197" s="74" t="s">
        <v>1019</v>
      </c>
      <c r="K197" s="58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</row>
    <row r="198">
      <c r="A198" s="59">
        <f t="shared" si="2"/>
        <v>197</v>
      </c>
      <c r="B198" s="61" t="str">
        <f t="shared" si="4"/>
        <v>C197</v>
      </c>
      <c r="C198" s="63" t="s">
        <v>1060</v>
      </c>
      <c r="D198" s="58" t="s">
        <v>1061</v>
      </c>
      <c r="E198" s="63" t="s">
        <v>58</v>
      </c>
      <c r="F198" s="63" t="s">
        <v>765</v>
      </c>
      <c r="G198" s="64" t="s">
        <v>96</v>
      </c>
      <c r="H198" s="71" t="str">
        <f t="shared" si="11"/>
        <v>C182</v>
      </c>
      <c r="I198" s="58"/>
      <c r="J198" s="58" t="s">
        <v>42</v>
      </c>
      <c r="K198" s="58" t="s">
        <v>766</v>
      </c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</row>
    <row r="199">
      <c r="A199" s="59">
        <f t="shared" si="2"/>
        <v>198</v>
      </c>
      <c r="B199" s="61" t="str">
        <f t="shared" si="4"/>
        <v>C198</v>
      </c>
      <c r="C199" s="63" t="s">
        <v>1062</v>
      </c>
      <c r="D199" s="58" t="s">
        <v>1063</v>
      </c>
      <c r="E199" s="63" t="s">
        <v>58</v>
      </c>
      <c r="F199" s="63" t="s">
        <v>409</v>
      </c>
      <c r="G199" s="64" t="s">
        <v>96</v>
      </c>
      <c r="H199" s="71" t="str">
        <f t="shared" si="11"/>
        <v>C182</v>
      </c>
      <c r="I199" s="58" t="s">
        <v>1064</v>
      </c>
      <c r="J199" s="58" t="s">
        <v>42</v>
      </c>
      <c r="K199" s="58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</row>
    <row r="200">
      <c r="A200" s="59">
        <f t="shared" si="2"/>
        <v>199</v>
      </c>
      <c r="B200" s="61" t="str">
        <f t="shared" si="4"/>
        <v>C199</v>
      </c>
      <c r="C200" s="63" t="s">
        <v>1065</v>
      </c>
      <c r="D200" s="58" t="s">
        <v>1066</v>
      </c>
      <c r="E200" s="63" t="s">
        <v>58</v>
      </c>
      <c r="F200" s="63" t="s">
        <v>304</v>
      </c>
      <c r="G200" s="64" t="s">
        <v>96</v>
      </c>
      <c r="H200" s="71" t="str">
        <f t="shared" si="11"/>
        <v>C182</v>
      </c>
      <c r="I200" s="58" t="s">
        <v>751</v>
      </c>
      <c r="J200" s="58" t="s">
        <v>42</v>
      </c>
      <c r="K200" s="58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</row>
    <row r="201">
      <c r="A201" s="59">
        <f t="shared" si="2"/>
        <v>200</v>
      </c>
      <c r="B201" s="61" t="str">
        <f t="shared" si="4"/>
        <v>C200</v>
      </c>
      <c r="C201" s="63" t="s">
        <v>1067</v>
      </c>
      <c r="D201" s="58" t="s">
        <v>1068</v>
      </c>
      <c r="E201" s="63" t="s">
        <v>58</v>
      </c>
      <c r="F201" s="63" t="s">
        <v>740</v>
      </c>
      <c r="G201" s="64" t="s">
        <v>96</v>
      </c>
      <c r="H201" s="71" t="str">
        <f t="shared" si="11"/>
        <v>C182</v>
      </c>
      <c r="I201" s="58"/>
      <c r="J201" s="58" t="s">
        <v>42</v>
      </c>
      <c r="K201" s="58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</row>
    <row r="202">
      <c r="A202" s="59">
        <f t="shared" si="2"/>
        <v>201</v>
      </c>
      <c r="B202" s="61" t="str">
        <f t="shared" si="4"/>
        <v>C201</v>
      </c>
      <c r="C202" s="63" t="s">
        <v>1069</v>
      </c>
      <c r="D202" s="58" t="s">
        <v>1070</v>
      </c>
      <c r="E202" s="63" t="s">
        <v>58</v>
      </c>
      <c r="F202" s="63" t="s">
        <v>409</v>
      </c>
      <c r="G202" s="64" t="s">
        <v>96</v>
      </c>
      <c r="H202" s="71" t="str">
        <f t="shared" si="11"/>
        <v>C182</v>
      </c>
      <c r="I202" s="58" t="s">
        <v>1071</v>
      </c>
      <c r="J202" s="58" t="s">
        <v>42</v>
      </c>
      <c r="K202" s="58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</row>
    <row r="203">
      <c r="A203" s="59">
        <f t="shared" si="2"/>
        <v>202</v>
      </c>
      <c r="B203" s="61" t="str">
        <f t="shared" si="4"/>
        <v>C202</v>
      </c>
      <c r="C203" s="63" t="s">
        <v>1072</v>
      </c>
      <c r="D203" s="58" t="s">
        <v>1073</v>
      </c>
      <c r="E203" s="63" t="s">
        <v>58</v>
      </c>
      <c r="F203" s="63" t="s">
        <v>765</v>
      </c>
      <c r="G203" s="64" t="s">
        <v>96</v>
      </c>
      <c r="H203" s="71" t="str">
        <f t="shared" si="11"/>
        <v>C182</v>
      </c>
      <c r="I203" s="58" t="s">
        <v>1073</v>
      </c>
      <c r="J203" s="58" t="s">
        <v>42</v>
      </c>
      <c r="K203" s="58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</row>
    <row r="204">
      <c r="A204" s="59">
        <f t="shared" si="2"/>
        <v>203</v>
      </c>
      <c r="B204" s="61" t="str">
        <f t="shared" si="4"/>
        <v>C203</v>
      </c>
      <c r="C204" s="63" t="s">
        <v>1074</v>
      </c>
      <c r="D204" s="58" t="s">
        <v>1075</v>
      </c>
      <c r="E204" s="63" t="s">
        <v>58</v>
      </c>
      <c r="F204" s="63" t="s">
        <v>765</v>
      </c>
      <c r="G204" s="64" t="s">
        <v>96</v>
      </c>
      <c r="H204" s="71" t="str">
        <f t="shared" si="11"/>
        <v>C182</v>
      </c>
      <c r="I204" s="58" t="s">
        <v>1076</v>
      </c>
      <c r="J204" s="58" t="s">
        <v>42</v>
      </c>
      <c r="K204" s="51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</row>
    <row r="205">
      <c r="A205" s="59">
        <f t="shared" si="2"/>
        <v>204</v>
      </c>
      <c r="B205" s="61" t="str">
        <f t="shared" si="4"/>
        <v>C204</v>
      </c>
      <c r="C205" s="63" t="s">
        <v>1077</v>
      </c>
      <c r="D205" s="58" t="s">
        <v>1078</v>
      </c>
      <c r="E205" s="63" t="s">
        <v>58</v>
      </c>
      <c r="F205" s="63" t="s">
        <v>765</v>
      </c>
      <c r="G205" s="64" t="s">
        <v>96</v>
      </c>
      <c r="H205" s="71" t="str">
        <f t="shared" si="11"/>
        <v>C182</v>
      </c>
      <c r="I205" s="58" t="s">
        <v>1079</v>
      </c>
      <c r="J205" s="58" t="s">
        <v>1080</v>
      </c>
      <c r="K205" s="51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</row>
    <row r="206">
      <c r="A206" s="59">
        <f t="shared" si="2"/>
        <v>205</v>
      </c>
      <c r="B206" s="61" t="str">
        <f t="shared" si="4"/>
        <v>C205</v>
      </c>
      <c r="C206" s="63" t="s">
        <v>1081</v>
      </c>
      <c r="D206" s="58" t="s">
        <v>1082</v>
      </c>
      <c r="E206" s="63" t="s">
        <v>58</v>
      </c>
      <c r="F206" s="63" t="s">
        <v>765</v>
      </c>
      <c r="G206" s="64" t="s">
        <v>39</v>
      </c>
      <c r="H206" s="71" t="str">
        <f t="shared" si="11"/>
        <v>C182</v>
      </c>
      <c r="I206" s="58" t="s">
        <v>1083</v>
      </c>
      <c r="J206" s="58" t="s">
        <v>42</v>
      </c>
      <c r="K206" s="58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</row>
    <row r="207">
      <c r="A207" s="59">
        <f t="shared" si="2"/>
        <v>206</v>
      </c>
      <c r="B207" s="61" t="str">
        <f t="shared" si="4"/>
        <v>C206</v>
      </c>
      <c r="C207" s="63" t="s">
        <v>1084</v>
      </c>
      <c r="D207" s="58" t="s">
        <v>1085</v>
      </c>
      <c r="E207" s="63" t="s">
        <v>58</v>
      </c>
      <c r="F207" s="63" t="s">
        <v>765</v>
      </c>
      <c r="G207" s="64" t="s">
        <v>96</v>
      </c>
      <c r="H207" s="71" t="str">
        <f t="shared" si="11"/>
        <v>C182</v>
      </c>
      <c r="I207" s="58" t="s">
        <v>1085</v>
      </c>
      <c r="J207" s="58" t="s">
        <v>42</v>
      </c>
      <c r="K207" s="51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</row>
    <row r="208">
      <c r="A208" s="59">
        <f t="shared" si="2"/>
        <v>207</v>
      </c>
      <c r="B208" s="61" t="str">
        <f t="shared" si="4"/>
        <v>C207</v>
      </c>
      <c r="C208" s="63" t="s">
        <v>1086</v>
      </c>
      <c r="D208" s="58" t="s">
        <v>1087</v>
      </c>
      <c r="E208" s="63" t="s">
        <v>58</v>
      </c>
      <c r="F208" s="63" t="s">
        <v>771</v>
      </c>
      <c r="G208" s="64" t="s">
        <v>39</v>
      </c>
      <c r="H208" s="71" t="str">
        <f t="shared" si="11"/>
        <v>C182</v>
      </c>
      <c r="I208" s="58" t="s">
        <v>827</v>
      </c>
      <c r="J208" s="58" t="s">
        <v>42</v>
      </c>
      <c r="K208" s="58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</row>
    <row r="209">
      <c r="A209" s="59">
        <f t="shared" si="2"/>
        <v>208</v>
      </c>
      <c r="B209" s="61" t="str">
        <f t="shared" si="4"/>
        <v>C208</v>
      </c>
      <c r="C209" s="63" t="s">
        <v>1088</v>
      </c>
      <c r="D209" s="58" t="s">
        <v>851</v>
      </c>
      <c r="E209" s="63" t="s">
        <v>58</v>
      </c>
      <c r="F209" s="63" t="s">
        <v>826</v>
      </c>
      <c r="G209" s="64" t="s">
        <v>96</v>
      </c>
      <c r="H209" s="71" t="str">
        <f t="shared" si="11"/>
        <v>C182</v>
      </c>
      <c r="I209" s="58" t="s">
        <v>827</v>
      </c>
      <c r="J209" s="58" t="s">
        <v>42</v>
      </c>
      <c r="K209" s="51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</row>
    <row r="210">
      <c r="A210" s="79">
        <f t="shared" si="2"/>
        <v>209</v>
      </c>
      <c r="B210" s="80" t="str">
        <f t="shared" si="4"/>
        <v>C209</v>
      </c>
      <c r="C210" s="81" t="s">
        <v>1089</v>
      </c>
      <c r="D210" s="82" t="s">
        <v>1090</v>
      </c>
      <c r="E210" s="83" t="s">
        <v>58</v>
      </c>
      <c r="F210" s="83" t="s">
        <v>826</v>
      </c>
      <c r="G210" s="118" t="s">
        <v>96</v>
      </c>
      <c r="H210" s="85" t="str">
        <f t="shared" si="11"/>
        <v>C182</v>
      </c>
      <c r="I210" s="87" t="s">
        <v>827</v>
      </c>
      <c r="J210" s="82" t="s">
        <v>1044</v>
      </c>
      <c r="K210" s="101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</row>
    <row r="211">
      <c r="A211" s="59">
        <f t="shared" si="2"/>
        <v>210</v>
      </c>
      <c r="B211" s="61" t="str">
        <f t="shared" si="4"/>
        <v>C210</v>
      </c>
      <c r="C211" s="63" t="s">
        <v>1091</v>
      </c>
      <c r="D211" s="58" t="s">
        <v>1092</v>
      </c>
      <c r="E211" s="63" t="s">
        <v>58</v>
      </c>
      <c r="F211" s="63" t="s">
        <v>409</v>
      </c>
      <c r="G211" s="64" t="s">
        <v>96</v>
      </c>
      <c r="H211" s="71" t="str">
        <f t="shared" si="11"/>
        <v>C182</v>
      </c>
      <c r="I211" s="58" t="s">
        <v>1093</v>
      </c>
      <c r="J211" s="58" t="s">
        <v>1094</v>
      </c>
      <c r="K211" s="51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</row>
    <row r="212">
      <c r="A212" s="59">
        <f t="shared" si="2"/>
        <v>211</v>
      </c>
      <c r="B212" s="61" t="str">
        <f t="shared" si="4"/>
        <v>C211</v>
      </c>
      <c r="C212" s="63" t="s">
        <v>1095</v>
      </c>
      <c r="D212" s="58" t="s">
        <v>839</v>
      </c>
      <c r="E212" s="63" t="s">
        <v>58</v>
      </c>
      <c r="F212" s="63" t="s">
        <v>826</v>
      </c>
      <c r="G212" s="64" t="s">
        <v>96</v>
      </c>
      <c r="H212" s="71" t="str">
        <f t="shared" si="11"/>
        <v>C182</v>
      </c>
      <c r="I212" s="58" t="s">
        <v>827</v>
      </c>
      <c r="J212" s="58" t="s">
        <v>42</v>
      </c>
      <c r="K212" s="58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</row>
    <row r="213">
      <c r="A213" s="79">
        <f t="shared" si="2"/>
        <v>212</v>
      </c>
      <c r="B213" s="80" t="str">
        <f t="shared" si="4"/>
        <v>C212</v>
      </c>
      <c r="C213" s="81" t="s">
        <v>1096</v>
      </c>
      <c r="D213" s="82" t="s">
        <v>1097</v>
      </c>
      <c r="E213" s="83" t="s">
        <v>58</v>
      </c>
      <c r="F213" s="83" t="s">
        <v>826</v>
      </c>
      <c r="G213" s="118" t="s">
        <v>96</v>
      </c>
      <c r="H213" s="85" t="str">
        <f t="shared" si="11"/>
        <v>C182</v>
      </c>
      <c r="I213" s="87" t="s">
        <v>827</v>
      </c>
      <c r="J213" s="82" t="s">
        <v>1044</v>
      </c>
      <c r="K213" s="87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</row>
    <row r="214">
      <c r="A214" s="59">
        <f t="shared" si="2"/>
        <v>213</v>
      </c>
      <c r="B214" s="61" t="str">
        <f t="shared" si="4"/>
        <v>C213</v>
      </c>
      <c r="C214" s="63" t="s">
        <v>1098</v>
      </c>
      <c r="D214" s="58" t="s">
        <v>1099</v>
      </c>
      <c r="E214" s="63" t="s">
        <v>58</v>
      </c>
      <c r="F214" s="63" t="s">
        <v>409</v>
      </c>
      <c r="G214" s="64" t="s">
        <v>96</v>
      </c>
      <c r="H214" s="71" t="str">
        <f t="shared" si="11"/>
        <v>C182</v>
      </c>
      <c r="I214" s="58" t="s">
        <v>1093</v>
      </c>
      <c r="J214" s="58" t="s">
        <v>1094</v>
      </c>
      <c r="K214" s="58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</row>
    <row r="215">
      <c r="A215" s="59">
        <f t="shared" si="2"/>
        <v>214</v>
      </c>
      <c r="B215" s="61" t="str">
        <f t="shared" si="4"/>
        <v>C214</v>
      </c>
      <c r="C215" s="63" t="s">
        <v>1100</v>
      </c>
      <c r="D215" s="58" t="s">
        <v>833</v>
      </c>
      <c r="E215" s="63" t="s">
        <v>58</v>
      </c>
      <c r="F215" s="63" t="s">
        <v>826</v>
      </c>
      <c r="G215" s="64" t="s">
        <v>96</v>
      </c>
      <c r="H215" s="71" t="str">
        <f t="shared" si="11"/>
        <v>C182</v>
      </c>
      <c r="I215" s="58" t="s">
        <v>827</v>
      </c>
      <c r="J215" s="58" t="s">
        <v>42</v>
      </c>
      <c r="K215" s="58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</row>
    <row r="216">
      <c r="A216" s="59">
        <f t="shared" si="2"/>
        <v>215</v>
      </c>
      <c r="B216" s="61" t="str">
        <f t="shared" si="4"/>
        <v>C215</v>
      </c>
      <c r="C216" s="63" t="s">
        <v>1101</v>
      </c>
      <c r="D216" s="58" t="s">
        <v>1102</v>
      </c>
      <c r="E216" s="63" t="s">
        <v>58</v>
      </c>
      <c r="F216" s="63" t="s">
        <v>409</v>
      </c>
      <c r="G216" s="64" t="s">
        <v>96</v>
      </c>
      <c r="H216" s="71" t="str">
        <f t="shared" si="11"/>
        <v>C182</v>
      </c>
      <c r="I216" s="58" t="s">
        <v>1093</v>
      </c>
      <c r="J216" s="58" t="s">
        <v>1094</v>
      </c>
      <c r="K216" s="58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</row>
    <row r="217">
      <c r="A217" s="59">
        <f t="shared" si="2"/>
        <v>216</v>
      </c>
      <c r="B217" s="61" t="str">
        <f t="shared" si="4"/>
        <v>C216</v>
      </c>
      <c r="C217" s="63" t="s">
        <v>1103</v>
      </c>
      <c r="D217" s="58" t="s">
        <v>845</v>
      </c>
      <c r="E217" s="63" t="s">
        <v>58</v>
      </c>
      <c r="F217" s="63" t="s">
        <v>826</v>
      </c>
      <c r="G217" s="64" t="s">
        <v>96</v>
      </c>
      <c r="H217" s="71" t="str">
        <f t="shared" si="11"/>
        <v>C182</v>
      </c>
      <c r="I217" s="58" t="s">
        <v>827</v>
      </c>
      <c r="J217" s="58" t="s">
        <v>42</v>
      </c>
      <c r="K217" s="58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</row>
    <row r="218">
      <c r="A218" s="59">
        <f t="shared" si="2"/>
        <v>217</v>
      </c>
      <c r="B218" s="61" t="str">
        <f t="shared" si="4"/>
        <v>C217</v>
      </c>
      <c r="C218" s="63" t="s">
        <v>1104</v>
      </c>
      <c r="D218" s="58" t="s">
        <v>1105</v>
      </c>
      <c r="E218" s="63" t="s">
        <v>58</v>
      </c>
      <c r="F218" s="63" t="s">
        <v>409</v>
      </c>
      <c r="G218" s="64" t="s">
        <v>96</v>
      </c>
      <c r="H218" s="71" t="str">
        <f t="shared" si="11"/>
        <v>C182</v>
      </c>
      <c r="I218" s="58" t="s">
        <v>1093</v>
      </c>
      <c r="J218" s="58" t="s">
        <v>1094</v>
      </c>
      <c r="K218" s="58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</row>
    <row r="219">
      <c r="A219" s="59">
        <f t="shared" si="2"/>
        <v>218</v>
      </c>
      <c r="B219" s="61" t="str">
        <f t="shared" si="4"/>
        <v>C218</v>
      </c>
      <c r="C219" s="63" t="s">
        <v>1106</v>
      </c>
      <c r="D219" s="58" t="s">
        <v>825</v>
      </c>
      <c r="E219" s="63" t="s">
        <v>58</v>
      </c>
      <c r="F219" s="63" t="s">
        <v>826</v>
      </c>
      <c r="G219" s="64" t="s">
        <v>96</v>
      </c>
      <c r="H219" s="71" t="str">
        <f t="shared" si="11"/>
        <v>C182</v>
      </c>
      <c r="I219" s="58" t="s">
        <v>827</v>
      </c>
      <c r="J219" s="58" t="s">
        <v>42</v>
      </c>
      <c r="K219" s="58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</row>
    <row r="220">
      <c r="A220" s="59">
        <f t="shared" si="2"/>
        <v>219</v>
      </c>
      <c r="B220" s="61" t="str">
        <f t="shared" si="4"/>
        <v>C219</v>
      </c>
      <c r="C220" s="63" t="s">
        <v>1107</v>
      </c>
      <c r="D220" s="58" t="s">
        <v>1108</v>
      </c>
      <c r="E220" s="63" t="s">
        <v>58</v>
      </c>
      <c r="F220" s="63" t="s">
        <v>409</v>
      </c>
      <c r="G220" s="64" t="s">
        <v>96</v>
      </c>
      <c r="H220" s="71" t="str">
        <f t="shared" si="11"/>
        <v>C182</v>
      </c>
      <c r="I220" s="58" t="s">
        <v>1093</v>
      </c>
      <c r="J220" s="58" t="s">
        <v>1094</v>
      </c>
      <c r="K220" s="58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</row>
    <row r="221">
      <c r="A221" s="59">
        <f t="shared" si="2"/>
        <v>220</v>
      </c>
      <c r="B221" s="61" t="str">
        <f t="shared" si="4"/>
        <v>C220</v>
      </c>
      <c r="C221" s="63" t="s">
        <v>1109</v>
      </c>
      <c r="D221" s="58" t="s">
        <v>1110</v>
      </c>
      <c r="E221" s="63" t="s">
        <v>58</v>
      </c>
      <c r="F221" s="63" t="s">
        <v>826</v>
      </c>
      <c r="G221" s="64" t="s">
        <v>96</v>
      </c>
      <c r="H221" s="71" t="str">
        <f t="shared" si="11"/>
        <v>C182</v>
      </c>
      <c r="I221" s="58" t="s">
        <v>1111</v>
      </c>
      <c r="J221" s="58" t="s">
        <v>1094</v>
      </c>
      <c r="K221" s="58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</row>
    <row r="222">
      <c r="A222" s="59">
        <f t="shared" si="2"/>
        <v>221</v>
      </c>
      <c r="B222" s="61" t="str">
        <f t="shared" si="4"/>
        <v>C221</v>
      </c>
      <c r="C222" s="63" t="s">
        <v>1112</v>
      </c>
      <c r="D222" s="58" t="s">
        <v>1113</v>
      </c>
      <c r="E222" s="63" t="s">
        <v>58</v>
      </c>
      <c r="F222" s="63" t="s">
        <v>409</v>
      </c>
      <c r="G222" s="64" t="s">
        <v>96</v>
      </c>
      <c r="H222" s="71" t="str">
        <f t="shared" si="11"/>
        <v>C182</v>
      </c>
      <c r="I222" s="58" t="s">
        <v>1093</v>
      </c>
      <c r="J222" s="58" t="s">
        <v>1094</v>
      </c>
      <c r="K222" s="58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</row>
    <row r="223">
      <c r="A223" s="59">
        <f t="shared" si="2"/>
        <v>222</v>
      </c>
      <c r="B223" s="61" t="str">
        <f t="shared" si="4"/>
        <v>C222</v>
      </c>
      <c r="C223" s="63" t="s">
        <v>1114</v>
      </c>
      <c r="D223" s="58" t="s">
        <v>1115</v>
      </c>
      <c r="E223" s="63" t="s">
        <v>58</v>
      </c>
      <c r="F223" s="63" t="s">
        <v>765</v>
      </c>
      <c r="G223" s="64" t="s">
        <v>96</v>
      </c>
      <c r="H223" s="71" t="str">
        <f t="shared" si="11"/>
        <v>C182</v>
      </c>
      <c r="I223" s="58" t="s">
        <v>1116</v>
      </c>
      <c r="J223" s="58" t="s">
        <v>1094</v>
      </c>
      <c r="K223" s="58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</row>
    <row r="224">
      <c r="A224" s="59">
        <f t="shared" si="2"/>
        <v>223</v>
      </c>
      <c r="B224" s="61" t="str">
        <f t="shared" si="4"/>
        <v>C223</v>
      </c>
      <c r="C224" s="63" t="s">
        <v>1117</v>
      </c>
      <c r="D224" s="58" t="s">
        <v>1118</v>
      </c>
      <c r="E224" s="63" t="s">
        <v>58</v>
      </c>
      <c r="F224" s="63" t="s">
        <v>409</v>
      </c>
      <c r="G224" s="64" t="s">
        <v>96</v>
      </c>
      <c r="H224" s="71" t="str">
        <f t="shared" si="11"/>
        <v>C182</v>
      </c>
      <c r="I224" s="58" t="s">
        <v>1119</v>
      </c>
      <c r="J224" s="58" t="s">
        <v>1094</v>
      </c>
      <c r="K224" s="58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</row>
    <row r="225">
      <c r="A225" s="59">
        <f t="shared" si="2"/>
        <v>224</v>
      </c>
      <c r="B225" s="61" t="str">
        <f t="shared" si="4"/>
        <v>C224</v>
      </c>
      <c r="C225" s="108" t="s">
        <v>1120</v>
      </c>
      <c r="D225" s="104" t="s">
        <v>1121</v>
      </c>
      <c r="E225" s="108" t="s">
        <v>58</v>
      </c>
      <c r="F225" s="108" t="s">
        <v>765</v>
      </c>
      <c r="G225" s="109" t="s">
        <v>96</v>
      </c>
      <c r="H225" s="71" t="str">
        <f t="shared" si="11"/>
        <v>C182</v>
      </c>
      <c r="I225" s="58"/>
      <c r="J225" s="104" t="s">
        <v>859</v>
      </c>
      <c r="K225" s="51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</row>
    <row r="226">
      <c r="A226" s="59">
        <f t="shared" si="2"/>
        <v>225</v>
      </c>
      <c r="B226" s="61" t="str">
        <f t="shared" si="4"/>
        <v>C225</v>
      </c>
      <c r="C226" s="108" t="s">
        <v>1122</v>
      </c>
      <c r="D226" s="104" t="s">
        <v>1123</v>
      </c>
      <c r="E226" s="63" t="s">
        <v>58</v>
      </c>
      <c r="F226" s="63" t="s">
        <v>826</v>
      </c>
      <c r="G226" s="64" t="s">
        <v>96</v>
      </c>
      <c r="H226" s="71" t="str">
        <f t="shared" si="11"/>
        <v>C182</v>
      </c>
      <c r="I226" s="58"/>
      <c r="J226" s="104" t="s">
        <v>859</v>
      </c>
      <c r="K226" s="51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</row>
    <row r="227">
      <c r="A227" s="59">
        <f t="shared" si="2"/>
        <v>226</v>
      </c>
      <c r="B227" s="61" t="str">
        <f t="shared" si="4"/>
        <v>C226</v>
      </c>
      <c r="C227" s="63" t="s">
        <v>1124</v>
      </c>
      <c r="D227" s="58" t="s">
        <v>1125</v>
      </c>
      <c r="E227" s="63" t="s">
        <v>58</v>
      </c>
      <c r="F227" s="63" t="s">
        <v>826</v>
      </c>
      <c r="G227" s="64" t="s">
        <v>96</v>
      </c>
      <c r="H227" s="71" t="str">
        <f t="shared" si="11"/>
        <v>C182</v>
      </c>
      <c r="I227" s="58" t="s">
        <v>1126</v>
      </c>
      <c r="J227" s="58" t="s">
        <v>1094</v>
      </c>
      <c r="K227" s="58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</row>
    <row r="228">
      <c r="A228" s="59">
        <f t="shared" si="2"/>
        <v>227</v>
      </c>
      <c r="B228" s="61" t="str">
        <f t="shared" si="4"/>
        <v>C227</v>
      </c>
      <c r="C228" s="63" t="s">
        <v>1127</v>
      </c>
      <c r="D228" s="58" t="s">
        <v>1128</v>
      </c>
      <c r="E228" s="63" t="s">
        <v>58</v>
      </c>
      <c r="F228" s="63" t="s">
        <v>765</v>
      </c>
      <c r="G228" s="64" t="s">
        <v>39</v>
      </c>
      <c r="H228" s="71" t="str">
        <f t="shared" si="11"/>
        <v>C182</v>
      </c>
      <c r="I228" s="58" t="s">
        <v>1129</v>
      </c>
      <c r="J228" s="58" t="s">
        <v>42</v>
      </c>
      <c r="K228" s="58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</row>
    <row r="229">
      <c r="A229" s="59">
        <f t="shared" si="2"/>
        <v>228</v>
      </c>
      <c r="B229" s="61" t="str">
        <f t="shared" si="4"/>
        <v>C228</v>
      </c>
      <c r="C229" s="63" t="s">
        <v>1130</v>
      </c>
      <c r="D229" s="58" t="s">
        <v>1131</v>
      </c>
      <c r="E229" s="63" t="s">
        <v>58</v>
      </c>
      <c r="F229" s="63" t="s">
        <v>765</v>
      </c>
      <c r="G229" s="64" t="s">
        <v>96</v>
      </c>
      <c r="H229" s="71" t="str">
        <f t="shared" si="11"/>
        <v>C182</v>
      </c>
      <c r="I229" s="78" t="s">
        <v>1132</v>
      </c>
      <c r="J229" s="58" t="s">
        <v>42</v>
      </c>
      <c r="K229" s="58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</row>
    <row r="230">
      <c r="A230" s="59">
        <f t="shared" si="2"/>
        <v>229</v>
      </c>
      <c r="B230" s="61" t="str">
        <f t="shared" si="4"/>
        <v>C229</v>
      </c>
      <c r="C230" s="77" t="s">
        <v>1133</v>
      </c>
      <c r="D230" s="58" t="s">
        <v>1134</v>
      </c>
      <c r="E230" s="63" t="s">
        <v>58</v>
      </c>
      <c r="F230" s="63" t="s">
        <v>765</v>
      </c>
      <c r="G230" s="64" t="s">
        <v>39</v>
      </c>
      <c r="H230" s="71" t="str">
        <f t="shared" si="11"/>
        <v>C182</v>
      </c>
      <c r="I230" s="78" t="s">
        <v>1135</v>
      </c>
      <c r="J230" s="58" t="s">
        <v>42</v>
      </c>
      <c r="K230" s="51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</row>
    <row r="231">
      <c r="A231" s="59">
        <f t="shared" si="2"/>
        <v>230</v>
      </c>
      <c r="B231" s="61" t="str">
        <f t="shared" si="4"/>
        <v>C230</v>
      </c>
      <c r="C231" s="63" t="s">
        <v>1136</v>
      </c>
      <c r="D231" s="58" t="s">
        <v>1137</v>
      </c>
      <c r="E231" s="63" t="s">
        <v>58</v>
      </c>
      <c r="F231" s="63" t="s">
        <v>740</v>
      </c>
      <c r="G231" s="64" t="s">
        <v>96</v>
      </c>
      <c r="H231" s="71" t="str">
        <f t="shared" si="11"/>
        <v>C182</v>
      </c>
      <c r="I231" s="58"/>
      <c r="J231" s="58" t="s">
        <v>42</v>
      </c>
      <c r="K231" s="51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</row>
    <row r="232">
      <c r="A232" s="59">
        <f t="shared" si="2"/>
        <v>231</v>
      </c>
      <c r="B232" s="61" t="str">
        <f t="shared" si="4"/>
        <v>C231</v>
      </c>
      <c r="C232" s="63" t="s">
        <v>1138</v>
      </c>
      <c r="D232" s="58" t="s">
        <v>1139</v>
      </c>
      <c r="E232" s="63" t="s">
        <v>58</v>
      </c>
      <c r="F232" s="63" t="s">
        <v>826</v>
      </c>
      <c r="G232" s="64" t="s">
        <v>96</v>
      </c>
      <c r="H232" s="71" t="str">
        <f t="shared" si="11"/>
        <v>C182</v>
      </c>
      <c r="I232" s="58" t="s">
        <v>1140</v>
      </c>
      <c r="J232" s="58" t="s">
        <v>42</v>
      </c>
      <c r="K232" s="58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</row>
    <row r="233">
      <c r="A233" s="59">
        <f t="shared" si="2"/>
        <v>232</v>
      </c>
      <c r="B233" s="61" t="str">
        <f t="shared" si="4"/>
        <v>C232</v>
      </c>
      <c r="C233" s="63" t="s">
        <v>1141</v>
      </c>
      <c r="D233" s="58" t="s">
        <v>1142</v>
      </c>
      <c r="E233" s="63" t="s">
        <v>58</v>
      </c>
      <c r="F233" s="63" t="s">
        <v>1143</v>
      </c>
      <c r="G233" s="64" t="s">
        <v>96</v>
      </c>
      <c r="H233" s="71" t="str">
        <f t="shared" si="11"/>
        <v>C182</v>
      </c>
      <c r="I233" s="58" t="s">
        <v>1144</v>
      </c>
      <c r="J233" s="58" t="s">
        <v>42</v>
      </c>
      <c r="K233" s="58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</row>
    <row r="234">
      <c r="A234" s="59">
        <f t="shared" si="2"/>
        <v>233</v>
      </c>
      <c r="B234" s="61" t="str">
        <f t="shared" si="4"/>
        <v>C233</v>
      </c>
      <c r="C234" s="63" t="s">
        <v>1145</v>
      </c>
      <c r="D234" s="58" t="s">
        <v>1146</v>
      </c>
      <c r="E234" s="63" t="s">
        <v>58</v>
      </c>
      <c r="F234" s="63" t="s">
        <v>1143</v>
      </c>
      <c r="G234" s="64" t="s">
        <v>96</v>
      </c>
      <c r="H234" s="71" t="str">
        <f t="shared" si="11"/>
        <v>C182</v>
      </c>
      <c r="I234" s="58" t="s">
        <v>1144</v>
      </c>
      <c r="J234" s="58" t="s">
        <v>42</v>
      </c>
      <c r="K234" s="51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</row>
    <row r="235">
      <c r="A235" s="59">
        <f t="shared" si="2"/>
        <v>234</v>
      </c>
      <c r="B235" s="61" t="str">
        <f t="shared" si="4"/>
        <v>C234</v>
      </c>
      <c r="C235" s="63" t="s">
        <v>1147</v>
      </c>
      <c r="D235" s="58" t="s">
        <v>1148</v>
      </c>
      <c r="E235" s="63" t="s">
        <v>58</v>
      </c>
      <c r="F235" s="63" t="s">
        <v>765</v>
      </c>
      <c r="G235" s="64" t="s">
        <v>96</v>
      </c>
      <c r="H235" s="71" t="str">
        <f t="shared" si="11"/>
        <v>C182</v>
      </c>
      <c r="I235" s="78" t="s">
        <v>1149</v>
      </c>
      <c r="J235" s="58" t="s">
        <v>42</v>
      </c>
      <c r="K235" s="58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</row>
    <row r="236">
      <c r="A236" s="59">
        <f t="shared" si="2"/>
        <v>235</v>
      </c>
      <c r="B236" s="61" t="str">
        <f t="shared" si="4"/>
        <v>C235</v>
      </c>
      <c r="C236" s="63" t="s">
        <v>1150</v>
      </c>
      <c r="D236" s="58" t="s">
        <v>1151</v>
      </c>
      <c r="E236" s="63" t="s">
        <v>58</v>
      </c>
      <c r="F236" s="63" t="s">
        <v>765</v>
      </c>
      <c r="G236" s="64" t="s">
        <v>96</v>
      </c>
      <c r="H236" s="71" t="str">
        <f t="shared" si="11"/>
        <v>C182</v>
      </c>
      <c r="I236" s="58" t="s">
        <v>931</v>
      </c>
      <c r="J236" s="58" t="s">
        <v>42</v>
      </c>
      <c r="K236" s="58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</row>
    <row r="237">
      <c r="A237" s="59">
        <f t="shared" si="2"/>
        <v>236</v>
      </c>
      <c r="B237" s="61" t="str">
        <f t="shared" si="4"/>
        <v>C236</v>
      </c>
      <c r="C237" s="108" t="s">
        <v>1152</v>
      </c>
      <c r="D237" s="104" t="s">
        <v>1153</v>
      </c>
      <c r="E237" s="108" t="s">
        <v>58</v>
      </c>
      <c r="F237" s="108" t="s">
        <v>210</v>
      </c>
      <c r="G237" s="109" t="s">
        <v>96</v>
      </c>
      <c r="H237" s="71" t="str">
        <f t="shared" si="11"/>
        <v>C182</v>
      </c>
      <c r="I237" s="78" t="s">
        <v>1154</v>
      </c>
      <c r="J237" s="104" t="s">
        <v>1008</v>
      </c>
      <c r="K237" s="78" t="s">
        <v>1155</v>
      </c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</row>
    <row r="238">
      <c r="A238" s="59">
        <f t="shared" si="2"/>
        <v>237</v>
      </c>
      <c r="B238" s="61" t="str">
        <f t="shared" si="4"/>
        <v>C237</v>
      </c>
      <c r="C238" s="108" t="s">
        <v>1156</v>
      </c>
      <c r="D238" s="104" t="s">
        <v>1157</v>
      </c>
      <c r="E238" s="108" t="s">
        <v>58</v>
      </c>
      <c r="F238" s="108" t="s">
        <v>765</v>
      </c>
      <c r="G238" s="109" t="s">
        <v>96</v>
      </c>
      <c r="H238" s="71" t="str">
        <f t="shared" si="11"/>
        <v>C182</v>
      </c>
      <c r="I238" s="58" t="s">
        <v>1158</v>
      </c>
      <c r="J238" s="104" t="s">
        <v>1159</v>
      </c>
      <c r="K238" s="58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</row>
    <row r="239">
      <c r="A239" s="59">
        <f t="shared" si="2"/>
        <v>238</v>
      </c>
      <c r="B239" s="61" t="str">
        <f t="shared" si="4"/>
        <v>C238</v>
      </c>
      <c r="C239" s="108" t="s">
        <v>1160</v>
      </c>
      <c r="D239" s="104" t="s">
        <v>1161</v>
      </c>
      <c r="E239" s="108" t="s">
        <v>58</v>
      </c>
      <c r="F239" s="108" t="s">
        <v>771</v>
      </c>
      <c r="G239" s="109" t="s">
        <v>96</v>
      </c>
      <c r="H239" s="71" t="str">
        <f t="shared" si="11"/>
        <v>C182</v>
      </c>
      <c r="I239" s="58" t="s">
        <v>1158</v>
      </c>
      <c r="J239" s="104" t="s">
        <v>1159</v>
      </c>
      <c r="K239" s="58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</row>
    <row r="240">
      <c r="A240" s="59">
        <f t="shared" si="2"/>
        <v>239</v>
      </c>
      <c r="B240" s="61" t="str">
        <f t="shared" si="4"/>
        <v>C239</v>
      </c>
      <c r="C240" s="108" t="s">
        <v>1162</v>
      </c>
      <c r="D240" s="104" t="s">
        <v>1163</v>
      </c>
      <c r="E240" s="108" t="s">
        <v>58</v>
      </c>
      <c r="F240" s="63" t="s">
        <v>1164</v>
      </c>
      <c r="G240" s="109" t="s">
        <v>96</v>
      </c>
      <c r="H240" s="71" t="str">
        <f t="shared" si="11"/>
        <v>C182</v>
      </c>
      <c r="I240" s="58" t="s">
        <v>1158</v>
      </c>
      <c r="J240" s="104" t="s">
        <v>1159</v>
      </c>
      <c r="K240" s="58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</row>
    <row r="241">
      <c r="A241" s="59">
        <f t="shared" si="2"/>
        <v>240</v>
      </c>
      <c r="B241" s="61" t="str">
        <f t="shared" si="4"/>
        <v>C240</v>
      </c>
      <c r="C241" s="108" t="s">
        <v>1165</v>
      </c>
      <c r="D241" s="104" t="s">
        <v>1166</v>
      </c>
      <c r="E241" s="108" t="s">
        <v>58</v>
      </c>
      <c r="F241" s="63" t="s">
        <v>559</v>
      </c>
      <c r="G241" s="109" t="s">
        <v>96</v>
      </c>
      <c r="H241" s="71" t="str">
        <f t="shared" si="11"/>
        <v>C182</v>
      </c>
      <c r="I241" s="58" t="s">
        <v>1167</v>
      </c>
      <c r="J241" s="104" t="s">
        <v>1159</v>
      </c>
      <c r="K241" s="51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</row>
    <row r="242">
      <c r="A242" s="59">
        <f t="shared" si="2"/>
        <v>241</v>
      </c>
      <c r="B242" s="61" t="str">
        <f t="shared" si="4"/>
        <v>C241</v>
      </c>
      <c r="C242" s="108" t="s">
        <v>1168</v>
      </c>
      <c r="D242" s="104" t="s">
        <v>1169</v>
      </c>
      <c r="E242" s="108" t="s">
        <v>58</v>
      </c>
      <c r="F242" s="63" t="s">
        <v>740</v>
      </c>
      <c r="G242" s="109" t="s">
        <v>96</v>
      </c>
      <c r="H242" s="71" t="str">
        <f t="shared" si="11"/>
        <v>C182</v>
      </c>
      <c r="I242" s="58"/>
      <c r="J242" s="104" t="s">
        <v>42</v>
      </c>
      <c r="K242" s="51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</row>
    <row r="243">
      <c r="A243" s="59">
        <f t="shared" si="2"/>
        <v>242</v>
      </c>
      <c r="B243" s="61" t="str">
        <f t="shared" si="4"/>
        <v>C242</v>
      </c>
      <c r="C243" s="108" t="s">
        <v>1170</v>
      </c>
      <c r="D243" s="104" t="s">
        <v>1171</v>
      </c>
      <c r="E243" s="108" t="s">
        <v>58</v>
      </c>
      <c r="F243" s="63" t="s">
        <v>740</v>
      </c>
      <c r="G243" s="109" t="s">
        <v>96</v>
      </c>
      <c r="H243" s="71" t="str">
        <f t="shared" si="11"/>
        <v>C182</v>
      </c>
      <c r="I243" s="58"/>
      <c r="J243" s="104" t="s">
        <v>42</v>
      </c>
      <c r="K243" s="51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</row>
    <row r="244">
      <c r="A244" s="59">
        <f t="shared" si="2"/>
        <v>243</v>
      </c>
      <c r="B244" s="61" t="str">
        <f t="shared" si="4"/>
        <v>C243</v>
      </c>
      <c r="C244" s="108" t="s">
        <v>1172</v>
      </c>
      <c r="D244" s="104" t="s">
        <v>1173</v>
      </c>
      <c r="E244" s="108" t="s">
        <v>58</v>
      </c>
      <c r="F244" s="77" t="s">
        <v>740</v>
      </c>
      <c r="G244" s="109" t="s">
        <v>96</v>
      </c>
      <c r="H244" s="71" t="str">
        <f t="shared" si="11"/>
        <v>C182</v>
      </c>
      <c r="I244" s="58"/>
      <c r="J244" s="104" t="s">
        <v>42</v>
      </c>
      <c r="K244" s="51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</row>
    <row r="245">
      <c r="A245" s="59">
        <f t="shared" si="2"/>
        <v>244</v>
      </c>
      <c r="B245" s="61" t="str">
        <f t="shared" si="4"/>
        <v>C244</v>
      </c>
      <c r="C245" s="108" t="s">
        <v>1174</v>
      </c>
      <c r="D245" s="104" t="s">
        <v>1175</v>
      </c>
      <c r="E245" s="108" t="s">
        <v>58</v>
      </c>
      <c r="F245" s="108" t="s">
        <v>765</v>
      </c>
      <c r="G245" s="109" t="s">
        <v>96</v>
      </c>
      <c r="H245" s="71" t="str">
        <f t="shared" si="11"/>
        <v>C182</v>
      </c>
      <c r="I245" s="58"/>
      <c r="J245" s="104" t="s">
        <v>42</v>
      </c>
      <c r="K245" s="51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</row>
    <row r="246">
      <c r="A246" s="59">
        <f t="shared" si="2"/>
        <v>245</v>
      </c>
      <c r="B246" s="61" t="str">
        <f t="shared" si="4"/>
        <v>C245</v>
      </c>
      <c r="C246" s="108" t="s">
        <v>1176</v>
      </c>
      <c r="D246" s="104" t="s">
        <v>1177</v>
      </c>
      <c r="E246" s="108" t="s">
        <v>58</v>
      </c>
      <c r="F246" s="119" t="s">
        <v>740</v>
      </c>
      <c r="G246" s="109" t="s">
        <v>96</v>
      </c>
      <c r="H246" s="71" t="str">
        <f t="shared" si="11"/>
        <v>C182</v>
      </c>
      <c r="I246" s="58"/>
      <c r="J246" s="104" t="s">
        <v>1094</v>
      </c>
      <c r="K246" s="51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</row>
    <row r="247">
      <c r="A247" s="59">
        <f t="shared" si="2"/>
        <v>246</v>
      </c>
      <c r="B247" s="61" t="str">
        <f t="shared" si="4"/>
        <v>C246</v>
      </c>
      <c r="C247" s="108" t="s">
        <v>1178</v>
      </c>
      <c r="D247" s="104" t="s">
        <v>1179</v>
      </c>
      <c r="E247" s="108" t="s">
        <v>58</v>
      </c>
      <c r="F247" s="108" t="s">
        <v>1180</v>
      </c>
      <c r="G247" s="109" t="s">
        <v>96</v>
      </c>
      <c r="H247" s="71" t="str">
        <f t="shared" si="11"/>
        <v>C182</v>
      </c>
      <c r="I247" s="58" t="s">
        <v>1181</v>
      </c>
      <c r="J247" s="104" t="s">
        <v>1182</v>
      </c>
      <c r="K247" s="51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</row>
    <row r="248">
      <c r="A248" s="59">
        <f t="shared" si="2"/>
        <v>247</v>
      </c>
      <c r="B248" s="61" t="str">
        <f t="shared" si="4"/>
        <v>C247</v>
      </c>
      <c r="C248" s="108" t="s">
        <v>1183</v>
      </c>
      <c r="D248" s="104" t="s">
        <v>1184</v>
      </c>
      <c r="E248" s="108" t="s">
        <v>58</v>
      </c>
      <c r="F248" s="108" t="s">
        <v>318</v>
      </c>
      <c r="G248" s="109" t="s">
        <v>96</v>
      </c>
      <c r="H248" s="71" t="str">
        <f t="shared" si="11"/>
        <v>C182</v>
      </c>
      <c r="I248" s="78" t="s">
        <v>1185</v>
      </c>
      <c r="J248" s="74" t="s">
        <v>323</v>
      </c>
      <c r="K248" s="120" t="s">
        <v>1186</v>
      </c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</row>
    <row r="249">
      <c r="A249" s="59">
        <f t="shared" si="2"/>
        <v>248</v>
      </c>
      <c r="B249" s="61" t="str">
        <f t="shared" si="4"/>
        <v>C248</v>
      </c>
      <c r="C249" s="108" t="s">
        <v>1187</v>
      </c>
      <c r="D249" s="104" t="s">
        <v>1188</v>
      </c>
      <c r="E249" s="108" t="s">
        <v>58</v>
      </c>
      <c r="F249" s="108" t="s">
        <v>318</v>
      </c>
      <c r="G249" s="109" t="s">
        <v>96</v>
      </c>
      <c r="H249" s="71" t="str">
        <f t="shared" si="11"/>
        <v>C182</v>
      </c>
      <c r="I249" s="78" t="s">
        <v>1189</v>
      </c>
      <c r="J249" s="74" t="s">
        <v>323</v>
      </c>
      <c r="K249" s="51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</row>
    <row r="250">
      <c r="A250" s="59">
        <f t="shared" si="2"/>
        <v>249</v>
      </c>
      <c r="B250" s="61" t="str">
        <f t="shared" si="4"/>
        <v>C249</v>
      </c>
      <c r="C250" s="108" t="s">
        <v>1190</v>
      </c>
      <c r="D250" s="104" t="s">
        <v>1191</v>
      </c>
      <c r="E250" s="108" t="s">
        <v>58</v>
      </c>
      <c r="F250" s="108" t="s">
        <v>1192</v>
      </c>
      <c r="G250" s="109" t="s">
        <v>96</v>
      </c>
      <c r="H250" s="71" t="str">
        <f t="shared" si="11"/>
        <v>C182</v>
      </c>
      <c r="I250" s="121" t="s">
        <v>1193</v>
      </c>
      <c r="J250" s="74" t="s">
        <v>323</v>
      </c>
      <c r="K250" s="51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</row>
    <row r="251">
      <c r="A251" s="122">
        <f t="shared" si="2"/>
        <v>250</v>
      </c>
      <c r="B251" s="123" t="str">
        <f t="shared" si="4"/>
        <v>C250</v>
      </c>
      <c r="C251" s="124" t="s">
        <v>1194</v>
      </c>
      <c r="D251" s="125" t="s">
        <v>1195</v>
      </c>
      <c r="E251" s="124" t="s">
        <v>58</v>
      </c>
      <c r="F251" s="124" t="s">
        <v>740</v>
      </c>
      <c r="G251" s="126" t="s">
        <v>96</v>
      </c>
      <c r="H251" s="127" t="str">
        <f t="shared" si="11"/>
        <v>C182</v>
      </c>
      <c r="I251" s="128" t="s">
        <v>642</v>
      </c>
      <c r="J251" s="129" t="s">
        <v>323</v>
      </c>
      <c r="K251" s="128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</row>
    <row r="252">
      <c r="A252" s="59">
        <f t="shared" si="2"/>
        <v>251</v>
      </c>
      <c r="B252" s="61" t="str">
        <f t="shared" si="4"/>
        <v>C251</v>
      </c>
      <c r="C252" s="108" t="s">
        <v>1196</v>
      </c>
      <c r="D252" s="104" t="s">
        <v>1197</v>
      </c>
      <c r="E252" s="108" t="s">
        <v>58</v>
      </c>
      <c r="F252" s="108" t="s">
        <v>304</v>
      </c>
      <c r="G252" s="109" t="s">
        <v>96</v>
      </c>
      <c r="H252" s="71" t="str">
        <f t="shared" si="11"/>
        <v>C182</v>
      </c>
      <c r="I252" s="78" t="s">
        <v>1198</v>
      </c>
      <c r="J252" s="74" t="s">
        <v>323</v>
      </c>
      <c r="K252" s="51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</row>
    <row r="253">
      <c r="A253" s="59">
        <f t="shared" si="2"/>
        <v>252</v>
      </c>
      <c r="B253" s="61" t="str">
        <f t="shared" si="4"/>
        <v>C252</v>
      </c>
      <c r="C253" s="108" t="s">
        <v>1199</v>
      </c>
      <c r="D253" s="104" t="s">
        <v>1200</v>
      </c>
      <c r="E253" s="108" t="s">
        <v>58</v>
      </c>
      <c r="F253" s="108" t="s">
        <v>304</v>
      </c>
      <c r="G253" s="109" t="s">
        <v>96</v>
      </c>
      <c r="H253" s="71" t="str">
        <f t="shared" si="11"/>
        <v>C182</v>
      </c>
      <c r="I253" s="78" t="s">
        <v>1201</v>
      </c>
      <c r="J253" s="74" t="s">
        <v>323</v>
      </c>
      <c r="K253" s="51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</row>
    <row r="254">
      <c r="A254" s="59">
        <f t="shared" si="2"/>
        <v>253</v>
      </c>
      <c r="B254" s="61" t="str">
        <f t="shared" si="4"/>
        <v>C253</v>
      </c>
      <c r="C254" s="108" t="s">
        <v>1202</v>
      </c>
      <c r="D254" s="104" t="s">
        <v>1203</v>
      </c>
      <c r="E254" s="108" t="s">
        <v>58</v>
      </c>
      <c r="F254" s="108" t="s">
        <v>318</v>
      </c>
      <c r="G254" s="109" t="s">
        <v>96</v>
      </c>
      <c r="H254" s="71" t="str">
        <f t="shared" si="11"/>
        <v>C182</v>
      </c>
      <c r="I254" s="78" t="s">
        <v>1204</v>
      </c>
      <c r="J254" s="74" t="s">
        <v>323</v>
      </c>
      <c r="K254" s="51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</row>
    <row r="255">
      <c r="A255" s="59">
        <f t="shared" si="2"/>
        <v>254</v>
      </c>
      <c r="B255" s="61" t="str">
        <f t="shared" si="4"/>
        <v>C254</v>
      </c>
      <c r="C255" s="131" t="s">
        <v>1205</v>
      </c>
      <c r="D255" s="104" t="s">
        <v>1206</v>
      </c>
      <c r="E255" s="108" t="s">
        <v>58</v>
      </c>
      <c r="F255" s="131" t="s">
        <v>1207</v>
      </c>
      <c r="G255" s="109" t="s">
        <v>96</v>
      </c>
      <c r="H255" s="71" t="str">
        <f t="shared" si="11"/>
        <v>C182</v>
      </c>
      <c r="I255" s="51" t="s">
        <v>642</v>
      </c>
      <c r="J255" s="74" t="s">
        <v>323</v>
      </c>
      <c r="K255" s="51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</row>
    <row r="256">
      <c r="A256" s="59">
        <f t="shared" si="2"/>
        <v>255</v>
      </c>
      <c r="B256" s="61" t="str">
        <f t="shared" si="4"/>
        <v>C255</v>
      </c>
      <c r="C256" s="131" t="s">
        <v>1208</v>
      </c>
      <c r="D256" s="104" t="s">
        <v>1209</v>
      </c>
      <c r="E256" s="108" t="s">
        <v>58</v>
      </c>
      <c r="F256" s="131" t="s">
        <v>815</v>
      </c>
      <c r="G256" s="109" t="s">
        <v>96</v>
      </c>
      <c r="H256" s="71" t="str">
        <f t="shared" si="11"/>
        <v>C182</v>
      </c>
      <c r="I256" s="51" t="s">
        <v>642</v>
      </c>
      <c r="J256" s="74" t="s">
        <v>323</v>
      </c>
      <c r="K256" s="51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</row>
    <row r="257">
      <c r="A257" s="59">
        <f t="shared" si="2"/>
        <v>256</v>
      </c>
      <c r="B257" s="61" t="str">
        <f t="shared" si="4"/>
        <v>C256</v>
      </c>
      <c r="C257" s="108" t="s">
        <v>1210</v>
      </c>
      <c r="D257" s="104" t="s">
        <v>1211</v>
      </c>
      <c r="E257" s="108" t="s">
        <v>58</v>
      </c>
      <c r="F257" s="108" t="s">
        <v>318</v>
      </c>
      <c r="G257" s="109" t="s">
        <v>96</v>
      </c>
      <c r="H257" s="71" t="str">
        <f t="shared" si="11"/>
        <v>C182</v>
      </c>
      <c r="I257" s="74" t="s">
        <v>1212</v>
      </c>
      <c r="J257" s="74" t="s">
        <v>323</v>
      </c>
      <c r="K257" s="51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</row>
    <row r="258">
      <c r="A258" s="132">
        <f t="shared" si="2"/>
        <v>257</v>
      </c>
      <c r="B258" s="133" t="str">
        <f t="shared" si="4"/>
        <v>C257</v>
      </c>
      <c r="C258" s="131" t="s">
        <v>1213</v>
      </c>
      <c r="D258" s="134" t="s">
        <v>1214</v>
      </c>
      <c r="E258" s="135" t="s">
        <v>58</v>
      </c>
      <c r="F258" s="131" t="s">
        <v>1215</v>
      </c>
      <c r="G258" s="136" t="s">
        <v>96</v>
      </c>
      <c r="H258" s="137" t="s">
        <v>1216</v>
      </c>
      <c r="I258" s="78" t="s">
        <v>1217</v>
      </c>
      <c r="J258" s="138" t="s">
        <v>36</v>
      </c>
      <c r="K258" s="139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</row>
    <row r="259">
      <c r="A259" s="59">
        <f t="shared" si="2"/>
        <v>258</v>
      </c>
      <c r="B259" s="61" t="str">
        <f t="shared" si="4"/>
        <v>C258</v>
      </c>
      <c r="C259" s="108" t="s">
        <v>1218</v>
      </c>
      <c r="D259" s="104" t="s">
        <v>1219</v>
      </c>
      <c r="E259" s="108" t="s">
        <v>58</v>
      </c>
      <c r="F259" s="108" t="s">
        <v>740</v>
      </c>
      <c r="G259" s="109" t="s">
        <v>96</v>
      </c>
      <c r="H259" s="71" t="str">
        <f t="shared" ref="H259:H268" si="12">B$183</f>
        <v>C182</v>
      </c>
      <c r="I259" s="51" t="s">
        <v>642</v>
      </c>
      <c r="J259" s="74" t="s">
        <v>323</v>
      </c>
      <c r="K259" s="51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</row>
    <row r="260">
      <c r="A260" s="59">
        <f t="shared" si="2"/>
        <v>259</v>
      </c>
      <c r="B260" s="61" t="str">
        <f t="shared" si="4"/>
        <v>C259</v>
      </c>
      <c r="C260" s="108" t="s">
        <v>1220</v>
      </c>
      <c r="D260" s="104" t="s">
        <v>1221</v>
      </c>
      <c r="E260" s="108" t="s">
        <v>58</v>
      </c>
      <c r="F260" s="108" t="s">
        <v>740</v>
      </c>
      <c r="G260" s="109" t="s">
        <v>96</v>
      </c>
      <c r="H260" s="71" t="str">
        <f t="shared" si="12"/>
        <v>C182</v>
      </c>
      <c r="I260" s="51" t="s">
        <v>642</v>
      </c>
      <c r="J260" s="74" t="s">
        <v>323</v>
      </c>
      <c r="K260" s="51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</row>
    <row r="261">
      <c r="A261" s="59">
        <f t="shared" si="2"/>
        <v>260</v>
      </c>
      <c r="B261" s="61" t="str">
        <f t="shared" si="4"/>
        <v>C260</v>
      </c>
      <c r="C261" s="108" t="s">
        <v>1222</v>
      </c>
      <c r="D261" s="104" t="s">
        <v>1223</v>
      </c>
      <c r="E261" s="108" t="s">
        <v>58</v>
      </c>
      <c r="F261" s="108" t="s">
        <v>1036</v>
      </c>
      <c r="G261" s="109" t="s">
        <v>96</v>
      </c>
      <c r="H261" s="71" t="str">
        <f t="shared" si="12"/>
        <v>C182</v>
      </c>
      <c r="I261" s="51" t="s">
        <v>642</v>
      </c>
      <c r="J261" s="74" t="s">
        <v>323</v>
      </c>
      <c r="K261" s="51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</row>
    <row r="262">
      <c r="A262" s="59">
        <f t="shared" si="2"/>
        <v>261</v>
      </c>
      <c r="B262" s="61" t="str">
        <f t="shared" si="4"/>
        <v>C261</v>
      </c>
      <c r="C262" s="108" t="s">
        <v>1224</v>
      </c>
      <c r="D262" s="104" t="s">
        <v>1225</v>
      </c>
      <c r="E262" s="108" t="s">
        <v>58</v>
      </c>
      <c r="F262" s="108" t="s">
        <v>740</v>
      </c>
      <c r="G262" s="109" t="s">
        <v>96</v>
      </c>
      <c r="H262" s="71" t="str">
        <f t="shared" si="12"/>
        <v>C182</v>
      </c>
      <c r="I262" s="51" t="s">
        <v>642</v>
      </c>
      <c r="J262" s="74" t="s">
        <v>323</v>
      </c>
      <c r="K262" s="51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</row>
    <row r="263">
      <c r="A263" s="59">
        <f t="shared" si="2"/>
        <v>262</v>
      </c>
      <c r="B263" s="61" t="str">
        <f t="shared" si="4"/>
        <v>C262</v>
      </c>
      <c r="C263" s="108" t="s">
        <v>1226</v>
      </c>
      <c r="D263" s="104" t="s">
        <v>1227</v>
      </c>
      <c r="E263" s="108" t="s">
        <v>58</v>
      </c>
      <c r="F263" s="108" t="s">
        <v>740</v>
      </c>
      <c r="G263" s="109" t="s">
        <v>96</v>
      </c>
      <c r="H263" s="71" t="str">
        <f t="shared" si="12"/>
        <v>C182</v>
      </c>
      <c r="I263" s="51" t="s">
        <v>642</v>
      </c>
      <c r="J263" s="74" t="s">
        <v>323</v>
      </c>
      <c r="K263" s="51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</row>
    <row r="264">
      <c r="A264" s="59">
        <f t="shared" si="2"/>
        <v>263</v>
      </c>
      <c r="B264" s="61" t="str">
        <f t="shared" si="4"/>
        <v>C263</v>
      </c>
      <c r="C264" s="108" t="s">
        <v>1228</v>
      </c>
      <c r="D264" s="104" t="s">
        <v>1229</v>
      </c>
      <c r="E264" s="108" t="s">
        <v>58</v>
      </c>
      <c r="F264" s="108" t="s">
        <v>1036</v>
      </c>
      <c r="G264" s="109" t="s">
        <v>96</v>
      </c>
      <c r="H264" s="71" t="str">
        <f t="shared" si="12"/>
        <v>C182</v>
      </c>
      <c r="I264" s="51" t="s">
        <v>642</v>
      </c>
      <c r="J264" s="74" t="s">
        <v>323</v>
      </c>
      <c r="K264" s="51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</row>
    <row r="265">
      <c r="A265" s="59">
        <f t="shared" si="2"/>
        <v>264</v>
      </c>
      <c r="B265" s="61" t="str">
        <f t="shared" si="4"/>
        <v>C264</v>
      </c>
      <c r="C265" s="108" t="s">
        <v>1230</v>
      </c>
      <c r="D265" s="104" t="s">
        <v>1231</v>
      </c>
      <c r="E265" s="108" t="s">
        <v>58</v>
      </c>
      <c r="F265" s="108" t="s">
        <v>1036</v>
      </c>
      <c r="G265" s="109" t="s">
        <v>96</v>
      </c>
      <c r="H265" s="71" t="str">
        <f t="shared" si="12"/>
        <v>C182</v>
      </c>
      <c r="I265" s="51" t="s">
        <v>642</v>
      </c>
      <c r="J265" s="74" t="s">
        <v>323</v>
      </c>
      <c r="K265" s="51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</row>
    <row r="266">
      <c r="A266" s="59">
        <f t="shared" si="2"/>
        <v>265</v>
      </c>
      <c r="B266" s="61" t="str">
        <f t="shared" si="4"/>
        <v>C265</v>
      </c>
      <c r="C266" s="108" t="s">
        <v>1232</v>
      </c>
      <c r="D266" s="104" t="s">
        <v>1233</v>
      </c>
      <c r="E266" s="108" t="s">
        <v>58</v>
      </c>
      <c r="F266" s="108" t="s">
        <v>1036</v>
      </c>
      <c r="G266" s="109" t="s">
        <v>96</v>
      </c>
      <c r="H266" s="71" t="str">
        <f t="shared" si="12"/>
        <v>C182</v>
      </c>
      <c r="I266" s="51" t="s">
        <v>642</v>
      </c>
      <c r="J266" s="74" t="s">
        <v>323</v>
      </c>
      <c r="K266" s="51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</row>
    <row r="267">
      <c r="A267" s="79">
        <f t="shared" si="2"/>
        <v>266</v>
      </c>
      <c r="B267" s="80" t="str">
        <f t="shared" si="4"/>
        <v>C266</v>
      </c>
      <c r="C267" s="113" t="s">
        <v>1234</v>
      </c>
      <c r="D267" s="141" t="s">
        <v>1235</v>
      </c>
      <c r="E267" s="112" t="s">
        <v>58</v>
      </c>
      <c r="F267" s="112" t="s">
        <v>1036</v>
      </c>
      <c r="G267" s="114" t="s">
        <v>1236</v>
      </c>
      <c r="H267" s="85" t="str">
        <f t="shared" si="12"/>
        <v>C182</v>
      </c>
      <c r="I267" s="88" t="s">
        <v>418</v>
      </c>
      <c r="J267" s="82" t="s">
        <v>42</v>
      </c>
      <c r="K267" s="101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</row>
    <row r="268">
      <c r="A268" s="79">
        <f t="shared" si="2"/>
        <v>267</v>
      </c>
      <c r="B268" s="143" t="str">
        <f t="shared" si="4"/>
        <v>C267</v>
      </c>
      <c r="C268" s="144" t="s">
        <v>1237</v>
      </c>
      <c r="D268" s="145" t="s">
        <v>1238</v>
      </c>
      <c r="E268" s="146" t="s">
        <v>30</v>
      </c>
      <c r="F268" s="146" t="s">
        <v>35</v>
      </c>
      <c r="G268" s="147" t="s">
        <v>96</v>
      </c>
      <c r="H268" s="148" t="str">
        <f t="shared" si="12"/>
        <v>C182</v>
      </c>
      <c r="I268" s="88"/>
      <c r="J268" s="145" t="s">
        <v>414</v>
      </c>
      <c r="K268" s="101"/>
      <c r="L268" s="142"/>
      <c r="M268" s="142"/>
      <c r="N268" s="142"/>
      <c r="O268" s="142"/>
      <c r="P268" s="142"/>
      <c r="Q268" s="142"/>
      <c r="R268" s="142"/>
      <c r="S268" s="142"/>
      <c r="T268" s="142"/>
      <c r="U268" s="142"/>
      <c r="V268" s="142"/>
      <c r="W268" s="142"/>
      <c r="X268" s="142"/>
    </row>
    <row r="269">
      <c r="A269" s="79">
        <f t="shared" si="2"/>
        <v>268</v>
      </c>
      <c r="B269" s="143" t="str">
        <f t="shared" si="4"/>
        <v>C268</v>
      </c>
      <c r="C269" s="146" t="s">
        <v>1239</v>
      </c>
      <c r="D269" s="145" t="s">
        <v>1240</v>
      </c>
      <c r="E269" s="146" t="s">
        <v>30</v>
      </c>
      <c r="F269" s="146" t="s">
        <v>35</v>
      </c>
      <c r="G269" s="147" t="s">
        <v>96</v>
      </c>
      <c r="H269" s="149" t="str">
        <f>B$268</f>
        <v>C267</v>
      </c>
      <c r="I269" s="88"/>
      <c r="J269" s="145" t="s">
        <v>414</v>
      </c>
      <c r="K269" s="101"/>
      <c r="L269" s="142"/>
      <c r="M269" s="142"/>
      <c r="N269" s="142"/>
      <c r="O269" s="142"/>
      <c r="P269" s="142"/>
      <c r="Q269" s="142"/>
      <c r="R269" s="142"/>
      <c r="S269" s="142"/>
      <c r="T269" s="142"/>
      <c r="U269" s="142"/>
      <c r="V269" s="142"/>
      <c r="W269" s="142"/>
      <c r="X269" s="142"/>
    </row>
    <row r="270">
      <c r="A270" s="79">
        <f t="shared" si="2"/>
        <v>269</v>
      </c>
      <c r="B270" s="80" t="str">
        <f t="shared" si="4"/>
        <v>C269</v>
      </c>
      <c r="C270" s="150" t="s">
        <v>1241</v>
      </c>
      <c r="D270" s="151" t="s">
        <v>1242</v>
      </c>
      <c r="E270" s="152" t="s">
        <v>58</v>
      </c>
      <c r="F270" s="150" t="s">
        <v>1243</v>
      </c>
      <c r="G270" s="153">
        <v>45658.0</v>
      </c>
      <c r="H270" s="154" t="str">
        <f t="shared" ref="H270:H275" si="13">B$269</f>
        <v>C268</v>
      </c>
      <c r="I270" s="88" t="s">
        <v>418</v>
      </c>
      <c r="J270" s="89" t="s">
        <v>414</v>
      </c>
      <c r="K270" s="101"/>
      <c r="L270" s="155"/>
      <c r="M270" s="155"/>
      <c r="N270" s="155"/>
      <c r="O270" s="155"/>
      <c r="P270" s="155"/>
      <c r="Q270" s="155"/>
      <c r="R270" s="155"/>
      <c r="S270" s="155"/>
      <c r="T270" s="155"/>
      <c r="U270" s="155"/>
      <c r="V270" s="155"/>
      <c r="W270" s="155"/>
      <c r="X270" s="155"/>
    </row>
    <row r="271">
      <c r="A271" s="79">
        <f t="shared" si="2"/>
        <v>270</v>
      </c>
      <c r="B271" s="80" t="str">
        <f t="shared" si="4"/>
        <v>C270</v>
      </c>
      <c r="C271" s="81" t="s">
        <v>1244</v>
      </c>
      <c r="D271" s="82" t="s">
        <v>1245</v>
      </c>
      <c r="E271" s="81" t="s">
        <v>58</v>
      </c>
      <c r="F271" s="150" t="s">
        <v>1246</v>
      </c>
      <c r="G271" s="156">
        <v>45658.0</v>
      </c>
      <c r="H271" s="154" t="str">
        <f t="shared" si="13"/>
        <v>C268</v>
      </c>
      <c r="I271" s="88" t="s">
        <v>418</v>
      </c>
      <c r="J271" s="89" t="s">
        <v>414</v>
      </c>
      <c r="K271" s="101"/>
      <c r="L271" s="155"/>
      <c r="M271" s="155"/>
      <c r="N271" s="155"/>
      <c r="O271" s="155"/>
      <c r="P271" s="155"/>
      <c r="Q271" s="155"/>
      <c r="R271" s="155"/>
      <c r="S271" s="155"/>
      <c r="T271" s="155"/>
      <c r="U271" s="155"/>
      <c r="V271" s="155"/>
      <c r="W271" s="155"/>
      <c r="X271" s="155"/>
    </row>
    <row r="272">
      <c r="A272" s="79">
        <f t="shared" si="2"/>
        <v>271</v>
      </c>
      <c r="B272" s="80" t="str">
        <f t="shared" si="4"/>
        <v>C271</v>
      </c>
      <c r="C272" s="81" t="s">
        <v>1247</v>
      </c>
      <c r="D272" s="82" t="s">
        <v>1248</v>
      </c>
      <c r="E272" s="81" t="s">
        <v>58</v>
      </c>
      <c r="F272" s="150" t="s">
        <v>1243</v>
      </c>
      <c r="G272" s="156">
        <v>45658.0</v>
      </c>
      <c r="H272" s="154" t="str">
        <f t="shared" si="13"/>
        <v>C268</v>
      </c>
      <c r="I272" s="88" t="s">
        <v>418</v>
      </c>
      <c r="J272" s="89" t="s">
        <v>414</v>
      </c>
      <c r="K272" s="101"/>
      <c r="L272" s="155"/>
      <c r="M272" s="155"/>
      <c r="N272" s="155"/>
      <c r="O272" s="155"/>
      <c r="P272" s="155"/>
      <c r="Q272" s="155"/>
      <c r="R272" s="155"/>
      <c r="S272" s="155"/>
      <c r="T272" s="155"/>
      <c r="U272" s="155"/>
      <c r="V272" s="155"/>
      <c r="W272" s="155"/>
      <c r="X272" s="155"/>
    </row>
    <row r="273">
      <c r="A273" s="79">
        <f t="shared" si="2"/>
        <v>272</v>
      </c>
      <c r="B273" s="80" t="str">
        <f t="shared" si="4"/>
        <v>C272</v>
      </c>
      <c r="C273" s="81" t="s">
        <v>1249</v>
      </c>
      <c r="D273" s="82" t="s">
        <v>1250</v>
      </c>
      <c r="E273" s="81" t="s">
        <v>58</v>
      </c>
      <c r="F273" s="150" t="s">
        <v>1246</v>
      </c>
      <c r="G273" s="156">
        <v>45658.0</v>
      </c>
      <c r="H273" s="154" t="str">
        <f t="shared" si="13"/>
        <v>C268</v>
      </c>
      <c r="I273" s="88" t="s">
        <v>418</v>
      </c>
      <c r="J273" s="89" t="s">
        <v>414</v>
      </c>
      <c r="K273" s="101"/>
      <c r="L273" s="155"/>
      <c r="M273" s="155"/>
      <c r="N273" s="155"/>
      <c r="O273" s="155"/>
      <c r="P273" s="155"/>
      <c r="Q273" s="155"/>
      <c r="R273" s="155"/>
      <c r="S273" s="155"/>
      <c r="T273" s="155"/>
      <c r="U273" s="155"/>
      <c r="V273" s="155"/>
      <c r="W273" s="155"/>
      <c r="X273" s="155"/>
    </row>
    <row r="274">
      <c r="A274" s="79">
        <f t="shared" si="2"/>
        <v>273</v>
      </c>
      <c r="B274" s="80" t="str">
        <f t="shared" si="4"/>
        <v>C273</v>
      </c>
      <c r="C274" s="81" t="s">
        <v>1251</v>
      </c>
      <c r="D274" s="82" t="s">
        <v>1252</v>
      </c>
      <c r="E274" s="81" t="s">
        <v>58</v>
      </c>
      <c r="F274" s="150" t="s">
        <v>1243</v>
      </c>
      <c r="G274" s="156">
        <v>45658.0</v>
      </c>
      <c r="H274" s="154" t="str">
        <f t="shared" si="13"/>
        <v>C268</v>
      </c>
      <c r="I274" s="88" t="s">
        <v>418</v>
      </c>
      <c r="J274" s="89" t="s">
        <v>414</v>
      </c>
      <c r="K274" s="101"/>
      <c r="L274" s="155"/>
      <c r="M274" s="155"/>
      <c r="N274" s="155"/>
      <c r="O274" s="155"/>
      <c r="P274" s="155"/>
      <c r="Q274" s="155"/>
      <c r="R274" s="155"/>
      <c r="S274" s="155"/>
      <c r="T274" s="155"/>
      <c r="U274" s="155"/>
      <c r="V274" s="155"/>
      <c r="W274" s="155"/>
      <c r="X274" s="155"/>
    </row>
    <row r="275">
      <c r="A275" s="79">
        <f t="shared" si="2"/>
        <v>274</v>
      </c>
      <c r="B275" s="80" t="str">
        <f t="shared" si="4"/>
        <v>C274</v>
      </c>
      <c r="C275" s="81" t="s">
        <v>1253</v>
      </c>
      <c r="D275" s="82" t="s">
        <v>1254</v>
      </c>
      <c r="E275" s="81" t="s">
        <v>58</v>
      </c>
      <c r="F275" s="150" t="s">
        <v>1246</v>
      </c>
      <c r="G275" s="156">
        <v>45658.0</v>
      </c>
      <c r="H275" s="154" t="str">
        <f t="shared" si="13"/>
        <v>C268</v>
      </c>
      <c r="I275" s="82" t="s">
        <v>1255</v>
      </c>
      <c r="J275" s="89" t="s">
        <v>414</v>
      </c>
      <c r="K275" s="101"/>
      <c r="L275" s="155"/>
      <c r="M275" s="155"/>
      <c r="N275" s="155"/>
      <c r="O275" s="155"/>
      <c r="P275" s="155"/>
      <c r="Q275" s="155"/>
      <c r="R275" s="155"/>
      <c r="S275" s="155"/>
      <c r="T275" s="155"/>
      <c r="U275" s="155"/>
      <c r="V275" s="155"/>
      <c r="W275" s="155"/>
      <c r="X275" s="155"/>
    </row>
    <row r="276">
      <c r="A276" s="157">
        <f t="shared" si="2"/>
        <v>275</v>
      </c>
      <c r="B276" s="143" t="str">
        <f t="shared" si="4"/>
        <v>C275</v>
      </c>
      <c r="C276" s="158" t="s">
        <v>1256</v>
      </c>
      <c r="D276" s="88" t="s">
        <v>1257</v>
      </c>
      <c r="E276" s="146" t="s">
        <v>30</v>
      </c>
      <c r="F276" s="146" t="s">
        <v>35</v>
      </c>
      <c r="G276" s="147" t="s">
        <v>96</v>
      </c>
      <c r="H276" s="149" t="str">
        <f>B268</f>
        <v>C267</v>
      </c>
      <c r="I276" s="88"/>
      <c r="J276" s="145" t="s">
        <v>414</v>
      </c>
      <c r="K276" s="101"/>
      <c r="L276" s="159"/>
      <c r="M276" s="159"/>
      <c r="N276" s="159"/>
      <c r="O276" s="159"/>
      <c r="P276" s="159"/>
      <c r="Q276" s="159"/>
      <c r="R276" s="159"/>
      <c r="S276" s="159"/>
      <c r="T276" s="159"/>
      <c r="U276" s="159"/>
      <c r="V276" s="159"/>
      <c r="W276" s="159"/>
      <c r="X276" s="159"/>
    </row>
    <row r="277">
      <c r="A277" s="79">
        <f t="shared" si="2"/>
        <v>276</v>
      </c>
      <c r="B277" s="80" t="str">
        <f t="shared" si="4"/>
        <v>C276</v>
      </c>
      <c r="C277" s="81" t="s">
        <v>1258</v>
      </c>
      <c r="D277" s="82" t="s">
        <v>1259</v>
      </c>
      <c r="E277" s="81" t="s">
        <v>58</v>
      </c>
      <c r="F277" s="150" t="s">
        <v>1243</v>
      </c>
      <c r="G277" s="156">
        <v>45658.0</v>
      </c>
      <c r="H277" s="85" t="str">
        <f t="shared" ref="H277:H282" si="14">B$276</f>
        <v>C275</v>
      </c>
      <c r="I277" s="88" t="s">
        <v>418</v>
      </c>
      <c r="J277" s="89" t="s">
        <v>414</v>
      </c>
      <c r="K277" s="101"/>
      <c r="L277" s="86"/>
      <c r="M277" s="86"/>
      <c r="N277" s="86"/>
      <c r="O277" s="86"/>
      <c r="P277" s="86"/>
      <c r="Q277" s="86"/>
      <c r="R277" s="86"/>
      <c r="S277" s="86"/>
      <c r="T277" s="86"/>
      <c r="U277" s="86"/>
      <c r="V277" s="86"/>
      <c r="W277" s="86"/>
      <c r="X277" s="86"/>
    </row>
    <row r="278">
      <c r="A278" s="79">
        <f t="shared" si="2"/>
        <v>277</v>
      </c>
      <c r="B278" s="80" t="str">
        <f t="shared" si="4"/>
        <v>C277</v>
      </c>
      <c r="C278" s="150" t="s">
        <v>1260</v>
      </c>
      <c r="D278" s="82" t="s">
        <v>1261</v>
      </c>
      <c r="E278" s="81" t="s">
        <v>58</v>
      </c>
      <c r="F278" s="81" t="s">
        <v>1246</v>
      </c>
      <c r="G278" s="156">
        <v>45658.0</v>
      </c>
      <c r="H278" s="85" t="str">
        <f t="shared" si="14"/>
        <v>C275</v>
      </c>
      <c r="I278" s="88" t="s">
        <v>418</v>
      </c>
      <c r="J278" s="89" t="s">
        <v>414</v>
      </c>
      <c r="K278" s="101"/>
      <c r="L278" s="86"/>
      <c r="M278" s="86"/>
      <c r="N278" s="86"/>
      <c r="O278" s="86"/>
      <c r="P278" s="86"/>
      <c r="Q278" s="86"/>
      <c r="R278" s="86"/>
      <c r="S278" s="86"/>
      <c r="T278" s="86"/>
      <c r="U278" s="86"/>
      <c r="V278" s="86"/>
      <c r="W278" s="86"/>
      <c r="X278" s="86"/>
    </row>
    <row r="279">
      <c r="A279" s="79">
        <f t="shared" si="2"/>
        <v>278</v>
      </c>
      <c r="B279" s="80" t="str">
        <f t="shared" si="4"/>
        <v>C278</v>
      </c>
      <c r="C279" s="81" t="s">
        <v>1262</v>
      </c>
      <c r="D279" s="82" t="s">
        <v>1263</v>
      </c>
      <c r="E279" s="81" t="s">
        <v>58</v>
      </c>
      <c r="F279" s="150" t="s">
        <v>1243</v>
      </c>
      <c r="G279" s="156">
        <v>45658.0</v>
      </c>
      <c r="H279" s="85" t="str">
        <f t="shared" si="14"/>
        <v>C275</v>
      </c>
      <c r="I279" s="88" t="s">
        <v>418</v>
      </c>
      <c r="J279" s="89" t="s">
        <v>414</v>
      </c>
      <c r="K279" s="101"/>
      <c r="L279" s="86"/>
      <c r="M279" s="86"/>
      <c r="N279" s="86"/>
      <c r="O279" s="86"/>
      <c r="P279" s="86"/>
      <c r="Q279" s="86"/>
      <c r="R279" s="86"/>
      <c r="S279" s="86"/>
      <c r="T279" s="86"/>
      <c r="U279" s="86"/>
      <c r="V279" s="86"/>
      <c r="W279" s="86"/>
      <c r="X279" s="86"/>
    </row>
    <row r="280">
      <c r="A280" s="79">
        <f t="shared" si="2"/>
        <v>279</v>
      </c>
      <c r="B280" s="80" t="str">
        <f t="shared" si="4"/>
        <v>C279</v>
      </c>
      <c r="C280" s="81" t="s">
        <v>1264</v>
      </c>
      <c r="D280" s="82" t="s">
        <v>1265</v>
      </c>
      <c r="E280" s="81" t="s">
        <v>58</v>
      </c>
      <c r="F280" s="81" t="s">
        <v>1246</v>
      </c>
      <c r="G280" s="156">
        <v>45658.0</v>
      </c>
      <c r="H280" s="85" t="str">
        <f t="shared" si="14"/>
        <v>C275</v>
      </c>
      <c r="I280" s="88" t="s">
        <v>418</v>
      </c>
      <c r="J280" s="89" t="s">
        <v>414</v>
      </c>
      <c r="K280" s="101"/>
      <c r="L280" s="86"/>
      <c r="M280" s="86"/>
      <c r="N280" s="86"/>
      <c r="O280" s="86"/>
      <c r="P280" s="86"/>
      <c r="Q280" s="86"/>
      <c r="R280" s="86"/>
      <c r="S280" s="86"/>
      <c r="T280" s="86"/>
      <c r="U280" s="86"/>
      <c r="V280" s="86"/>
      <c r="W280" s="86"/>
      <c r="X280" s="86"/>
    </row>
    <row r="281">
      <c r="A281" s="79">
        <f t="shared" si="2"/>
        <v>280</v>
      </c>
      <c r="B281" s="80" t="str">
        <f t="shared" si="4"/>
        <v>C280</v>
      </c>
      <c r="C281" s="81" t="s">
        <v>1266</v>
      </c>
      <c r="D281" s="82" t="s">
        <v>1267</v>
      </c>
      <c r="E281" s="81" t="s">
        <v>58</v>
      </c>
      <c r="F281" s="150" t="s">
        <v>1243</v>
      </c>
      <c r="G281" s="156">
        <v>45658.0</v>
      </c>
      <c r="H281" s="85" t="str">
        <f t="shared" si="14"/>
        <v>C275</v>
      </c>
      <c r="I281" s="88" t="s">
        <v>418</v>
      </c>
      <c r="J281" s="89" t="s">
        <v>414</v>
      </c>
      <c r="K281" s="101"/>
      <c r="L281" s="86"/>
      <c r="M281" s="86"/>
      <c r="N281" s="86"/>
      <c r="O281" s="86"/>
      <c r="P281" s="86"/>
      <c r="Q281" s="86"/>
      <c r="R281" s="86"/>
      <c r="S281" s="86"/>
      <c r="T281" s="86"/>
      <c r="U281" s="86"/>
      <c r="V281" s="86"/>
      <c r="W281" s="86"/>
      <c r="X281" s="86"/>
    </row>
    <row r="282">
      <c r="A282" s="79">
        <f t="shared" si="2"/>
        <v>281</v>
      </c>
      <c r="B282" s="80" t="str">
        <f t="shared" si="4"/>
        <v>C281</v>
      </c>
      <c r="C282" s="150" t="s">
        <v>1268</v>
      </c>
      <c r="D282" s="82" t="s">
        <v>1269</v>
      </c>
      <c r="E282" s="81" t="s">
        <v>58</v>
      </c>
      <c r="F282" s="81" t="s">
        <v>1246</v>
      </c>
      <c r="G282" s="156">
        <v>45658.0</v>
      </c>
      <c r="H282" s="85" t="str">
        <f t="shared" si="14"/>
        <v>C275</v>
      </c>
      <c r="I282" s="88" t="s">
        <v>418</v>
      </c>
      <c r="J282" s="89" t="s">
        <v>414</v>
      </c>
      <c r="K282" s="101"/>
      <c r="L282" s="86"/>
      <c r="M282" s="86"/>
      <c r="N282" s="86"/>
      <c r="O282" s="86"/>
      <c r="P282" s="86"/>
      <c r="Q282" s="86"/>
      <c r="R282" s="86"/>
      <c r="S282" s="86"/>
      <c r="T282" s="86"/>
      <c r="U282" s="86"/>
      <c r="V282" s="86"/>
      <c r="W282" s="86"/>
      <c r="X282" s="86"/>
    </row>
    <row r="283">
      <c r="A283" s="157">
        <f t="shared" si="2"/>
        <v>282</v>
      </c>
      <c r="B283" s="143" t="str">
        <f t="shared" si="4"/>
        <v>C282</v>
      </c>
      <c r="C283" s="158" t="s">
        <v>1270</v>
      </c>
      <c r="D283" s="88" t="s">
        <v>1271</v>
      </c>
      <c r="E283" s="146" t="s">
        <v>30</v>
      </c>
      <c r="F283" s="146" t="s">
        <v>35</v>
      </c>
      <c r="G283" s="147" t="s">
        <v>39</v>
      </c>
      <c r="H283" s="149" t="str">
        <f>B$268</f>
        <v>C267</v>
      </c>
      <c r="I283" s="88" t="s">
        <v>418</v>
      </c>
      <c r="J283" s="145" t="s">
        <v>414</v>
      </c>
      <c r="K283" s="101"/>
      <c r="L283" s="115"/>
      <c r="M283" s="115"/>
      <c r="N283" s="115"/>
      <c r="O283" s="115"/>
      <c r="P283" s="115"/>
      <c r="Q283" s="115"/>
      <c r="R283" s="115"/>
      <c r="S283" s="115"/>
      <c r="T283" s="115"/>
      <c r="U283" s="115"/>
      <c r="V283" s="115"/>
      <c r="W283" s="115"/>
      <c r="X283" s="115"/>
    </row>
    <row r="284">
      <c r="A284" s="79">
        <f t="shared" si="2"/>
        <v>283</v>
      </c>
      <c r="B284" s="80" t="str">
        <f t="shared" si="4"/>
        <v>C283</v>
      </c>
      <c r="C284" s="81" t="s">
        <v>1272</v>
      </c>
      <c r="D284" s="82" t="s">
        <v>1273</v>
      </c>
      <c r="E284" s="81" t="s">
        <v>58</v>
      </c>
      <c r="F284" s="81" t="s">
        <v>1246</v>
      </c>
      <c r="G284" s="81" t="s">
        <v>96</v>
      </c>
      <c r="H284" s="85" t="str">
        <f t="shared" ref="H284:H302" si="15">B$283</f>
        <v>C282</v>
      </c>
      <c r="I284" s="88" t="s">
        <v>418</v>
      </c>
      <c r="J284" s="89" t="s">
        <v>414</v>
      </c>
      <c r="K284" s="101"/>
      <c r="L284" s="86"/>
      <c r="M284" s="86"/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</row>
    <row r="285">
      <c r="A285" s="79">
        <f t="shared" si="2"/>
        <v>284</v>
      </c>
      <c r="B285" s="80" t="str">
        <f t="shared" si="4"/>
        <v>C284</v>
      </c>
      <c r="C285" s="81" t="s">
        <v>1274</v>
      </c>
      <c r="D285" s="82" t="s">
        <v>1275</v>
      </c>
      <c r="E285" s="81" t="s">
        <v>58</v>
      </c>
      <c r="F285" s="81" t="s">
        <v>1246</v>
      </c>
      <c r="G285" s="81" t="s">
        <v>96</v>
      </c>
      <c r="H285" s="85" t="str">
        <f t="shared" si="15"/>
        <v>C282</v>
      </c>
      <c r="I285" s="88" t="s">
        <v>418</v>
      </c>
      <c r="J285" s="89" t="s">
        <v>414</v>
      </c>
      <c r="K285" s="101"/>
      <c r="L285" s="86"/>
      <c r="M285" s="86"/>
      <c r="N285" s="86"/>
      <c r="O285" s="86"/>
      <c r="P285" s="86"/>
      <c r="Q285" s="86"/>
      <c r="R285" s="86"/>
      <c r="S285" s="86"/>
      <c r="T285" s="86"/>
      <c r="U285" s="86"/>
      <c r="V285" s="86"/>
      <c r="W285" s="86"/>
      <c r="X285" s="86"/>
    </row>
    <row r="286">
      <c r="A286" s="79">
        <f t="shared" si="2"/>
        <v>285</v>
      </c>
      <c r="B286" s="80" t="str">
        <f t="shared" si="4"/>
        <v>C285</v>
      </c>
      <c r="C286" s="81" t="s">
        <v>1276</v>
      </c>
      <c r="D286" s="82" t="s">
        <v>1277</v>
      </c>
      <c r="E286" s="81" t="s">
        <v>58</v>
      </c>
      <c r="F286" s="81" t="s">
        <v>1036</v>
      </c>
      <c r="G286" s="81" t="s">
        <v>96</v>
      </c>
      <c r="H286" s="85" t="str">
        <f t="shared" si="15"/>
        <v>C282</v>
      </c>
      <c r="I286" s="88" t="s">
        <v>418</v>
      </c>
      <c r="J286" s="89" t="s">
        <v>414</v>
      </c>
      <c r="K286" s="101"/>
      <c r="L286" s="86"/>
      <c r="M286" s="86"/>
      <c r="N286" s="86"/>
      <c r="O286" s="86"/>
      <c r="P286" s="86"/>
      <c r="Q286" s="86"/>
      <c r="R286" s="86"/>
      <c r="S286" s="86"/>
      <c r="T286" s="86"/>
      <c r="U286" s="86"/>
      <c r="V286" s="86"/>
      <c r="W286" s="86"/>
      <c r="X286" s="86"/>
    </row>
    <row r="287">
      <c r="A287" s="79">
        <f t="shared" si="2"/>
        <v>286</v>
      </c>
      <c r="B287" s="80" t="str">
        <f t="shared" si="4"/>
        <v>C286</v>
      </c>
      <c r="C287" s="81" t="s">
        <v>1260</v>
      </c>
      <c r="D287" s="82" t="s">
        <v>1278</v>
      </c>
      <c r="E287" s="81" t="s">
        <v>58</v>
      </c>
      <c r="F287" s="81" t="s">
        <v>1246</v>
      </c>
      <c r="G287" s="81" t="s">
        <v>96</v>
      </c>
      <c r="H287" s="85" t="str">
        <f t="shared" si="15"/>
        <v>C282</v>
      </c>
      <c r="I287" s="88" t="s">
        <v>418</v>
      </c>
      <c r="J287" s="89" t="s">
        <v>414</v>
      </c>
      <c r="K287" s="101"/>
      <c r="L287" s="86"/>
      <c r="M287" s="86"/>
      <c r="N287" s="86"/>
      <c r="O287" s="86"/>
      <c r="P287" s="86"/>
      <c r="Q287" s="86"/>
      <c r="R287" s="86"/>
      <c r="S287" s="86"/>
      <c r="T287" s="86"/>
      <c r="U287" s="86"/>
      <c r="V287" s="86"/>
      <c r="W287" s="86"/>
      <c r="X287" s="86"/>
    </row>
    <row r="288">
      <c r="A288" s="79">
        <f t="shared" si="2"/>
        <v>287</v>
      </c>
      <c r="B288" s="80" t="str">
        <f t="shared" si="4"/>
        <v>C287</v>
      </c>
      <c r="C288" s="81" t="s">
        <v>1258</v>
      </c>
      <c r="D288" s="82" t="s">
        <v>1279</v>
      </c>
      <c r="E288" s="81" t="s">
        <v>58</v>
      </c>
      <c r="F288" s="81" t="s">
        <v>1246</v>
      </c>
      <c r="G288" s="81" t="s">
        <v>96</v>
      </c>
      <c r="H288" s="85" t="str">
        <f t="shared" si="15"/>
        <v>C282</v>
      </c>
      <c r="I288" s="88" t="s">
        <v>418</v>
      </c>
      <c r="J288" s="89" t="s">
        <v>414</v>
      </c>
      <c r="K288" s="101"/>
      <c r="L288" s="86"/>
      <c r="M288" s="86"/>
      <c r="N288" s="86"/>
      <c r="O288" s="86"/>
      <c r="P288" s="86"/>
      <c r="Q288" s="86"/>
      <c r="R288" s="86"/>
      <c r="S288" s="86"/>
      <c r="T288" s="86"/>
      <c r="U288" s="86"/>
      <c r="V288" s="86"/>
      <c r="W288" s="86"/>
      <c r="X288" s="86"/>
    </row>
    <row r="289">
      <c r="A289" s="79">
        <f t="shared" si="2"/>
        <v>288</v>
      </c>
      <c r="B289" s="80" t="str">
        <f t="shared" si="4"/>
        <v>C288</v>
      </c>
      <c r="C289" s="81" t="s">
        <v>1280</v>
      </c>
      <c r="D289" s="82" t="s">
        <v>1281</v>
      </c>
      <c r="E289" s="81" t="s">
        <v>58</v>
      </c>
      <c r="F289" s="81" t="s">
        <v>1246</v>
      </c>
      <c r="G289" s="81" t="s">
        <v>96</v>
      </c>
      <c r="H289" s="85" t="str">
        <f t="shared" si="15"/>
        <v>C282</v>
      </c>
      <c r="I289" s="88" t="s">
        <v>418</v>
      </c>
      <c r="J289" s="89" t="s">
        <v>414</v>
      </c>
      <c r="K289" s="101"/>
      <c r="L289" s="86"/>
      <c r="M289" s="86"/>
      <c r="N289" s="86"/>
      <c r="O289" s="86"/>
      <c r="P289" s="86"/>
      <c r="Q289" s="86"/>
      <c r="R289" s="86"/>
      <c r="S289" s="86"/>
      <c r="T289" s="86"/>
      <c r="U289" s="86"/>
      <c r="V289" s="86"/>
      <c r="W289" s="86"/>
      <c r="X289" s="86"/>
    </row>
    <row r="290">
      <c r="A290" s="79">
        <f t="shared" si="2"/>
        <v>289</v>
      </c>
      <c r="B290" s="80" t="str">
        <f t="shared" si="4"/>
        <v>C289</v>
      </c>
      <c r="C290" s="81" t="s">
        <v>1282</v>
      </c>
      <c r="D290" s="82" t="s">
        <v>1283</v>
      </c>
      <c r="E290" s="81" t="s">
        <v>58</v>
      </c>
      <c r="F290" s="81" t="s">
        <v>1243</v>
      </c>
      <c r="G290" s="156">
        <v>45658.0</v>
      </c>
      <c r="H290" s="85" t="str">
        <f t="shared" si="15"/>
        <v>C282</v>
      </c>
      <c r="I290" s="88" t="s">
        <v>418</v>
      </c>
      <c r="J290" s="89" t="s">
        <v>414</v>
      </c>
      <c r="K290" s="101"/>
      <c r="L290" s="86"/>
      <c r="M290" s="86"/>
      <c r="N290" s="86"/>
      <c r="O290" s="86"/>
      <c r="P290" s="86"/>
      <c r="Q290" s="86"/>
      <c r="R290" s="86"/>
      <c r="S290" s="86"/>
      <c r="T290" s="86"/>
      <c r="U290" s="86"/>
      <c r="V290" s="86"/>
      <c r="W290" s="86"/>
      <c r="X290" s="86"/>
    </row>
    <row r="291">
      <c r="A291" s="79">
        <f t="shared" si="2"/>
        <v>290</v>
      </c>
      <c r="B291" s="80" t="str">
        <f t="shared" si="4"/>
        <v>C290</v>
      </c>
      <c r="C291" s="81" t="s">
        <v>1284</v>
      </c>
      <c r="D291" s="82" t="s">
        <v>1285</v>
      </c>
      <c r="E291" s="81" t="s">
        <v>58</v>
      </c>
      <c r="F291" s="150" t="s">
        <v>1243</v>
      </c>
      <c r="G291" s="81" t="s">
        <v>96</v>
      </c>
      <c r="H291" s="85" t="str">
        <f t="shared" si="15"/>
        <v>C282</v>
      </c>
      <c r="I291" s="88" t="s">
        <v>418</v>
      </c>
      <c r="J291" s="89" t="s">
        <v>414</v>
      </c>
      <c r="K291" s="101"/>
      <c r="L291" s="86"/>
      <c r="M291" s="86"/>
      <c r="N291" s="86"/>
      <c r="O291" s="86"/>
      <c r="P291" s="86"/>
      <c r="Q291" s="86"/>
      <c r="R291" s="86"/>
      <c r="S291" s="86"/>
      <c r="T291" s="86"/>
      <c r="U291" s="86"/>
      <c r="V291" s="86"/>
      <c r="W291" s="86"/>
      <c r="X291" s="86"/>
    </row>
    <row r="292">
      <c r="A292" s="79">
        <f t="shared" si="2"/>
        <v>291</v>
      </c>
      <c r="B292" s="80" t="str">
        <f t="shared" si="4"/>
        <v>C291</v>
      </c>
      <c r="C292" s="81" t="s">
        <v>1286</v>
      </c>
      <c r="D292" s="82" t="s">
        <v>1287</v>
      </c>
      <c r="E292" s="81" t="s">
        <v>58</v>
      </c>
      <c r="F292" s="150" t="s">
        <v>1243</v>
      </c>
      <c r="G292" s="81" t="s">
        <v>96</v>
      </c>
      <c r="H292" s="85" t="str">
        <f t="shared" si="15"/>
        <v>C282</v>
      </c>
      <c r="I292" s="88" t="s">
        <v>418</v>
      </c>
      <c r="J292" s="89" t="s">
        <v>414</v>
      </c>
      <c r="K292" s="101"/>
      <c r="L292" s="86"/>
      <c r="M292" s="86"/>
      <c r="N292" s="86"/>
      <c r="O292" s="86"/>
      <c r="P292" s="86"/>
      <c r="Q292" s="86"/>
      <c r="R292" s="86"/>
      <c r="S292" s="86"/>
      <c r="T292" s="86"/>
      <c r="U292" s="86"/>
      <c r="V292" s="86"/>
      <c r="W292" s="86"/>
      <c r="X292" s="86"/>
    </row>
    <row r="293">
      <c r="A293" s="79">
        <f t="shared" si="2"/>
        <v>292</v>
      </c>
      <c r="B293" s="80" t="str">
        <f t="shared" si="4"/>
        <v>C292</v>
      </c>
      <c r="C293" s="81" t="s">
        <v>1264</v>
      </c>
      <c r="D293" s="82" t="s">
        <v>1288</v>
      </c>
      <c r="E293" s="81" t="s">
        <v>58</v>
      </c>
      <c r="F293" s="81" t="s">
        <v>1246</v>
      </c>
      <c r="G293" s="81" t="s">
        <v>96</v>
      </c>
      <c r="H293" s="85" t="str">
        <f t="shared" si="15"/>
        <v>C282</v>
      </c>
      <c r="I293" s="88" t="s">
        <v>418</v>
      </c>
      <c r="J293" s="89" t="s">
        <v>414</v>
      </c>
      <c r="K293" s="101"/>
      <c r="L293" s="86"/>
      <c r="M293" s="86"/>
      <c r="N293" s="86"/>
      <c r="O293" s="86"/>
      <c r="P293" s="86"/>
      <c r="Q293" s="86"/>
      <c r="R293" s="86"/>
      <c r="S293" s="86"/>
      <c r="T293" s="86"/>
      <c r="U293" s="86"/>
      <c r="V293" s="86"/>
      <c r="W293" s="86"/>
      <c r="X293" s="86"/>
    </row>
    <row r="294">
      <c r="A294" s="79">
        <f t="shared" si="2"/>
        <v>293</v>
      </c>
      <c r="B294" s="80" t="str">
        <f t="shared" si="4"/>
        <v>C293</v>
      </c>
      <c r="C294" s="81" t="s">
        <v>1262</v>
      </c>
      <c r="D294" s="82" t="s">
        <v>1263</v>
      </c>
      <c r="E294" s="81" t="s">
        <v>58</v>
      </c>
      <c r="F294" s="150" t="s">
        <v>1243</v>
      </c>
      <c r="G294" s="81" t="s">
        <v>96</v>
      </c>
      <c r="H294" s="85" t="str">
        <f t="shared" si="15"/>
        <v>C282</v>
      </c>
      <c r="I294" s="88" t="s">
        <v>445</v>
      </c>
      <c r="J294" s="89" t="s">
        <v>1289</v>
      </c>
      <c r="K294" s="101"/>
      <c r="L294" s="86"/>
      <c r="M294" s="86"/>
      <c r="N294" s="86"/>
      <c r="O294" s="86"/>
      <c r="P294" s="86"/>
      <c r="Q294" s="86"/>
      <c r="R294" s="86"/>
      <c r="S294" s="86"/>
      <c r="T294" s="86"/>
      <c r="U294" s="86"/>
      <c r="V294" s="86"/>
      <c r="W294" s="86"/>
      <c r="X294" s="86"/>
    </row>
    <row r="295">
      <c r="A295" s="79">
        <f t="shared" si="2"/>
        <v>294</v>
      </c>
      <c r="B295" s="80" t="str">
        <f t="shared" si="4"/>
        <v>C294</v>
      </c>
      <c r="C295" s="81" t="s">
        <v>1290</v>
      </c>
      <c r="D295" s="82" t="s">
        <v>1291</v>
      </c>
      <c r="E295" s="81" t="s">
        <v>58</v>
      </c>
      <c r="F295" s="81" t="s">
        <v>1246</v>
      </c>
      <c r="G295" s="81" t="s">
        <v>96</v>
      </c>
      <c r="H295" s="85" t="str">
        <f t="shared" si="15"/>
        <v>C282</v>
      </c>
      <c r="I295" s="88" t="s">
        <v>418</v>
      </c>
      <c r="J295" s="89" t="s">
        <v>414</v>
      </c>
      <c r="K295" s="101"/>
      <c r="L295" s="86"/>
      <c r="M295" s="86"/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</row>
    <row r="296">
      <c r="A296" s="79">
        <f t="shared" si="2"/>
        <v>295</v>
      </c>
      <c r="B296" s="80" t="str">
        <f t="shared" si="4"/>
        <v>C295</v>
      </c>
      <c r="C296" s="81" t="s">
        <v>1292</v>
      </c>
      <c r="D296" s="82" t="s">
        <v>1293</v>
      </c>
      <c r="E296" s="81" t="s">
        <v>58</v>
      </c>
      <c r="F296" s="150" t="s">
        <v>1036</v>
      </c>
      <c r="G296" s="156">
        <v>45658.0</v>
      </c>
      <c r="H296" s="85" t="str">
        <f t="shared" si="15"/>
        <v>C282</v>
      </c>
      <c r="I296" s="88" t="s">
        <v>418</v>
      </c>
      <c r="J296" s="89" t="s">
        <v>414</v>
      </c>
      <c r="K296" s="101"/>
      <c r="L296" s="86"/>
      <c r="M296" s="86"/>
      <c r="N296" s="86"/>
      <c r="O296" s="86"/>
      <c r="P296" s="86"/>
      <c r="Q296" s="86"/>
      <c r="R296" s="86"/>
      <c r="S296" s="86"/>
      <c r="T296" s="86"/>
      <c r="U296" s="86"/>
      <c r="V296" s="86"/>
      <c r="W296" s="86"/>
      <c r="X296" s="86"/>
    </row>
    <row r="297">
      <c r="A297" s="79">
        <f t="shared" si="2"/>
        <v>296</v>
      </c>
      <c r="B297" s="80" t="str">
        <f t="shared" si="4"/>
        <v>C296</v>
      </c>
      <c r="C297" s="81" t="s">
        <v>1294</v>
      </c>
      <c r="D297" s="82" t="s">
        <v>1295</v>
      </c>
      <c r="E297" s="81" t="s">
        <v>58</v>
      </c>
      <c r="F297" s="150" t="s">
        <v>1243</v>
      </c>
      <c r="G297" s="81" t="s">
        <v>96</v>
      </c>
      <c r="H297" s="85" t="str">
        <f t="shared" si="15"/>
        <v>C282</v>
      </c>
      <c r="I297" s="88" t="s">
        <v>1296</v>
      </c>
      <c r="J297" s="89" t="s">
        <v>414</v>
      </c>
      <c r="K297" s="101"/>
      <c r="L297" s="86"/>
      <c r="M297" s="86"/>
      <c r="N297" s="86"/>
      <c r="O297" s="86"/>
      <c r="P297" s="86"/>
      <c r="Q297" s="86"/>
      <c r="R297" s="86"/>
      <c r="S297" s="86"/>
      <c r="T297" s="86"/>
      <c r="U297" s="86"/>
      <c r="V297" s="86"/>
      <c r="W297" s="86"/>
      <c r="X297" s="86"/>
    </row>
    <row r="298">
      <c r="A298" s="79">
        <f t="shared" si="2"/>
        <v>297</v>
      </c>
      <c r="B298" s="80" t="str">
        <f t="shared" si="4"/>
        <v>C297</v>
      </c>
      <c r="C298" s="81" t="s">
        <v>1297</v>
      </c>
      <c r="D298" s="82" t="s">
        <v>1298</v>
      </c>
      <c r="E298" s="81" t="s">
        <v>58</v>
      </c>
      <c r="F298" s="150" t="s">
        <v>1243</v>
      </c>
      <c r="G298" s="81" t="s">
        <v>96</v>
      </c>
      <c r="H298" s="85" t="str">
        <f t="shared" si="15"/>
        <v>C282</v>
      </c>
      <c r="I298" s="88" t="s">
        <v>418</v>
      </c>
      <c r="J298" s="89" t="s">
        <v>414</v>
      </c>
      <c r="K298" s="101"/>
      <c r="L298" s="86"/>
      <c r="M298" s="86"/>
      <c r="N298" s="86"/>
      <c r="O298" s="86"/>
      <c r="P298" s="86"/>
      <c r="Q298" s="86"/>
      <c r="R298" s="86"/>
      <c r="S298" s="86"/>
      <c r="T298" s="86"/>
      <c r="U298" s="86"/>
      <c r="V298" s="86"/>
      <c r="W298" s="86"/>
      <c r="X298" s="86"/>
    </row>
    <row r="299">
      <c r="A299" s="79">
        <f t="shared" si="2"/>
        <v>298</v>
      </c>
      <c r="B299" s="80" t="str">
        <f t="shared" si="4"/>
        <v>C298</v>
      </c>
      <c r="C299" s="81" t="s">
        <v>1299</v>
      </c>
      <c r="D299" s="82" t="s">
        <v>1300</v>
      </c>
      <c r="E299" s="81" t="s">
        <v>58</v>
      </c>
      <c r="F299" s="81" t="s">
        <v>1246</v>
      </c>
      <c r="G299" s="81" t="s">
        <v>96</v>
      </c>
      <c r="H299" s="85" t="str">
        <f t="shared" si="15"/>
        <v>C282</v>
      </c>
      <c r="I299" s="88" t="s">
        <v>418</v>
      </c>
      <c r="J299" s="89" t="s">
        <v>22</v>
      </c>
      <c r="K299" s="87"/>
      <c r="L299" s="86"/>
      <c r="M299" s="86"/>
      <c r="N299" s="86"/>
      <c r="O299" s="86"/>
      <c r="P299" s="86"/>
      <c r="Q299" s="86"/>
      <c r="R299" s="86"/>
      <c r="S299" s="86"/>
      <c r="T299" s="86"/>
      <c r="U299" s="86"/>
      <c r="V299" s="86"/>
      <c r="W299" s="86"/>
      <c r="X299" s="86"/>
    </row>
    <row r="300">
      <c r="A300" s="79">
        <f t="shared" si="2"/>
        <v>299</v>
      </c>
      <c r="B300" s="80" t="str">
        <f t="shared" si="4"/>
        <v>C299</v>
      </c>
      <c r="C300" s="81" t="s">
        <v>1301</v>
      </c>
      <c r="D300" s="82" t="s">
        <v>1302</v>
      </c>
      <c r="E300" s="81" t="s">
        <v>58</v>
      </c>
      <c r="F300" s="81" t="s">
        <v>1246</v>
      </c>
      <c r="G300" s="81" t="s">
        <v>96</v>
      </c>
      <c r="H300" s="85" t="str">
        <f t="shared" si="15"/>
        <v>C282</v>
      </c>
      <c r="I300" s="160" t="s">
        <v>1303</v>
      </c>
      <c r="J300" s="145" t="s">
        <v>1304</v>
      </c>
      <c r="K300" s="82"/>
      <c r="L300" s="115"/>
      <c r="M300" s="115"/>
      <c r="N300" s="115"/>
      <c r="O300" s="115"/>
      <c r="P300" s="115"/>
      <c r="Q300" s="115"/>
      <c r="R300" s="115"/>
      <c r="S300" s="115"/>
      <c r="T300" s="115"/>
      <c r="U300" s="115"/>
      <c r="V300" s="115"/>
      <c r="W300" s="115"/>
      <c r="X300" s="115"/>
    </row>
    <row r="301">
      <c r="A301" s="79">
        <f t="shared" si="2"/>
        <v>300</v>
      </c>
      <c r="B301" s="80" t="str">
        <f t="shared" si="4"/>
        <v>C300</v>
      </c>
      <c r="C301" s="81" t="s">
        <v>1305</v>
      </c>
      <c r="D301" s="82" t="s">
        <v>1306</v>
      </c>
      <c r="E301" s="81" t="s">
        <v>58</v>
      </c>
      <c r="F301" s="81" t="s">
        <v>1243</v>
      </c>
      <c r="G301" s="81" t="s">
        <v>96</v>
      </c>
      <c r="H301" s="85" t="str">
        <f t="shared" si="15"/>
        <v>C282</v>
      </c>
      <c r="I301" s="161" t="s">
        <v>1307</v>
      </c>
      <c r="J301" s="145" t="s">
        <v>31</v>
      </c>
      <c r="K301" s="82" t="s">
        <v>1308</v>
      </c>
      <c r="L301" s="115"/>
      <c r="M301" s="115"/>
      <c r="N301" s="115"/>
      <c r="O301" s="115"/>
      <c r="P301" s="115"/>
      <c r="Q301" s="115"/>
      <c r="R301" s="115"/>
      <c r="S301" s="115"/>
      <c r="T301" s="115"/>
      <c r="U301" s="115"/>
      <c r="V301" s="115"/>
      <c r="W301" s="115"/>
      <c r="X301" s="115"/>
    </row>
    <row r="302">
      <c r="A302" s="79">
        <f t="shared" si="2"/>
        <v>301</v>
      </c>
      <c r="B302" s="80" t="str">
        <f t="shared" si="4"/>
        <v>C301</v>
      </c>
      <c r="C302" s="81" t="s">
        <v>1309</v>
      </c>
      <c r="D302" s="82" t="s">
        <v>1310</v>
      </c>
      <c r="E302" s="81" t="s">
        <v>58</v>
      </c>
      <c r="F302" s="81" t="s">
        <v>1246</v>
      </c>
      <c r="G302" s="81" t="s">
        <v>96</v>
      </c>
      <c r="H302" s="85" t="str">
        <f t="shared" si="15"/>
        <v>C282</v>
      </c>
      <c r="I302" s="82" t="s">
        <v>1311</v>
      </c>
      <c r="J302" s="145" t="s">
        <v>31</v>
      </c>
      <c r="K302" s="82" t="s">
        <v>1308</v>
      </c>
      <c r="L302" s="115"/>
      <c r="M302" s="115"/>
      <c r="N302" s="115"/>
      <c r="O302" s="115"/>
      <c r="P302" s="115"/>
      <c r="Q302" s="115"/>
      <c r="R302" s="115"/>
      <c r="S302" s="115"/>
      <c r="T302" s="115"/>
      <c r="U302" s="115"/>
      <c r="V302" s="115"/>
      <c r="W302" s="115"/>
      <c r="X302" s="115"/>
    </row>
    <row r="303">
      <c r="A303" s="157">
        <f t="shared" si="2"/>
        <v>302</v>
      </c>
      <c r="B303" s="143" t="str">
        <f t="shared" si="4"/>
        <v>C302</v>
      </c>
      <c r="C303" s="158" t="s">
        <v>1312</v>
      </c>
      <c r="D303" s="88" t="s">
        <v>1313</v>
      </c>
      <c r="E303" s="158" t="s">
        <v>30</v>
      </c>
      <c r="F303" s="158" t="s">
        <v>35</v>
      </c>
      <c r="G303" s="162">
        <v>45658.0</v>
      </c>
      <c r="H303" s="148" t="str">
        <f>B$268</f>
        <v>C267</v>
      </c>
      <c r="I303" s="88"/>
      <c r="J303" s="145" t="s">
        <v>414</v>
      </c>
      <c r="K303" s="101"/>
      <c r="L303" s="115"/>
      <c r="M303" s="115"/>
      <c r="N303" s="115"/>
      <c r="O303" s="115"/>
      <c r="P303" s="115"/>
      <c r="Q303" s="115"/>
      <c r="R303" s="115"/>
      <c r="S303" s="115"/>
      <c r="T303" s="115"/>
      <c r="U303" s="115"/>
      <c r="V303" s="115"/>
      <c r="W303" s="115"/>
      <c r="X303" s="115"/>
    </row>
    <row r="304">
      <c r="A304" s="79">
        <f t="shared" si="2"/>
        <v>303</v>
      </c>
      <c r="B304" s="80" t="str">
        <f t="shared" si="4"/>
        <v>C303</v>
      </c>
      <c r="C304" s="81" t="s">
        <v>1268</v>
      </c>
      <c r="D304" s="82" t="s">
        <v>1314</v>
      </c>
      <c r="E304" s="81" t="s">
        <v>58</v>
      </c>
      <c r="F304" s="81" t="s">
        <v>1246</v>
      </c>
      <c r="G304" s="81" t="s">
        <v>96</v>
      </c>
      <c r="H304" s="85" t="str">
        <f t="shared" ref="H304:H315" si="16">B$303</f>
        <v>C302</v>
      </c>
      <c r="I304" s="88" t="s">
        <v>418</v>
      </c>
      <c r="J304" s="89" t="s">
        <v>414</v>
      </c>
      <c r="K304" s="101"/>
      <c r="L304" s="86"/>
      <c r="M304" s="86"/>
      <c r="N304" s="86"/>
      <c r="O304" s="86"/>
      <c r="P304" s="86"/>
      <c r="Q304" s="86"/>
      <c r="R304" s="86"/>
      <c r="S304" s="86"/>
      <c r="T304" s="86"/>
      <c r="U304" s="86"/>
      <c r="V304" s="86"/>
      <c r="W304" s="86"/>
      <c r="X304" s="86"/>
    </row>
    <row r="305">
      <c r="A305" s="79">
        <f t="shared" si="2"/>
        <v>304</v>
      </c>
      <c r="B305" s="80" t="str">
        <f t="shared" si="4"/>
        <v>C304</v>
      </c>
      <c r="C305" s="81" t="s">
        <v>1266</v>
      </c>
      <c r="D305" s="82" t="s">
        <v>1315</v>
      </c>
      <c r="E305" s="81" t="s">
        <v>58</v>
      </c>
      <c r="F305" s="150" t="s">
        <v>1243</v>
      </c>
      <c r="G305" s="81" t="s">
        <v>96</v>
      </c>
      <c r="H305" s="85" t="str">
        <f t="shared" si="16"/>
        <v>C302</v>
      </c>
      <c r="I305" s="88" t="s">
        <v>418</v>
      </c>
      <c r="J305" s="89" t="s">
        <v>414</v>
      </c>
      <c r="K305" s="101"/>
      <c r="L305" s="86"/>
      <c r="M305" s="86"/>
      <c r="N305" s="86"/>
      <c r="O305" s="86"/>
      <c r="P305" s="86"/>
      <c r="Q305" s="86"/>
      <c r="R305" s="86"/>
      <c r="S305" s="86"/>
      <c r="T305" s="86"/>
      <c r="U305" s="86"/>
      <c r="V305" s="86"/>
      <c r="W305" s="86"/>
      <c r="X305" s="86"/>
    </row>
    <row r="306">
      <c r="A306" s="79">
        <f t="shared" si="2"/>
        <v>305</v>
      </c>
      <c r="B306" s="80" t="str">
        <f t="shared" si="4"/>
        <v>C305</v>
      </c>
      <c r="C306" s="81" t="s">
        <v>1316</v>
      </c>
      <c r="D306" s="82" t="s">
        <v>1317</v>
      </c>
      <c r="E306" s="81" t="s">
        <v>58</v>
      </c>
      <c r="F306" s="81" t="s">
        <v>1246</v>
      </c>
      <c r="G306" s="81" t="s">
        <v>96</v>
      </c>
      <c r="H306" s="85" t="str">
        <f t="shared" si="16"/>
        <v>C302</v>
      </c>
      <c r="I306" s="88" t="s">
        <v>418</v>
      </c>
      <c r="J306" s="89" t="s">
        <v>414</v>
      </c>
      <c r="K306" s="101"/>
      <c r="L306" s="86"/>
      <c r="M306" s="86"/>
      <c r="N306" s="86"/>
      <c r="O306" s="86"/>
      <c r="P306" s="86"/>
      <c r="Q306" s="86"/>
      <c r="R306" s="86"/>
      <c r="S306" s="86"/>
      <c r="T306" s="86"/>
      <c r="U306" s="86"/>
      <c r="V306" s="86"/>
      <c r="W306" s="86"/>
      <c r="X306" s="86"/>
    </row>
    <row r="307">
      <c r="A307" s="79">
        <f t="shared" si="2"/>
        <v>306</v>
      </c>
      <c r="B307" s="80" t="str">
        <f t="shared" si="4"/>
        <v>C306</v>
      </c>
      <c r="C307" s="81" t="s">
        <v>1318</v>
      </c>
      <c r="D307" s="82" t="s">
        <v>1319</v>
      </c>
      <c r="E307" s="81" t="s">
        <v>58</v>
      </c>
      <c r="F307" s="150" t="s">
        <v>1243</v>
      </c>
      <c r="G307" s="81" t="s">
        <v>96</v>
      </c>
      <c r="H307" s="85" t="str">
        <f t="shared" si="16"/>
        <v>C302</v>
      </c>
      <c r="I307" s="88" t="s">
        <v>418</v>
      </c>
      <c r="J307" s="89" t="s">
        <v>414</v>
      </c>
      <c r="K307" s="101"/>
      <c r="L307" s="86"/>
      <c r="M307" s="86"/>
      <c r="N307" s="86"/>
      <c r="O307" s="86"/>
      <c r="P307" s="86"/>
      <c r="Q307" s="86"/>
      <c r="R307" s="86"/>
      <c r="S307" s="86"/>
      <c r="T307" s="86"/>
      <c r="U307" s="86"/>
      <c r="V307" s="86"/>
      <c r="W307" s="86"/>
      <c r="X307" s="86"/>
    </row>
    <row r="308">
      <c r="A308" s="79">
        <f t="shared" si="2"/>
        <v>307</v>
      </c>
      <c r="B308" s="80" t="str">
        <f t="shared" si="4"/>
        <v>C307</v>
      </c>
      <c r="C308" s="81" t="s">
        <v>1320</v>
      </c>
      <c r="D308" s="82" t="s">
        <v>1321</v>
      </c>
      <c r="E308" s="81" t="s">
        <v>58</v>
      </c>
      <c r="F308" s="81" t="s">
        <v>1246</v>
      </c>
      <c r="G308" s="81" t="s">
        <v>96</v>
      </c>
      <c r="H308" s="85" t="str">
        <f t="shared" si="16"/>
        <v>C302</v>
      </c>
      <c r="I308" s="88" t="s">
        <v>418</v>
      </c>
      <c r="J308" s="89" t="s">
        <v>414</v>
      </c>
      <c r="K308" s="101"/>
      <c r="L308" s="86"/>
      <c r="M308" s="86"/>
      <c r="N308" s="86"/>
      <c r="O308" s="86"/>
      <c r="P308" s="86"/>
      <c r="Q308" s="86"/>
      <c r="R308" s="86"/>
      <c r="S308" s="86"/>
      <c r="T308" s="86"/>
      <c r="U308" s="86"/>
      <c r="V308" s="86"/>
      <c r="W308" s="86"/>
      <c r="X308" s="86"/>
    </row>
    <row r="309">
      <c r="A309" s="79">
        <f t="shared" si="2"/>
        <v>308</v>
      </c>
      <c r="B309" s="80" t="str">
        <f t="shared" si="4"/>
        <v>C308</v>
      </c>
      <c r="C309" s="81" t="s">
        <v>1322</v>
      </c>
      <c r="D309" s="82" t="s">
        <v>1323</v>
      </c>
      <c r="E309" s="81" t="s">
        <v>58</v>
      </c>
      <c r="F309" s="81" t="s">
        <v>1036</v>
      </c>
      <c r="G309" s="156">
        <v>45658.0</v>
      </c>
      <c r="H309" s="85" t="str">
        <f t="shared" si="16"/>
        <v>C302</v>
      </c>
      <c r="I309" s="88" t="s">
        <v>418</v>
      </c>
      <c r="J309" s="89" t="s">
        <v>414</v>
      </c>
      <c r="K309" s="101"/>
      <c r="L309" s="86"/>
      <c r="M309" s="86"/>
      <c r="N309" s="86"/>
      <c r="O309" s="86"/>
      <c r="P309" s="86"/>
      <c r="Q309" s="86"/>
      <c r="R309" s="86"/>
      <c r="S309" s="86"/>
      <c r="T309" s="86"/>
      <c r="U309" s="86"/>
      <c r="V309" s="86"/>
      <c r="W309" s="86"/>
      <c r="X309" s="86"/>
    </row>
    <row r="310">
      <c r="A310" s="79">
        <f t="shared" si="2"/>
        <v>309</v>
      </c>
      <c r="B310" s="80" t="str">
        <f t="shared" si="4"/>
        <v>C309</v>
      </c>
      <c r="C310" s="81" t="s">
        <v>1324</v>
      </c>
      <c r="D310" s="82" t="s">
        <v>1325</v>
      </c>
      <c r="E310" s="81" t="s">
        <v>58</v>
      </c>
      <c r="F310" s="150" t="s">
        <v>1243</v>
      </c>
      <c r="G310" s="81" t="s">
        <v>96</v>
      </c>
      <c r="H310" s="85" t="str">
        <f t="shared" si="16"/>
        <v>C302</v>
      </c>
      <c r="I310" s="88" t="s">
        <v>418</v>
      </c>
      <c r="J310" s="89" t="s">
        <v>414</v>
      </c>
      <c r="K310" s="101"/>
      <c r="L310" s="86"/>
      <c r="M310" s="86"/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</row>
    <row r="311">
      <c r="A311" s="79">
        <f t="shared" si="2"/>
        <v>310</v>
      </c>
      <c r="B311" s="80" t="str">
        <f t="shared" si="4"/>
        <v>C310</v>
      </c>
      <c r="C311" s="81" t="s">
        <v>1326</v>
      </c>
      <c r="D311" s="82" t="s">
        <v>1327</v>
      </c>
      <c r="E311" s="81" t="s">
        <v>58</v>
      </c>
      <c r="F311" s="150" t="s">
        <v>1243</v>
      </c>
      <c r="G311" s="81" t="s">
        <v>96</v>
      </c>
      <c r="H311" s="85" t="str">
        <f t="shared" si="16"/>
        <v>C302</v>
      </c>
      <c r="I311" s="88" t="s">
        <v>418</v>
      </c>
      <c r="J311" s="89" t="s">
        <v>414</v>
      </c>
      <c r="K311" s="101"/>
      <c r="L311" s="86"/>
      <c r="M311" s="86"/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</row>
    <row r="312">
      <c r="A312" s="79">
        <f t="shared" si="2"/>
        <v>311</v>
      </c>
      <c r="B312" s="80" t="str">
        <f t="shared" si="4"/>
        <v>C311</v>
      </c>
      <c r="C312" s="163" t="s">
        <v>1328</v>
      </c>
      <c r="D312" s="164" t="s">
        <v>1329</v>
      </c>
      <c r="E312" s="165" t="s">
        <v>58</v>
      </c>
      <c r="F312" s="163" t="s">
        <v>1246</v>
      </c>
      <c r="G312" s="165" t="s">
        <v>96</v>
      </c>
      <c r="H312" s="166" t="str">
        <f t="shared" si="16"/>
        <v>C302</v>
      </c>
      <c r="I312" s="88" t="s">
        <v>418</v>
      </c>
      <c r="J312" s="167" t="s">
        <v>22</v>
      </c>
      <c r="K312" s="168"/>
      <c r="L312" s="169"/>
      <c r="M312" s="169"/>
      <c r="N312" s="169"/>
      <c r="O312" s="169"/>
      <c r="P312" s="169"/>
      <c r="Q312" s="169"/>
      <c r="R312" s="169"/>
      <c r="S312" s="169"/>
      <c r="T312" s="169"/>
      <c r="U312" s="169"/>
      <c r="V312" s="169"/>
      <c r="W312" s="169"/>
      <c r="X312" s="169"/>
    </row>
    <row r="313">
      <c r="A313" s="79">
        <f t="shared" si="2"/>
        <v>312</v>
      </c>
      <c r="B313" s="80" t="str">
        <f t="shared" si="4"/>
        <v>C312</v>
      </c>
      <c r="C313" s="81" t="s">
        <v>1330</v>
      </c>
      <c r="D313" s="82" t="s">
        <v>1331</v>
      </c>
      <c r="E313" s="81" t="s">
        <v>58</v>
      </c>
      <c r="F313" s="81" t="s">
        <v>1246</v>
      </c>
      <c r="G313" s="81" t="s">
        <v>96</v>
      </c>
      <c r="H313" s="170" t="str">
        <f t="shared" si="16"/>
        <v>C302</v>
      </c>
      <c r="I313" s="161" t="s">
        <v>1332</v>
      </c>
      <c r="J313" s="145"/>
      <c r="K313" s="101"/>
      <c r="L313" s="115"/>
      <c r="M313" s="115"/>
      <c r="N313" s="115"/>
      <c r="O313" s="115"/>
      <c r="P313" s="115"/>
      <c r="Q313" s="115"/>
      <c r="R313" s="115"/>
      <c r="S313" s="115"/>
      <c r="T313" s="115"/>
      <c r="U313" s="115"/>
      <c r="V313" s="115"/>
      <c r="W313" s="115"/>
      <c r="X313" s="115"/>
    </row>
    <row r="314">
      <c r="A314" s="79">
        <f t="shared" si="2"/>
        <v>313</v>
      </c>
      <c r="B314" s="80" t="str">
        <f t="shared" si="4"/>
        <v>C313</v>
      </c>
      <c r="C314" s="81" t="s">
        <v>1333</v>
      </c>
      <c r="D314" s="82" t="s">
        <v>1334</v>
      </c>
      <c r="E314" s="81" t="s">
        <v>58</v>
      </c>
      <c r="F314" s="81" t="s">
        <v>1243</v>
      </c>
      <c r="G314" s="81" t="s">
        <v>96</v>
      </c>
      <c r="H314" s="170" t="str">
        <f t="shared" si="16"/>
        <v>C302</v>
      </c>
      <c r="I314" s="161" t="s">
        <v>1335</v>
      </c>
      <c r="J314" s="145" t="s">
        <v>31</v>
      </c>
      <c r="K314" s="82" t="s">
        <v>1336</v>
      </c>
      <c r="L314" s="115"/>
      <c r="M314" s="115"/>
      <c r="N314" s="115"/>
      <c r="O314" s="115"/>
      <c r="P314" s="115"/>
      <c r="Q314" s="115"/>
      <c r="R314" s="115"/>
      <c r="S314" s="115"/>
      <c r="T314" s="115"/>
      <c r="U314" s="115"/>
      <c r="V314" s="115"/>
      <c r="W314" s="115"/>
      <c r="X314" s="115"/>
    </row>
    <row r="315">
      <c r="A315" s="79">
        <f t="shared" si="2"/>
        <v>314</v>
      </c>
      <c r="B315" s="80" t="str">
        <f t="shared" si="4"/>
        <v>C314</v>
      </c>
      <c r="C315" s="81" t="s">
        <v>1337</v>
      </c>
      <c r="D315" s="82" t="s">
        <v>1338</v>
      </c>
      <c r="E315" s="81" t="s">
        <v>58</v>
      </c>
      <c r="F315" s="81" t="s">
        <v>1246</v>
      </c>
      <c r="G315" s="81" t="s">
        <v>96</v>
      </c>
      <c r="H315" s="170" t="str">
        <f t="shared" si="16"/>
        <v>C302</v>
      </c>
      <c r="I315" s="82" t="s">
        <v>1339</v>
      </c>
      <c r="J315" s="145" t="s">
        <v>31</v>
      </c>
      <c r="K315" s="82" t="s">
        <v>1336</v>
      </c>
      <c r="L315" s="115"/>
      <c r="M315" s="115"/>
      <c r="N315" s="115"/>
      <c r="O315" s="115"/>
      <c r="P315" s="115"/>
      <c r="Q315" s="115"/>
      <c r="R315" s="115"/>
      <c r="S315" s="115"/>
      <c r="T315" s="115"/>
      <c r="U315" s="115"/>
      <c r="V315" s="115"/>
      <c r="W315" s="115"/>
      <c r="X315" s="115"/>
    </row>
    <row r="316">
      <c r="A316" s="79">
        <f t="shared" si="2"/>
        <v>315</v>
      </c>
      <c r="B316" s="80" t="str">
        <f t="shared" si="4"/>
        <v>C315</v>
      </c>
      <c r="C316" s="81" t="s">
        <v>1340</v>
      </c>
      <c r="D316" s="82" t="s">
        <v>1341</v>
      </c>
      <c r="E316" s="81" t="s">
        <v>58</v>
      </c>
      <c r="F316" s="81" t="s">
        <v>1246</v>
      </c>
      <c r="G316" s="81" t="s">
        <v>96</v>
      </c>
      <c r="H316" s="85" t="str">
        <f t="shared" ref="H316:H317" si="17">B$268</f>
        <v>C267</v>
      </c>
      <c r="I316" s="82" t="s">
        <v>1342</v>
      </c>
      <c r="J316" s="89" t="s">
        <v>414</v>
      </c>
      <c r="K316" s="101"/>
      <c r="L316" s="86"/>
      <c r="M316" s="86"/>
      <c r="N316" s="86"/>
      <c r="O316" s="86"/>
      <c r="P316" s="86"/>
      <c r="Q316" s="86"/>
      <c r="R316" s="86"/>
      <c r="S316" s="86"/>
      <c r="T316" s="86"/>
      <c r="U316" s="86"/>
      <c r="V316" s="86"/>
      <c r="W316" s="86"/>
      <c r="X316" s="86"/>
    </row>
    <row r="317">
      <c r="A317" s="79">
        <f t="shared" si="2"/>
        <v>316</v>
      </c>
      <c r="B317" s="80" t="str">
        <f t="shared" si="4"/>
        <v>C316</v>
      </c>
      <c r="C317" s="81" t="s">
        <v>1343</v>
      </c>
      <c r="D317" s="82" t="s">
        <v>1344</v>
      </c>
      <c r="E317" s="81" t="s">
        <v>58</v>
      </c>
      <c r="F317" s="81" t="s">
        <v>1246</v>
      </c>
      <c r="G317" s="81" t="s">
        <v>96</v>
      </c>
      <c r="H317" s="85" t="str">
        <f t="shared" si="17"/>
        <v>C267</v>
      </c>
      <c r="I317" s="88" t="s">
        <v>1345</v>
      </c>
      <c r="J317" s="89" t="s">
        <v>414</v>
      </c>
      <c r="K317" s="101"/>
      <c r="L317" s="86"/>
      <c r="M317" s="86"/>
      <c r="N317" s="86"/>
      <c r="O317" s="86"/>
      <c r="P317" s="86"/>
      <c r="Q317" s="86"/>
      <c r="R317" s="86"/>
      <c r="S317" s="86"/>
      <c r="T317" s="86"/>
      <c r="U317" s="86"/>
      <c r="V317" s="86"/>
      <c r="W317" s="86"/>
      <c r="X317" s="86"/>
    </row>
    <row r="318">
      <c r="A318" s="91">
        <f t="shared" si="2"/>
        <v>317</v>
      </c>
      <c r="B318" s="92" t="str">
        <f t="shared" si="4"/>
        <v>C317</v>
      </c>
      <c r="C318" s="93" t="s">
        <v>1346</v>
      </c>
      <c r="D318" s="171" t="s">
        <v>1347</v>
      </c>
      <c r="E318" s="172" t="s">
        <v>58</v>
      </c>
      <c r="F318" s="172" t="s">
        <v>1246</v>
      </c>
      <c r="G318" s="172" t="s">
        <v>96</v>
      </c>
      <c r="H318" s="173" t="str">
        <f>B$263</f>
        <v>C262</v>
      </c>
      <c r="I318" s="174" t="s">
        <v>418</v>
      </c>
      <c r="J318" s="175" t="s">
        <v>414</v>
      </c>
      <c r="K318" s="176"/>
      <c r="L318" s="100"/>
      <c r="M318" s="100"/>
      <c r="N318" s="100"/>
      <c r="O318" s="100"/>
      <c r="P318" s="100"/>
      <c r="Q318" s="100"/>
      <c r="R318" s="100"/>
      <c r="S318" s="100"/>
      <c r="T318" s="100"/>
      <c r="U318" s="100"/>
      <c r="V318" s="100"/>
      <c r="W318" s="100"/>
      <c r="X318" s="100"/>
    </row>
    <row r="319">
      <c r="A319" s="79">
        <f t="shared" si="2"/>
        <v>318</v>
      </c>
      <c r="B319" s="80" t="str">
        <f t="shared" si="4"/>
        <v>C318</v>
      </c>
      <c r="C319" s="81" t="s">
        <v>1348</v>
      </c>
      <c r="D319" s="82" t="s">
        <v>1349</v>
      </c>
      <c r="E319" s="81" t="s">
        <v>58</v>
      </c>
      <c r="F319" s="81" t="s">
        <v>1246</v>
      </c>
      <c r="G319" s="81" t="s">
        <v>96</v>
      </c>
      <c r="H319" s="85" t="str">
        <f t="shared" ref="H319:H329" si="18">B$268</f>
        <v>C267</v>
      </c>
      <c r="I319" s="82" t="s">
        <v>1350</v>
      </c>
      <c r="J319" s="89" t="s">
        <v>31</v>
      </c>
      <c r="K319" s="101"/>
      <c r="L319" s="86"/>
      <c r="M319" s="86"/>
      <c r="N319" s="86"/>
      <c r="O319" s="86"/>
      <c r="P319" s="86"/>
      <c r="Q319" s="86"/>
      <c r="R319" s="86"/>
      <c r="S319" s="86"/>
      <c r="T319" s="86"/>
      <c r="U319" s="86"/>
      <c r="V319" s="86"/>
      <c r="W319" s="86"/>
      <c r="X319" s="86"/>
    </row>
    <row r="320">
      <c r="A320" s="79">
        <f t="shared" si="2"/>
        <v>319</v>
      </c>
      <c r="B320" s="80" t="str">
        <f t="shared" si="4"/>
        <v>C319</v>
      </c>
      <c r="C320" s="81" t="s">
        <v>1351</v>
      </c>
      <c r="D320" s="82" t="s">
        <v>1352</v>
      </c>
      <c r="E320" s="81" t="s">
        <v>58</v>
      </c>
      <c r="F320" s="81" t="s">
        <v>1246</v>
      </c>
      <c r="G320" s="81" t="s">
        <v>96</v>
      </c>
      <c r="H320" s="85" t="str">
        <f t="shared" si="18"/>
        <v>C267</v>
      </c>
      <c r="I320" s="88" t="s">
        <v>1353</v>
      </c>
      <c r="J320" s="89" t="s">
        <v>31</v>
      </c>
      <c r="K320" s="101"/>
      <c r="L320" s="86"/>
      <c r="M320" s="86"/>
      <c r="N320" s="86"/>
      <c r="O320" s="86"/>
      <c r="P320" s="86"/>
      <c r="Q320" s="86"/>
      <c r="R320" s="86"/>
      <c r="S320" s="86"/>
      <c r="T320" s="86"/>
      <c r="U320" s="86"/>
      <c r="V320" s="86"/>
      <c r="W320" s="86"/>
      <c r="X320" s="86"/>
    </row>
    <row r="321">
      <c r="A321" s="79">
        <f t="shared" si="2"/>
        <v>320</v>
      </c>
      <c r="B321" s="80" t="str">
        <f t="shared" si="4"/>
        <v>C320</v>
      </c>
      <c r="C321" s="81" t="s">
        <v>1354</v>
      </c>
      <c r="D321" s="82" t="s">
        <v>1355</v>
      </c>
      <c r="E321" s="81" t="s">
        <v>58</v>
      </c>
      <c r="F321" s="81" t="s">
        <v>1243</v>
      </c>
      <c r="G321" s="81" t="s">
        <v>96</v>
      </c>
      <c r="H321" s="170" t="str">
        <f t="shared" si="18"/>
        <v>C267</v>
      </c>
      <c r="I321" s="88" t="s">
        <v>418</v>
      </c>
      <c r="J321" s="87"/>
      <c r="K321" s="101"/>
      <c r="L321" s="115"/>
      <c r="M321" s="115"/>
      <c r="N321" s="115"/>
      <c r="O321" s="115"/>
      <c r="P321" s="115"/>
      <c r="Q321" s="115"/>
      <c r="R321" s="115"/>
      <c r="S321" s="115"/>
      <c r="T321" s="115"/>
      <c r="U321" s="115"/>
      <c r="V321" s="115"/>
      <c r="W321" s="115"/>
      <c r="X321" s="115"/>
    </row>
    <row r="322">
      <c r="A322" s="79">
        <f t="shared" si="2"/>
        <v>321</v>
      </c>
      <c r="B322" s="80" t="str">
        <f t="shared" si="4"/>
        <v>C321</v>
      </c>
      <c r="C322" s="81" t="s">
        <v>1356</v>
      </c>
      <c r="D322" s="82" t="s">
        <v>1357</v>
      </c>
      <c r="E322" s="81" t="s">
        <v>58</v>
      </c>
      <c r="F322" s="81" t="s">
        <v>1246</v>
      </c>
      <c r="G322" s="81" t="s">
        <v>96</v>
      </c>
      <c r="H322" s="170" t="str">
        <f t="shared" si="18"/>
        <v>C267</v>
      </c>
      <c r="I322" s="88" t="s">
        <v>418</v>
      </c>
      <c r="J322" s="87"/>
      <c r="K322" s="101"/>
      <c r="L322" s="115"/>
      <c r="M322" s="115"/>
      <c r="N322" s="115"/>
      <c r="O322" s="115"/>
      <c r="P322" s="115"/>
      <c r="Q322" s="115"/>
      <c r="R322" s="115"/>
      <c r="S322" s="115"/>
      <c r="T322" s="115"/>
      <c r="U322" s="115"/>
      <c r="V322" s="115"/>
      <c r="W322" s="115"/>
      <c r="X322" s="115"/>
    </row>
    <row r="323">
      <c r="A323" s="79">
        <f t="shared" si="2"/>
        <v>322</v>
      </c>
      <c r="B323" s="80" t="str">
        <f t="shared" si="4"/>
        <v>C322</v>
      </c>
      <c r="C323" s="81" t="s">
        <v>1358</v>
      </c>
      <c r="D323" s="82" t="s">
        <v>1359</v>
      </c>
      <c r="E323" s="81" t="s">
        <v>58</v>
      </c>
      <c r="F323" s="81" t="s">
        <v>1246</v>
      </c>
      <c r="G323" s="81" t="s">
        <v>96</v>
      </c>
      <c r="H323" s="170" t="str">
        <f t="shared" si="18"/>
        <v>C267</v>
      </c>
      <c r="I323" s="161" t="s">
        <v>1360</v>
      </c>
      <c r="J323" s="89" t="s">
        <v>31</v>
      </c>
      <c r="K323" s="82" t="s">
        <v>1361</v>
      </c>
      <c r="L323" s="115"/>
      <c r="M323" s="115"/>
      <c r="N323" s="115"/>
      <c r="O323" s="115"/>
      <c r="P323" s="115"/>
      <c r="Q323" s="115"/>
      <c r="R323" s="115"/>
      <c r="S323" s="115"/>
      <c r="T323" s="115"/>
      <c r="U323" s="115"/>
      <c r="V323" s="115"/>
      <c r="W323" s="115"/>
      <c r="X323" s="115"/>
    </row>
    <row r="324">
      <c r="A324" s="79">
        <f t="shared" si="2"/>
        <v>323</v>
      </c>
      <c r="B324" s="80" t="str">
        <f t="shared" si="4"/>
        <v>C323</v>
      </c>
      <c r="C324" s="81" t="s">
        <v>1362</v>
      </c>
      <c r="D324" s="82" t="s">
        <v>1363</v>
      </c>
      <c r="E324" s="81" t="s">
        <v>58</v>
      </c>
      <c r="F324" s="81" t="s">
        <v>1243</v>
      </c>
      <c r="G324" s="81" t="s">
        <v>96</v>
      </c>
      <c r="H324" s="85" t="str">
        <f t="shared" si="18"/>
        <v>C267</v>
      </c>
      <c r="I324" s="88" t="s">
        <v>418</v>
      </c>
      <c r="J324" s="89" t="s">
        <v>414</v>
      </c>
      <c r="K324" s="101"/>
      <c r="L324" s="86"/>
      <c r="M324" s="86"/>
      <c r="N324" s="86"/>
      <c r="O324" s="86"/>
      <c r="P324" s="86"/>
      <c r="Q324" s="86"/>
      <c r="R324" s="86"/>
      <c r="S324" s="86"/>
      <c r="T324" s="86"/>
      <c r="U324" s="86"/>
      <c r="V324" s="86"/>
      <c r="W324" s="86"/>
      <c r="X324" s="86"/>
    </row>
    <row r="325">
      <c r="A325" s="79">
        <f t="shared" si="2"/>
        <v>324</v>
      </c>
      <c r="B325" s="80" t="str">
        <f t="shared" si="4"/>
        <v>C324</v>
      </c>
      <c r="C325" s="177" t="s">
        <v>1364</v>
      </c>
      <c r="D325" s="178" t="s">
        <v>1365</v>
      </c>
      <c r="E325" s="177" t="s">
        <v>58</v>
      </c>
      <c r="F325" s="177" t="s">
        <v>1246</v>
      </c>
      <c r="G325" s="177" t="s">
        <v>96</v>
      </c>
      <c r="H325" s="170" t="str">
        <f t="shared" si="18"/>
        <v>C267</v>
      </c>
      <c r="I325" s="151" t="s">
        <v>1366</v>
      </c>
      <c r="J325" s="151" t="s">
        <v>15</v>
      </c>
      <c r="K325" s="179"/>
      <c r="L325" s="180"/>
      <c r="M325" s="180"/>
      <c r="N325" s="180"/>
      <c r="O325" s="180"/>
      <c r="P325" s="180"/>
      <c r="Q325" s="180"/>
      <c r="R325" s="180"/>
      <c r="S325" s="180"/>
      <c r="T325" s="180"/>
      <c r="U325" s="180"/>
      <c r="V325" s="180"/>
      <c r="W325" s="180"/>
      <c r="X325" s="180"/>
    </row>
    <row r="326">
      <c r="A326" s="79">
        <f t="shared" si="2"/>
        <v>325</v>
      </c>
      <c r="B326" s="80" t="str">
        <f t="shared" si="4"/>
        <v>C325</v>
      </c>
      <c r="C326" s="177" t="s">
        <v>1367</v>
      </c>
      <c r="D326" s="178" t="s">
        <v>1368</v>
      </c>
      <c r="E326" s="177" t="s">
        <v>58</v>
      </c>
      <c r="F326" s="177" t="s">
        <v>1246</v>
      </c>
      <c r="G326" s="177" t="s">
        <v>96</v>
      </c>
      <c r="H326" s="170" t="str">
        <f t="shared" si="18"/>
        <v>C267</v>
      </c>
      <c r="I326" s="151" t="s">
        <v>1369</v>
      </c>
      <c r="J326" s="151" t="s">
        <v>15</v>
      </c>
      <c r="K326" s="181"/>
      <c r="L326" s="180"/>
      <c r="M326" s="180"/>
      <c r="N326" s="180"/>
      <c r="O326" s="180"/>
      <c r="P326" s="180"/>
      <c r="Q326" s="180"/>
      <c r="R326" s="180"/>
      <c r="S326" s="180"/>
      <c r="T326" s="180"/>
      <c r="U326" s="180"/>
      <c r="V326" s="180"/>
      <c r="W326" s="180"/>
      <c r="X326" s="180"/>
    </row>
    <row r="327">
      <c r="A327" s="79">
        <f t="shared" si="2"/>
        <v>326</v>
      </c>
      <c r="B327" s="80" t="str">
        <f t="shared" si="4"/>
        <v>C326</v>
      </c>
      <c r="C327" s="177" t="s">
        <v>1370</v>
      </c>
      <c r="D327" s="178" t="s">
        <v>1371</v>
      </c>
      <c r="E327" s="177" t="s">
        <v>58</v>
      </c>
      <c r="F327" s="177" t="s">
        <v>1246</v>
      </c>
      <c r="G327" s="177" t="s">
        <v>96</v>
      </c>
      <c r="H327" s="170" t="str">
        <f t="shared" si="18"/>
        <v>C267</v>
      </c>
      <c r="I327" s="151" t="s">
        <v>1372</v>
      </c>
      <c r="J327" s="151" t="s">
        <v>15</v>
      </c>
      <c r="K327" s="181"/>
      <c r="L327" s="180"/>
      <c r="M327" s="180"/>
      <c r="N327" s="180"/>
      <c r="O327" s="180"/>
      <c r="P327" s="180"/>
      <c r="Q327" s="180"/>
      <c r="R327" s="180"/>
      <c r="S327" s="180"/>
      <c r="T327" s="180"/>
      <c r="U327" s="180"/>
      <c r="V327" s="180"/>
      <c r="W327" s="180"/>
      <c r="X327" s="180"/>
    </row>
    <row r="328">
      <c r="A328" s="79">
        <f t="shared" si="2"/>
        <v>327</v>
      </c>
      <c r="B328" s="80" t="str">
        <f t="shared" si="4"/>
        <v>C327</v>
      </c>
      <c r="C328" s="177" t="s">
        <v>1373</v>
      </c>
      <c r="D328" s="178" t="s">
        <v>1374</v>
      </c>
      <c r="E328" s="177" t="s">
        <v>58</v>
      </c>
      <c r="F328" s="177" t="s">
        <v>1246</v>
      </c>
      <c r="G328" s="177" t="s">
        <v>96</v>
      </c>
      <c r="H328" s="170" t="str">
        <f t="shared" si="18"/>
        <v>C267</v>
      </c>
      <c r="I328" s="151" t="s">
        <v>1375</v>
      </c>
      <c r="J328" s="151" t="s">
        <v>15</v>
      </c>
      <c r="K328" s="181"/>
      <c r="L328" s="180"/>
      <c r="M328" s="180"/>
      <c r="N328" s="180"/>
      <c r="O328" s="180"/>
      <c r="P328" s="180"/>
      <c r="Q328" s="180"/>
      <c r="R328" s="180"/>
      <c r="S328" s="180"/>
      <c r="T328" s="180"/>
      <c r="U328" s="180"/>
      <c r="V328" s="180"/>
      <c r="W328" s="180"/>
      <c r="X328" s="180"/>
    </row>
    <row r="329">
      <c r="A329" s="79">
        <f t="shared" si="2"/>
        <v>328</v>
      </c>
      <c r="B329" s="80" t="str">
        <f t="shared" si="4"/>
        <v>C328</v>
      </c>
      <c r="C329" s="177" t="s">
        <v>1376</v>
      </c>
      <c r="D329" s="178" t="s">
        <v>1377</v>
      </c>
      <c r="E329" s="177" t="s">
        <v>58</v>
      </c>
      <c r="F329" s="177" t="s">
        <v>1246</v>
      </c>
      <c r="G329" s="177" t="s">
        <v>96</v>
      </c>
      <c r="H329" s="170" t="str">
        <f t="shared" si="18"/>
        <v>C267</v>
      </c>
      <c r="I329" s="151" t="s">
        <v>1378</v>
      </c>
      <c r="J329" s="151" t="s">
        <v>15</v>
      </c>
      <c r="K329" s="181"/>
      <c r="L329" s="180"/>
      <c r="M329" s="180"/>
      <c r="N329" s="180"/>
      <c r="O329" s="180"/>
      <c r="P329" s="180"/>
      <c r="Q329" s="180"/>
      <c r="R329" s="180"/>
      <c r="S329" s="180"/>
      <c r="T329" s="180"/>
      <c r="U329" s="180"/>
      <c r="V329" s="180"/>
      <c r="W329" s="180"/>
      <c r="X329" s="180"/>
    </row>
    <row r="330">
      <c r="A330" s="132">
        <f t="shared" si="2"/>
        <v>329</v>
      </c>
      <c r="B330" s="133" t="str">
        <f t="shared" si="4"/>
        <v>C329</v>
      </c>
      <c r="C330" s="182" t="s">
        <v>1379</v>
      </c>
      <c r="D330" s="183" t="s">
        <v>1380</v>
      </c>
      <c r="E330" s="184" t="s">
        <v>58</v>
      </c>
      <c r="F330" s="185" t="s">
        <v>740</v>
      </c>
      <c r="G330" s="90" t="s">
        <v>96</v>
      </c>
      <c r="H330" s="137" t="s">
        <v>1381</v>
      </c>
      <c r="I330" s="186" t="s">
        <v>418</v>
      </c>
      <c r="J330" s="187" t="s">
        <v>36</v>
      </c>
      <c r="K330" s="188"/>
      <c r="L330" s="189"/>
      <c r="M330" s="189"/>
      <c r="N330" s="189"/>
      <c r="O330" s="189"/>
      <c r="P330" s="189"/>
      <c r="Q330" s="189"/>
      <c r="R330" s="189"/>
      <c r="S330" s="189"/>
      <c r="T330" s="189"/>
      <c r="U330" s="189"/>
      <c r="V330" s="189"/>
      <c r="W330" s="189"/>
      <c r="X330" s="189"/>
    </row>
    <row r="331">
      <c r="A331" s="59">
        <f t="shared" si="2"/>
        <v>330</v>
      </c>
      <c r="B331" s="190" t="str">
        <f t="shared" si="4"/>
        <v>C330</v>
      </c>
      <c r="C331" s="191" t="s">
        <v>1382</v>
      </c>
      <c r="D331" s="192" t="s">
        <v>1383</v>
      </c>
      <c r="E331" s="191" t="s">
        <v>30</v>
      </c>
      <c r="F331" s="191" t="s">
        <v>35</v>
      </c>
      <c r="G331" s="191" t="s">
        <v>96</v>
      </c>
      <c r="H331" s="105" t="str">
        <f>B$155</f>
        <v>C154</v>
      </c>
      <c r="I331" s="51"/>
      <c r="J331" s="58" t="s">
        <v>42</v>
      </c>
      <c r="K331" s="51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</row>
    <row r="332">
      <c r="A332" s="59">
        <f t="shared" si="2"/>
        <v>331</v>
      </c>
      <c r="B332" s="61" t="str">
        <f t="shared" si="4"/>
        <v>C331</v>
      </c>
      <c r="C332" s="63" t="s">
        <v>1384</v>
      </c>
      <c r="D332" s="58" t="s">
        <v>1385</v>
      </c>
      <c r="E332" s="63" t="s">
        <v>58</v>
      </c>
      <c r="F332" s="63" t="s">
        <v>951</v>
      </c>
      <c r="G332" s="117">
        <v>45658.0</v>
      </c>
      <c r="H332" s="102" t="str">
        <f t="shared" ref="H332:H340" si="19">B$331</f>
        <v>C330</v>
      </c>
      <c r="I332" s="58" t="s">
        <v>1386</v>
      </c>
      <c r="J332" s="58" t="s">
        <v>42</v>
      </c>
      <c r="K332" s="58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</row>
    <row r="333">
      <c r="A333" s="59">
        <f t="shared" si="2"/>
        <v>332</v>
      </c>
      <c r="B333" s="61" t="str">
        <f t="shared" si="4"/>
        <v>C332</v>
      </c>
      <c r="C333" s="63" t="s">
        <v>1387</v>
      </c>
      <c r="D333" s="58" t="s">
        <v>1388</v>
      </c>
      <c r="E333" s="63" t="s">
        <v>58</v>
      </c>
      <c r="F333" s="63" t="s">
        <v>559</v>
      </c>
      <c r="G333" s="117">
        <v>45658.0</v>
      </c>
      <c r="H333" s="102" t="str">
        <f t="shared" si="19"/>
        <v>C330</v>
      </c>
      <c r="I333" s="58"/>
      <c r="J333" s="58" t="s">
        <v>42</v>
      </c>
      <c r="K333" s="51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</row>
    <row r="334">
      <c r="A334" s="59">
        <f t="shared" si="2"/>
        <v>333</v>
      </c>
      <c r="B334" s="61" t="str">
        <f t="shared" si="4"/>
        <v>C333</v>
      </c>
      <c r="C334" s="63" t="s">
        <v>1389</v>
      </c>
      <c r="D334" s="58" t="s">
        <v>663</v>
      </c>
      <c r="E334" s="63" t="s">
        <v>58</v>
      </c>
      <c r="F334" s="63" t="s">
        <v>1164</v>
      </c>
      <c r="G334" s="117">
        <v>45658.0</v>
      </c>
      <c r="H334" s="102" t="str">
        <f t="shared" si="19"/>
        <v>C330</v>
      </c>
      <c r="I334" s="58"/>
      <c r="J334" s="58" t="s">
        <v>42</v>
      </c>
      <c r="K334" s="58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</row>
    <row r="335">
      <c r="A335" s="59">
        <f t="shared" si="2"/>
        <v>334</v>
      </c>
      <c r="B335" s="61" t="str">
        <f t="shared" si="4"/>
        <v>C334</v>
      </c>
      <c r="C335" s="63" t="s">
        <v>1390</v>
      </c>
      <c r="D335" s="58" t="s">
        <v>667</v>
      </c>
      <c r="E335" s="63" t="s">
        <v>58</v>
      </c>
      <c r="F335" s="63" t="s">
        <v>1001</v>
      </c>
      <c r="G335" s="117">
        <v>45658.0</v>
      </c>
      <c r="H335" s="102" t="str">
        <f t="shared" si="19"/>
        <v>C330</v>
      </c>
      <c r="I335" s="58"/>
      <c r="J335" s="58" t="s">
        <v>42</v>
      </c>
      <c r="K335" s="58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</row>
    <row r="336">
      <c r="A336" s="59">
        <f t="shared" si="2"/>
        <v>335</v>
      </c>
      <c r="B336" s="61" t="str">
        <f t="shared" si="4"/>
        <v>C335</v>
      </c>
      <c r="C336" s="63" t="s">
        <v>1391</v>
      </c>
      <c r="D336" s="58" t="s">
        <v>670</v>
      </c>
      <c r="E336" s="63" t="s">
        <v>58</v>
      </c>
      <c r="F336" s="63" t="s">
        <v>1001</v>
      </c>
      <c r="G336" s="117">
        <v>45658.0</v>
      </c>
      <c r="H336" s="102" t="str">
        <f t="shared" si="19"/>
        <v>C330</v>
      </c>
      <c r="I336" s="58"/>
      <c r="J336" s="58" t="s">
        <v>42</v>
      </c>
      <c r="K336" s="58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</row>
    <row r="337">
      <c r="A337" s="59">
        <f t="shared" si="2"/>
        <v>336</v>
      </c>
      <c r="B337" s="61" t="str">
        <f t="shared" si="4"/>
        <v>C336</v>
      </c>
      <c r="C337" s="63" t="s">
        <v>1392</v>
      </c>
      <c r="D337" s="58" t="s">
        <v>1393</v>
      </c>
      <c r="E337" s="63" t="s">
        <v>58</v>
      </c>
      <c r="F337" s="63" t="s">
        <v>559</v>
      </c>
      <c r="G337" s="77" t="s">
        <v>96</v>
      </c>
      <c r="H337" s="102" t="str">
        <f t="shared" si="19"/>
        <v>C330</v>
      </c>
      <c r="I337" s="58"/>
      <c r="J337" s="58" t="s">
        <v>42</v>
      </c>
      <c r="K337" s="58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</row>
    <row r="338">
      <c r="A338" s="59">
        <f t="shared" si="2"/>
        <v>337</v>
      </c>
      <c r="B338" s="61" t="str">
        <f t="shared" si="4"/>
        <v>C337</v>
      </c>
      <c r="C338" s="63" t="s">
        <v>1394</v>
      </c>
      <c r="D338" s="58" t="s">
        <v>1395</v>
      </c>
      <c r="E338" s="63" t="s">
        <v>58</v>
      </c>
      <c r="F338" s="77" t="s">
        <v>987</v>
      </c>
      <c r="G338" s="117">
        <v>45658.0</v>
      </c>
      <c r="H338" s="102" t="str">
        <f t="shared" si="19"/>
        <v>C330</v>
      </c>
      <c r="I338" s="76" t="s">
        <v>676</v>
      </c>
      <c r="J338" s="58" t="s">
        <v>42</v>
      </c>
      <c r="K338" s="58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</row>
    <row r="339">
      <c r="A339" s="59">
        <f t="shared" si="2"/>
        <v>338</v>
      </c>
      <c r="B339" s="61" t="str">
        <f t="shared" si="4"/>
        <v>C338</v>
      </c>
      <c r="C339" s="63" t="s">
        <v>1396</v>
      </c>
      <c r="D339" s="58" t="s">
        <v>690</v>
      </c>
      <c r="E339" s="63" t="s">
        <v>58</v>
      </c>
      <c r="F339" s="77" t="s">
        <v>1397</v>
      </c>
      <c r="G339" s="64" t="s">
        <v>39</v>
      </c>
      <c r="H339" s="102" t="str">
        <f t="shared" si="19"/>
        <v>C330</v>
      </c>
      <c r="I339" s="58"/>
      <c r="J339" s="58" t="s">
        <v>42</v>
      </c>
      <c r="K339" s="58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</row>
    <row r="340">
      <c r="A340" s="59">
        <f t="shared" si="2"/>
        <v>339</v>
      </c>
      <c r="B340" s="61" t="str">
        <f t="shared" si="4"/>
        <v>C339</v>
      </c>
      <c r="C340" s="63" t="s">
        <v>1398</v>
      </c>
      <c r="D340" s="58" t="s">
        <v>1399</v>
      </c>
      <c r="E340" s="63" t="s">
        <v>58</v>
      </c>
      <c r="F340" s="63" t="s">
        <v>907</v>
      </c>
      <c r="G340" s="117">
        <v>45658.0</v>
      </c>
      <c r="H340" s="102" t="str">
        <f t="shared" si="19"/>
        <v>C330</v>
      </c>
      <c r="I340" s="58"/>
      <c r="J340" s="58" t="s">
        <v>42</v>
      </c>
      <c r="K340" s="51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</row>
    <row r="341">
      <c r="A341" s="157">
        <f t="shared" si="2"/>
        <v>340</v>
      </c>
      <c r="B341" s="143" t="str">
        <f t="shared" si="4"/>
        <v>C340</v>
      </c>
      <c r="C341" s="158" t="s">
        <v>1237</v>
      </c>
      <c r="D341" s="88" t="s">
        <v>1400</v>
      </c>
      <c r="E341" s="158" t="s">
        <v>30</v>
      </c>
      <c r="F341" s="193" t="s">
        <v>35</v>
      </c>
      <c r="G341" s="116" t="s">
        <v>96</v>
      </c>
      <c r="H341" s="148" t="str">
        <f>B155</f>
        <v>C154</v>
      </c>
      <c r="I341" s="101"/>
      <c r="J341" s="145" t="s">
        <v>414</v>
      </c>
      <c r="K341" s="101"/>
      <c r="L341" s="115"/>
      <c r="M341" s="115"/>
      <c r="N341" s="115"/>
      <c r="O341" s="115"/>
      <c r="P341" s="115"/>
      <c r="Q341" s="115"/>
      <c r="R341" s="115"/>
      <c r="S341" s="115"/>
      <c r="T341" s="115"/>
      <c r="U341" s="115"/>
      <c r="V341" s="115"/>
      <c r="W341" s="115"/>
      <c r="X341" s="115"/>
    </row>
    <row r="342">
      <c r="A342" s="157">
        <f t="shared" si="2"/>
        <v>341</v>
      </c>
      <c r="B342" s="143" t="str">
        <f t="shared" si="4"/>
        <v>C341</v>
      </c>
      <c r="C342" s="158" t="s">
        <v>1239</v>
      </c>
      <c r="D342" s="88" t="s">
        <v>1401</v>
      </c>
      <c r="E342" s="158" t="s">
        <v>30</v>
      </c>
      <c r="F342" s="193" t="s">
        <v>35</v>
      </c>
      <c r="G342" s="194" t="s">
        <v>96</v>
      </c>
      <c r="H342" s="148" t="str">
        <f>B$341</f>
        <v>C340</v>
      </c>
      <c r="I342" s="101"/>
      <c r="J342" s="145" t="s">
        <v>414</v>
      </c>
      <c r="K342" s="101"/>
      <c r="L342" s="115"/>
      <c r="M342" s="115"/>
      <c r="N342" s="115"/>
      <c r="O342" s="115"/>
      <c r="P342" s="115"/>
      <c r="Q342" s="115"/>
      <c r="R342" s="115"/>
      <c r="S342" s="115"/>
      <c r="T342" s="115"/>
      <c r="U342" s="115"/>
      <c r="V342" s="115"/>
      <c r="W342" s="115"/>
      <c r="X342" s="115"/>
    </row>
    <row r="343">
      <c r="A343" s="79">
        <f t="shared" si="2"/>
        <v>342</v>
      </c>
      <c r="B343" s="80" t="str">
        <f t="shared" si="4"/>
        <v>C342</v>
      </c>
      <c r="C343" s="81" t="s">
        <v>1402</v>
      </c>
      <c r="D343" s="195" t="s">
        <v>1403</v>
      </c>
      <c r="E343" s="81" t="s">
        <v>58</v>
      </c>
      <c r="F343" s="81" t="s">
        <v>1192</v>
      </c>
      <c r="G343" s="84" t="s">
        <v>39</v>
      </c>
      <c r="H343" s="85" t="str">
        <f t="shared" ref="H343:H344" si="20">B$342</f>
        <v>C341</v>
      </c>
      <c r="I343" s="88" t="s">
        <v>418</v>
      </c>
      <c r="J343" s="89" t="s">
        <v>414</v>
      </c>
      <c r="K343" s="87"/>
      <c r="L343" s="115"/>
      <c r="M343" s="115"/>
      <c r="N343" s="115"/>
      <c r="O343" s="115"/>
      <c r="P343" s="115"/>
      <c r="Q343" s="115"/>
      <c r="R343" s="115"/>
      <c r="S343" s="115"/>
      <c r="T343" s="115"/>
      <c r="U343" s="115"/>
      <c r="V343" s="115"/>
      <c r="W343" s="115"/>
      <c r="X343" s="115"/>
    </row>
    <row r="344">
      <c r="A344" s="79">
        <f t="shared" si="2"/>
        <v>343</v>
      </c>
      <c r="B344" s="80" t="str">
        <f t="shared" si="4"/>
        <v>C343</v>
      </c>
      <c r="C344" s="81" t="s">
        <v>1404</v>
      </c>
      <c r="D344" s="195" t="s">
        <v>1405</v>
      </c>
      <c r="E344" s="81" t="s">
        <v>58</v>
      </c>
      <c r="F344" s="81" t="s">
        <v>434</v>
      </c>
      <c r="G344" s="84" t="s">
        <v>39</v>
      </c>
      <c r="H344" s="85" t="str">
        <f t="shared" si="20"/>
        <v>C341</v>
      </c>
      <c r="I344" s="88" t="s">
        <v>418</v>
      </c>
      <c r="J344" s="89" t="s">
        <v>414</v>
      </c>
      <c r="K344" s="87"/>
      <c r="L344" s="115"/>
      <c r="M344" s="115"/>
      <c r="N344" s="115"/>
      <c r="O344" s="115"/>
      <c r="P344" s="115"/>
      <c r="Q344" s="115"/>
      <c r="R344" s="115"/>
      <c r="S344" s="115"/>
      <c r="T344" s="115"/>
      <c r="U344" s="115"/>
      <c r="V344" s="115"/>
      <c r="W344" s="115"/>
      <c r="X344" s="115"/>
    </row>
    <row r="345">
      <c r="A345" s="79">
        <f t="shared" si="2"/>
        <v>344</v>
      </c>
      <c r="B345" s="80" t="str">
        <f t="shared" si="4"/>
        <v>C344</v>
      </c>
      <c r="C345" s="81" t="s">
        <v>1406</v>
      </c>
      <c r="D345" s="196" t="s">
        <v>1407</v>
      </c>
      <c r="E345" s="81" t="s">
        <v>58</v>
      </c>
      <c r="F345" s="81" t="s">
        <v>802</v>
      </c>
      <c r="G345" s="84" t="s">
        <v>96</v>
      </c>
      <c r="H345" s="85" t="str">
        <f t="shared" ref="H345:H354" si="21">B$341</f>
        <v>C340</v>
      </c>
      <c r="I345" s="88" t="s">
        <v>418</v>
      </c>
      <c r="J345" s="89" t="s">
        <v>414</v>
      </c>
      <c r="K345" s="87"/>
      <c r="L345" s="115"/>
      <c r="M345" s="115"/>
      <c r="N345" s="115"/>
      <c r="O345" s="115"/>
      <c r="P345" s="115"/>
      <c r="Q345" s="115"/>
      <c r="R345" s="115"/>
      <c r="S345" s="115"/>
      <c r="T345" s="115"/>
      <c r="U345" s="115"/>
      <c r="V345" s="115"/>
      <c r="W345" s="115"/>
      <c r="X345" s="115"/>
    </row>
    <row r="346">
      <c r="A346" s="79">
        <f t="shared" si="2"/>
        <v>345</v>
      </c>
      <c r="B346" s="80" t="str">
        <f t="shared" si="4"/>
        <v>C345</v>
      </c>
      <c r="C346" s="81" t="s">
        <v>1408</v>
      </c>
      <c r="D346" s="82" t="s">
        <v>1409</v>
      </c>
      <c r="E346" s="81" t="s">
        <v>58</v>
      </c>
      <c r="F346" s="81" t="s">
        <v>1410</v>
      </c>
      <c r="G346" s="84" t="s">
        <v>96</v>
      </c>
      <c r="H346" s="85" t="str">
        <f t="shared" si="21"/>
        <v>C340</v>
      </c>
      <c r="I346" s="88" t="s">
        <v>418</v>
      </c>
      <c r="J346" s="89" t="s">
        <v>414</v>
      </c>
      <c r="K346" s="87"/>
      <c r="L346" s="115"/>
      <c r="M346" s="115"/>
      <c r="N346" s="115"/>
      <c r="O346" s="115"/>
      <c r="P346" s="115"/>
      <c r="Q346" s="115"/>
      <c r="R346" s="115"/>
      <c r="S346" s="115"/>
      <c r="T346" s="115"/>
      <c r="U346" s="115"/>
      <c r="V346" s="115"/>
      <c r="W346" s="115"/>
      <c r="X346" s="115"/>
    </row>
    <row r="347">
      <c r="A347" s="79">
        <f t="shared" si="2"/>
        <v>346</v>
      </c>
      <c r="B347" s="80" t="str">
        <f t="shared" si="4"/>
        <v>C346</v>
      </c>
      <c r="C347" s="81" t="s">
        <v>1411</v>
      </c>
      <c r="D347" s="82" t="s">
        <v>1412</v>
      </c>
      <c r="E347" s="81" t="s">
        <v>58</v>
      </c>
      <c r="F347" s="81" t="s">
        <v>1192</v>
      </c>
      <c r="G347" s="84" t="s">
        <v>39</v>
      </c>
      <c r="H347" s="85" t="str">
        <f t="shared" si="21"/>
        <v>C340</v>
      </c>
      <c r="I347" s="88" t="s">
        <v>418</v>
      </c>
      <c r="J347" s="89" t="s">
        <v>414</v>
      </c>
      <c r="K347" s="87"/>
      <c r="L347" s="115"/>
      <c r="M347" s="115"/>
      <c r="N347" s="115"/>
      <c r="O347" s="115"/>
      <c r="P347" s="115"/>
      <c r="Q347" s="115"/>
      <c r="R347" s="115"/>
      <c r="S347" s="115"/>
      <c r="T347" s="115"/>
      <c r="U347" s="115"/>
      <c r="V347" s="115"/>
      <c r="W347" s="115"/>
      <c r="X347" s="115"/>
    </row>
    <row r="348">
      <c r="A348" s="79">
        <f t="shared" si="2"/>
        <v>347</v>
      </c>
      <c r="B348" s="80" t="str">
        <f t="shared" si="4"/>
        <v>C347</v>
      </c>
      <c r="C348" s="81" t="s">
        <v>1413</v>
      </c>
      <c r="D348" s="82" t="s">
        <v>1414</v>
      </c>
      <c r="E348" s="81" t="s">
        <v>58</v>
      </c>
      <c r="F348" s="81" t="s">
        <v>1415</v>
      </c>
      <c r="G348" s="84" t="s">
        <v>39</v>
      </c>
      <c r="H348" s="85" t="str">
        <f t="shared" si="21"/>
        <v>C340</v>
      </c>
      <c r="I348" s="88" t="s">
        <v>418</v>
      </c>
      <c r="J348" s="89" t="s">
        <v>414</v>
      </c>
      <c r="K348" s="87"/>
      <c r="L348" s="115"/>
      <c r="M348" s="115"/>
      <c r="N348" s="115"/>
      <c r="O348" s="115"/>
      <c r="P348" s="115"/>
      <c r="Q348" s="115"/>
      <c r="R348" s="115"/>
      <c r="S348" s="115"/>
      <c r="T348" s="115"/>
      <c r="U348" s="115"/>
      <c r="V348" s="115"/>
      <c r="W348" s="115"/>
      <c r="X348" s="115"/>
    </row>
    <row r="349">
      <c r="A349" s="79">
        <f t="shared" si="2"/>
        <v>348</v>
      </c>
      <c r="B349" s="80" t="str">
        <f t="shared" si="4"/>
        <v>C348</v>
      </c>
      <c r="C349" s="81" t="s">
        <v>1416</v>
      </c>
      <c r="D349" s="151" t="s">
        <v>1417</v>
      </c>
      <c r="E349" s="81" t="s">
        <v>58</v>
      </c>
      <c r="F349" s="81" t="s">
        <v>333</v>
      </c>
      <c r="G349" s="84" t="s">
        <v>96</v>
      </c>
      <c r="H349" s="85" t="str">
        <f t="shared" si="21"/>
        <v>C340</v>
      </c>
      <c r="I349" s="88" t="s">
        <v>418</v>
      </c>
      <c r="J349" s="89" t="s">
        <v>414</v>
      </c>
      <c r="K349" s="87"/>
      <c r="L349" s="115"/>
      <c r="M349" s="115"/>
      <c r="N349" s="115"/>
      <c r="O349" s="115"/>
      <c r="P349" s="115"/>
      <c r="Q349" s="115"/>
      <c r="R349" s="115"/>
      <c r="S349" s="115"/>
      <c r="T349" s="115"/>
      <c r="U349" s="115"/>
      <c r="V349" s="115"/>
      <c r="W349" s="115"/>
      <c r="X349" s="115"/>
    </row>
    <row r="350">
      <c r="A350" s="79">
        <f t="shared" si="2"/>
        <v>349</v>
      </c>
      <c r="B350" s="80" t="str">
        <f t="shared" si="4"/>
        <v>C349</v>
      </c>
      <c r="C350" s="150" t="s">
        <v>1418</v>
      </c>
      <c r="D350" s="151" t="s">
        <v>1419</v>
      </c>
      <c r="E350" s="81" t="s">
        <v>58</v>
      </c>
      <c r="F350" s="81" t="s">
        <v>231</v>
      </c>
      <c r="G350" s="84" t="s">
        <v>96</v>
      </c>
      <c r="H350" s="85" t="str">
        <f t="shared" si="21"/>
        <v>C340</v>
      </c>
      <c r="I350" s="88" t="s">
        <v>1420</v>
      </c>
      <c r="J350" s="197"/>
      <c r="K350" s="181"/>
      <c r="L350" s="180"/>
      <c r="M350" s="180"/>
      <c r="N350" s="180"/>
      <c r="O350" s="180"/>
      <c r="P350" s="180"/>
      <c r="Q350" s="180"/>
      <c r="R350" s="180"/>
      <c r="S350" s="180"/>
      <c r="T350" s="180"/>
      <c r="U350" s="180"/>
      <c r="V350" s="180"/>
      <c r="W350" s="180"/>
      <c r="X350" s="180"/>
    </row>
    <row r="351">
      <c r="A351" s="79">
        <f t="shared" si="2"/>
        <v>350</v>
      </c>
      <c r="B351" s="80" t="str">
        <f t="shared" si="4"/>
        <v>C350</v>
      </c>
      <c r="C351" s="152" t="s">
        <v>1421</v>
      </c>
      <c r="D351" s="198" t="s">
        <v>1422</v>
      </c>
      <c r="E351" s="152" t="s">
        <v>58</v>
      </c>
      <c r="F351" s="152" t="s">
        <v>429</v>
      </c>
      <c r="G351" s="199" t="s">
        <v>96</v>
      </c>
      <c r="H351" s="170" t="str">
        <f t="shared" si="21"/>
        <v>C340</v>
      </c>
      <c r="I351" s="200" t="s">
        <v>1423</v>
      </c>
      <c r="J351" s="151" t="s">
        <v>15</v>
      </c>
      <c r="K351" s="181"/>
      <c r="L351" s="180"/>
      <c r="M351" s="180"/>
      <c r="N351" s="180"/>
      <c r="O351" s="180"/>
      <c r="P351" s="180"/>
      <c r="Q351" s="180"/>
      <c r="R351" s="180"/>
      <c r="S351" s="180"/>
      <c r="T351" s="180"/>
      <c r="U351" s="180"/>
      <c r="V351" s="180"/>
      <c r="W351" s="180"/>
      <c r="X351" s="180"/>
    </row>
    <row r="352">
      <c r="A352" s="79">
        <f t="shared" si="2"/>
        <v>351</v>
      </c>
      <c r="B352" s="80" t="str">
        <f t="shared" si="4"/>
        <v>C351</v>
      </c>
      <c r="C352" s="152" t="s">
        <v>1424</v>
      </c>
      <c r="D352" s="198" t="s">
        <v>1425</v>
      </c>
      <c r="E352" s="152" t="s">
        <v>58</v>
      </c>
      <c r="F352" s="152" t="s">
        <v>1164</v>
      </c>
      <c r="G352" s="199" t="s">
        <v>96</v>
      </c>
      <c r="H352" s="170" t="str">
        <f t="shared" si="21"/>
        <v>C340</v>
      </c>
      <c r="I352" s="200" t="s">
        <v>1426</v>
      </c>
      <c r="J352" s="151" t="s">
        <v>15</v>
      </c>
      <c r="K352" s="181"/>
      <c r="L352" s="180"/>
      <c r="M352" s="180"/>
      <c r="N352" s="180"/>
      <c r="O352" s="180"/>
      <c r="P352" s="180"/>
      <c r="Q352" s="180"/>
      <c r="R352" s="180"/>
      <c r="S352" s="180"/>
      <c r="T352" s="180"/>
      <c r="U352" s="180"/>
      <c r="V352" s="180"/>
      <c r="W352" s="180"/>
      <c r="X352" s="180"/>
    </row>
    <row r="353">
      <c r="A353" s="79">
        <f t="shared" si="2"/>
        <v>352</v>
      </c>
      <c r="B353" s="80" t="str">
        <f t="shared" si="4"/>
        <v>C352</v>
      </c>
      <c r="C353" s="152" t="s">
        <v>1427</v>
      </c>
      <c r="D353" s="198" t="s">
        <v>1428</v>
      </c>
      <c r="E353" s="152" t="s">
        <v>58</v>
      </c>
      <c r="F353" s="152" t="s">
        <v>429</v>
      </c>
      <c r="G353" s="199" t="s">
        <v>96</v>
      </c>
      <c r="H353" s="170" t="str">
        <f t="shared" si="21"/>
        <v>C340</v>
      </c>
      <c r="I353" s="151" t="s">
        <v>1429</v>
      </c>
      <c r="J353" s="151" t="s">
        <v>15</v>
      </c>
      <c r="K353" s="181"/>
      <c r="L353" s="180"/>
      <c r="M353" s="180"/>
      <c r="N353" s="180"/>
      <c r="O353" s="180"/>
      <c r="P353" s="180"/>
      <c r="Q353" s="180"/>
      <c r="R353" s="180"/>
      <c r="S353" s="180"/>
      <c r="T353" s="180"/>
      <c r="U353" s="180"/>
      <c r="V353" s="180"/>
      <c r="W353" s="180"/>
      <c r="X353" s="180"/>
    </row>
    <row r="354">
      <c r="A354" s="79">
        <f t="shared" si="2"/>
        <v>353</v>
      </c>
      <c r="B354" s="80" t="str">
        <f t="shared" si="4"/>
        <v>C353</v>
      </c>
      <c r="C354" s="150" t="s">
        <v>1430</v>
      </c>
      <c r="D354" s="151" t="s">
        <v>1431</v>
      </c>
      <c r="E354" s="152" t="s">
        <v>58</v>
      </c>
      <c r="F354" s="152" t="s">
        <v>429</v>
      </c>
      <c r="G354" s="201" t="s">
        <v>96</v>
      </c>
      <c r="H354" s="170" t="str">
        <f t="shared" si="21"/>
        <v>C340</v>
      </c>
      <c r="I354" s="151" t="s">
        <v>1432</v>
      </c>
      <c r="J354" s="151" t="s">
        <v>27</v>
      </c>
      <c r="K354" s="181"/>
      <c r="L354" s="115"/>
      <c r="M354" s="115"/>
      <c r="N354" s="115"/>
      <c r="O354" s="115"/>
      <c r="P354" s="115"/>
      <c r="Q354" s="115"/>
      <c r="R354" s="115"/>
      <c r="S354" s="115"/>
      <c r="T354" s="115"/>
      <c r="U354" s="115"/>
      <c r="V354" s="115"/>
      <c r="W354" s="115"/>
      <c r="X354" s="115"/>
    </row>
    <row r="355">
      <c r="A355" s="27">
        <f t="shared" si="2"/>
        <v>354</v>
      </c>
      <c r="B355" s="40" t="str">
        <f t="shared" si="4"/>
        <v>C354</v>
      </c>
      <c r="C355" s="43" t="s">
        <v>1433</v>
      </c>
      <c r="D355" s="51"/>
      <c r="E355" s="43" t="s">
        <v>30</v>
      </c>
      <c r="F355" s="43" t="s">
        <v>35</v>
      </c>
      <c r="G355" s="49" t="s">
        <v>96</v>
      </c>
      <c r="H355" s="43" t="s">
        <v>188</v>
      </c>
      <c r="I355" s="51"/>
      <c r="J355" s="51" t="s">
        <v>42</v>
      </c>
      <c r="K355" s="58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</row>
    <row r="356">
      <c r="A356" s="59">
        <f t="shared" si="2"/>
        <v>355</v>
      </c>
      <c r="B356" s="61" t="str">
        <f t="shared" si="4"/>
        <v>C355</v>
      </c>
      <c r="C356" s="63" t="s">
        <v>1434</v>
      </c>
      <c r="D356" s="58" t="s">
        <v>1435</v>
      </c>
      <c r="E356" s="63" t="s">
        <v>58</v>
      </c>
      <c r="F356" s="63" t="s">
        <v>1436</v>
      </c>
      <c r="G356" s="64" t="s">
        <v>96</v>
      </c>
      <c r="H356" s="102" t="str">
        <f t="shared" ref="H356:H383" si="22">B$355</f>
        <v>C354</v>
      </c>
      <c r="I356" s="58" t="s">
        <v>1435</v>
      </c>
      <c r="J356" s="58" t="s">
        <v>42</v>
      </c>
      <c r="K356" s="58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</row>
    <row r="357">
      <c r="A357" s="59">
        <f t="shared" si="2"/>
        <v>356</v>
      </c>
      <c r="B357" s="61" t="str">
        <f t="shared" si="4"/>
        <v>C356</v>
      </c>
      <c r="C357" s="63" t="s">
        <v>1437</v>
      </c>
      <c r="D357" s="58" t="s">
        <v>1438</v>
      </c>
      <c r="E357" s="63" t="s">
        <v>58</v>
      </c>
      <c r="F357" s="63" t="s">
        <v>1439</v>
      </c>
      <c r="G357" s="64" t="s">
        <v>96</v>
      </c>
      <c r="H357" s="102" t="str">
        <f t="shared" si="22"/>
        <v>C354</v>
      </c>
      <c r="I357" s="58" t="s">
        <v>1438</v>
      </c>
      <c r="J357" s="58" t="s">
        <v>42</v>
      </c>
      <c r="K357" s="58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</row>
    <row r="358">
      <c r="A358" s="59">
        <f t="shared" si="2"/>
        <v>357</v>
      </c>
      <c r="B358" s="61" t="str">
        <f t="shared" si="4"/>
        <v>C357</v>
      </c>
      <c r="C358" s="63" t="s">
        <v>1440</v>
      </c>
      <c r="D358" s="58" t="s">
        <v>1441</v>
      </c>
      <c r="E358" s="63" t="s">
        <v>58</v>
      </c>
      <c r="F358" s="63" t="s">
        <v>762</v>
      </c>
      <c r="G358" s="64" t="s">
        <v>96</v>
      </c>
      <c r="H358" s="102" t="str">
        <f t="shared" si="22"/>
        <v>C354</v>
      </c>
      <c r="I358" s="58" t="s">
        <v>1441</v>
      </c>
      <c r="J358" s="58" t="s">
        <v>42</v>
      </c>
      <c r="K358" s="51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</row>
    <row r="359">
      <c r="A359" s="59">
        <f t="shared" si="2"/>
        <v>358</v>
      </c>
      <c r="B359" s="61" t="str">
        <f t="shared" si="4"/>
        <v>C358</v>
      </c>
      <c r="C359" s="63" t="s">
        <v>1442</v>
      </c>
      <c r="D359" s="58" t="s">
        <v>1443</v>
      </c>
      <c r="E359" s="63" t="s">
        <v>58</v>
      </c>
      <c r="F359" s="63" t="s">
        <v>1444</v>
      </c>
      <c r="G359" s="64" t="s">
        <v>96</v>
      </c>
      <c r="H359" s="102" t="str">
        <f t="shared" si="22"/>
        <v>C354</v>
      </c>
      <c r="I359" s="58" t="s">
        <v>1443</v>
      </c>
      <c r="J359" s="58" t="s">
        <v>42</v>
      </c>
      <c r="K359" s="58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</row>
    <row r="360">
      <c r="A360" s="59">
        <f t="shared" si="2"/>
        <v>359</v>
      </c>
      <c r="B360" s="61" t="str">
        <f t="shared" si="4"/>
        <v>C359</v>
      </c>
      <c r="C360" s="63" t="s">
        <v>1445</v>
      </c>
      <c r="D360" s="58" t="s">
        <v>1446</v>
      </c>
      <c r="E360" s="63" t="s">
        <v>58</v>
      </c>
      <c r="F360" s="63" t="s">
        <v>60</v>
      </c>
      <c r="G360" s="64" t="s">
        <v>96</v>
      </c>
      <c r="H360" s="102" t="str">
        <f t="shared" si="22"/>
        <v>C354</v>
      </c>
      <c r="I360" s="58" t="s">
        <v>1447</v>
      </c>
      <c r="J360" s="58" t="s">
        <v>42</v>
      </c>
      <c r="K360" s="58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</row>
    <row r="361">
      <c r="A361" s="59">
        <f t="shared" si="2"/>
        <v>360</v>
      </c>
      <c r="B361" s="61" t="str">
        <f t="shared" si="4"/>
        <v>C360</v>
      </c>
      <c r="C361" s="63" t="s">
        <v>1448</v>
      </c>
      <c r="D361" s="58" t="s">
        <v>1449</v>
      </c>
      <c r="E361" s="63" t="s">
        <v>58</v>
      </c>
      <c r="F361" s="63" t="s">
        <v>1450</v>
      </c>
      <c r="G361" s="64" t="s">
        <v>96</v>
      </c>
      <c r="H361" s="102" t="str">
        <f t="shared" si="22"/>
        <v>C354</v>
      </c>
      <c r="I361" s="58" t="s">
        <v>1449</v>
      </c>
      <c r="J361" s="58" t="s">
        <v>42</v>
      </c>
      <c r="K361" s="51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</row>
    <row r="362">
      <c r="A362" s="59">
        <f t="shared" si="2"/>
        <v>361</v>
      </c>
      <c r="B362" s="61" t="str">
        <f t="shared" si="4"/>
        <v>C361</v>
      </c>
      <c r="C362" s="63" t="s">
        <v>1451</v>
      </c>
      <c r="D362" s="58" t="s">
        <v>1452</v>
      </c>
      <c r="E362" s="63" t="s">
        <v>58</v>
      </c>
      <c r="F362" s="63" t="s">
        <v>60</v>
      </c>
      <c r="G362" s="64" t="s">
        <v>96</v>
      </c>
      <c r="H362" s="102" t="str">
        <f t="shared" si="22"/>
        <v>C354</v>
      </c>
      <c r="I362" s="58" t="s">
        <v>1452</v>
      </c>
      <c r="J362" s="58" t="s">
        <v>42</v>
      </c>
      <c r="K362" s="58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</row>
    <row r="363">
      <c r="A363" s="59">
        <f t="shared" si="2"/>
        <v>362</v>
      </c>
      <c r="B363" s="61" t="str">
        <f t="shared" si="4"/>
        <v>C362</v>
      </c>
      <c r="C363" s="63" t="s">
        <v>1453</v>
      </c>
      <c r="D363" s="58" t="s">
        <v>1454</v>
      </c>
      <c r="E363" s="63" t="s">
        <v>58</v>
      </c>
      <c r="F363" s="63" t="s">
        <v>1455</v>
      </c>
      <c r="G363" s="64" t="s">
        <v>96</v>
      </c>
      <c r="H363" s="102" t="str">
        <f t="shared" si="22"/>
        <v>C354</v>
      </c>
      <c r="I363" s="58" t="s">
        <v>1454</v>
      </c>
      <c r="J363" s="58" t="s">
        <v>42</v>
      </c>
      <c r="K363" s="58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</row>
    <row r="364">
      <c r="A364" s="59">
        <f t="shared" si="2"/>
        <v>363</v>
      </c>
      <c r="B364" s="61" t="str">
        <f t="shared" si="4"/>
        <v>C363</v>
      </c>
      <c r="C364" s="63" t="s">
        <v>1456</v>
      </c>
      <c r="D364" s="58" t="s">
        <v>1457</v>
      </c>
      <c r="E364" s="63" t="s">
        <v>58</v>
      </c>
      <c r="F364" s="63" t="s">
        <v>1455</v>
      </c>
      <c r="G364" s="64" t="s">
        <v>96</v>
      </c>
      <c r="H364" s="102" t="str">
        <f t="shared" si="22"/>
        <v>C354</v>
      </c>
      <c r="I364" s="58" t="s">
        <v>1457</v>
      </c>
      <c r="J364" s="58" t="s">
        <v>42</v>
      </c>
      <c r="K364" s="58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</row>
    <row r="365">
      <c r="A365" s="59">
        <f t="shared" si="2"/>
        <v>364</v>
      </c>
      <c r="B365" s="61" t="str">
        <f t="shared" si="4"/>
        <v>C364</v>
      </c>
      <c r="C365" s="63" t="s">
        <v>1458</v>
      </c>
      <c r="D365" s="58" t="s">
        <v>674</v>
      </c>
      <c r="E365" s="63" t="s">
        <v>58</v>
      </c>
      <c r="F365" s="77" t="s">
        <v>987</v>
      </c>
      <c r="G365" s="64" t="s">
        <v>96</v>
      </c>
      <c r="H365" s="102" t="str">
        <f t="shared" si="22"/>
        <v>C354</v>
      </c>
      <c r="I365" s="58" t="s">
        <v>674</v>
      </c>
      <c r="J365" s="58" t="s">
        <v>42</v>
      </c>
      <c r="K365" s="58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</row>
    <row r="366">
      <c r="A366" s="59">
        <f t="shared" si="2"/>
        <v>365</v>
      </c>
      <c r="B366" s="61" t="str">
        <f t="shared" si="4"/>
        <v>C365</v>
      </c>
      <c r="C366" s="63" t="s">
        <v>1459</v>
      </c>
      <c r="D366" s="58" t="s">
        <v>1460</v>
      </c>
      <c r="E366" s="63" t="s">
        <v>58</v>
      </c>
      <c r="F366" s="63" t="s">
        <v>727</v>
      </c>
      <c r="G366" s="64" t="s">
        <v>96</v>
      </c>
      <c r="H366" s="102" t="str">
        <f t="shared" si="22"/>
        <v>C354</v>
      </c>
      <c r="I366" s="58" t="s">
        <v>1460</v>
      </c>
      <c r="J366" s="58" t="s">
        <v>42</v>
      </c>
      <c r="K366" s="58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</row>
    <row r="367">
      <c r="A367" s="59">
        <f t="shared" si="2"/>
        <v>366</v>
      </c>
      <c r="B367" s="61" t="str">
        <f t="shared" si="4"/>
        <v>C366</v>
      </c>
      <c r="C367" s="63" t="s">
        <v>1461</v>
      </c>
      <c r="D367" s="58" t="s">
        <v>1462</v>
      </c>
      <c r="E367" s="63" t="s">
        <v>58</v>
      </c>
      <c r="F367" s="63" t="s">
        <v>304</v>
      </c>
      <c r="G367" s="64" t="s">
        <v>96</v>
      </c>
      <c r="H367" s="102" t="str">
        <f t="shared" si="22"/>
        <v>C354</v>
      </c>
      <c r="I367" s="58" t="s">
        <v>1462</v>
      </c>
      <c r="J367" s="58" t="s">
        <v>42</v>
      </c>
      <c r="K367" s="58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</row>
    <row r="368">
      <c r="A368" s="59">
        <f t="shared" si="2"/>
        <v>367</v>
      </c>
      <c r="B368" s="61" t="str">
        <f t="shared" si="4"/>
        <v>C367</v>
      </c>
      <c r="C368" s="63" t="s">
        <v>1463</v>
      </c>
      <c r="D368" s="58" t="s">
        <v>1464</v>
      </c>
      <c r="E368" s="63" t="s">
        <v>58</v>
      </c>
      <c r="F368" s="63" t="s">
        <v>304</v>
      </c>
      <c r="G368" s="64" t="s">
        <v>96</v>
      </c>
      <c r="H368" s="102" t="str">
        <f t="shared" si="22"/>
        <v>C354</v>
      </c>
      <c r="I368" s="58" t="s">
        <v>1465</v>
      </c>
      <c r="J368" s="58" t="s">
        <v>42</v>
      </c>
      <c r="K368" s="51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</row>
    <row r="369">
      <c r="A369" s="59">
        <f t="shared" si="2"/>
        <v>368</v>
      </c>
      <c r="B369" s="61" t="str">
        <f t="shared" si="4"/>
        <v>C368</v>
      </c>
      <c r="C369" s="63" t="s">
        <v>1466</v>
      </c>
      <c r="D369" s="58" t="s">
        <v>1467</v>
      </c>
      <c r="E369" s="63" t="s">
        <v>58</v>
      </c>
      <c r="F369" s="77" t="s">
        <v>1397</v>
      </c>
      <c r="G369" s="64" t="s">
        <v>96</v>
      </c>
      <c r="H369" s="102" t="str">
        <f t="shared" si="22"/>
        <v>C354</v>
      </c>
      <c r="I369" s="58" t="s">
        <v>1468</v>
      </c>
      <c r="J369" s="58" t="s">
        <v>1469</v>
      </c>
      <c r="K369" s="58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</row>
    <row r="370">
      <c r="A370" s="59">
        <f t="shared" si="2"/>
        <v>369</v>
      </c>
      <c r="B370" s="61" t="str">
        <f t="shared" si="4"/>
        <v>C369</v>
      </c>
      <c r="C370" s="63" t="s">
        <v>1470</v>
      </c>
      <c r="D370" s="58" t="s">
        <v>1471</v>
      </c>
      <c r="E370" s="63" t="s">
        <v>58</v>
      </c>
      <c r="F370" s="63" t="s">
        <v>1439</v>
      </c>
      <c r="G370" s="64" t="s">
        <v>96</v>
      </c>
      <c r="H370" s="102" t="str">
        <f t="shared" si="22"/>
        <v>C354</v>
      </c>
      <c r="I370" s="58" t="s">
        <v>1471</v>
      </c>
      <c r="J370" s="58" t="s">
        <v>42</v>
      </c>
      <c r="K370" s="58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</row>
    <row r="371">
      <c r="A371" s="59">
        <f t="shared" si="2"/>
        <v>370</v>
      </c>
      <c r="B371" s="61" t="str">
        <f t="shared" si="4"/>
        <v>C370</v>
      </c>
      <c r="C371" s="63" t="s">
        <v>1472</v>
      </c>
      <c r="D371" s="58" t="s">
        <v>1473</v>
      </c>
      <c r="E371" s="63" t="s">
        <v>58</v>
      </c>
      <c r="F371" s="63" t="s">
        <v>304</v>
      </c>
      <c r="G371" s="64" t="s">
        <v>96</v>
      </c>
      <c r="H371" s="102" t="str">
        <f t="shared" si="22"/>
        <v>C354</v>
      </c>
      <c r="I371" s="58" t="s">
        <v>1474</v>
      </c>
      <c r="J371" s="58" t="s">
        <v>1475</v>
      </c>
      <c r="K371" s="51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</row>
    <row r="372">
      <c r="A372" s="59">
        <f t="shared" si="2"/>
        <v>371</v>
      </c>
      <c r="B372" s="61" t="str">
        <f t="shared" si="4"/>
        <v>C371</v>
      </c>
      <c r="C372" s="63" t="s">
        <v>1476</v>
      </c>
      <c r="D372" s="58" t="s">
        <v>1477</v>
      </c>
      <c r="E372" s="63" t="s">
        <v>58</v>
      </c>
      <c r="F372" s="63" t="s">
        <v>1478</v>
      </c>
      <c r="G372" s="64" t="s">
        <v>96</v>
      </c>
      <c r="H372" s="102" t="str">
        <f t="shared" si="22"/>
        <v>C354</v>
      </c>
      <c r="I372" s="58" t="s">
        <v>1477</v>
      </c>
      <c r="J372" s="58" t="s">
        <v>42</v>
      </c>
      <c r="K372" s="58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</row>
    <row r="373">
      <c r="A373" s="59">
        <f t="shared" si="2"/>
        <v>372</v>
      </c>
      <c r="B373" s="61" t="str">
        <f t="shared" si="4"/>
        <v>C372</v>
      </c>
      <c r="C373" s="63" t="s">
        <v>1479</v>
      </c>
      <c r="D373" s="58" t="s">
        <v>1480</v>
      </c>
      <c r="E373" s="63" t="s">
        <v>58</v>
      </c>
      <c r="F373" s="63" t="s">
        <v>727</v>
      </c>
      <c r="G373" s="64" t="s">
        <v>96</v>
      </c>
      <c r="H373" s="102" t="str">
        <f t="shared" si="22"/>
        <v>C354</v>
      </c>
      <c r="I373" s="58" t="s">
        <v>1480</v>
      </c>
      <c r="J373" s="58" t="s">
        <v>42</v>
      </c>
      <c r="K373" s="58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</row>
    <row r="374">
      <c r="A374" s="59">
        <f t="shared" si="2"/>
        <v>373</v>
      </c>
      <c r="B374" s="61" t="str">
        <f t="shared" si="4"/>
        <v>C373</v>
      </c>
      <c r="C374" s="63" t="s">
        <v>1481</v>
      </c>
      <c r="D374" s="58" t="s">
        <v>1482</v>
      </c>
      <c r="E374" s="63" t="s">
        <v>58</v>
      </c>
      <c r="F374" s="63" t="s">
        <v>762</v>
      </c>
      <c r="G374" s="64" t="s">
        <v>96</v>
      </c>
      <c r="H374" s="102" t="str">
        <f t="shared" si="22"/>
        <v>C354</v>
      </c>
      <c r="I374" s="58" t="s">
        <v>1482</v>
      </c>
      <c r="J374" s="58" t="s">
        <v>42</v>
      </c>
      <c r="K374" s="58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</row>
    <row r="375">
      <c r="A375" s="59">
        <f t="shared" si="2"/>
        <v>374</v>
      </c>
      <c r="B375" s="61" t="str">
        <f t="shared" si="4"/>
        <v>C374</v>
      </c>
      <c r="C375" s="63" t="s">
        <v>1483</v>
      </c>
      <c r="D375" s="58" t="s">
        <v>1484</v>
      </c>
      <c r="E375" s="63" t="s">
        <v>58</v>
      </c>
      <c r="F375" s="63" t="s">
        <v>762</v>
      </c>
      <c r="G375" s="64" t="s">
        <v>96</v>
      </c>
      <c r="H375" s="102" t="str">
        <f t="shared" si="22"/>
        <v>C354</v>
      </c>
      <c r="I375" s="58" t="s">
        <v>931</v>
      </c>
      <c r="J375" s="58" t="s">
        <v>42</v>
      </c>
      <c r="K375" s="58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</row>
    <row r="376">
      <c r="A376" s="59">
        <f t="shared" si="2"/>
        <v>375</v>
      </c>
      <c r="B376" s="61" t="str">
        <f t="shared" si="4"/>
        <v>C375</v>
      </c>
      <c r="C376" s="63" t="s">
        <v>1485</v>
      </c>
      <c r="D376" s="58" t="s">
        <v>1486</v>
      </c>
      <c r="E376" s="63" t="s">
        <v>58</v>
      </c>
      <c r="F376" s="63" t="s">
        <v>169</v>
      </c>
      <c r="G376" s="64" t="s">
        <v>96</v>
      </c>
      <c r="H376" s="102" t="str">
        <f t="shared" si="22"/>
        <v>C354</v>
      </c>
      <c r="I376" s="58" t="s">
        <v>1487</v>
      </c>
      <c r="J376" s="58" t="s">
        <v>1488</v>
      </c>
      <c r="K376" s="58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</row>
    <row r="377">
      <c r="A377" s="59">
        <f t="shared" si="2"/>
        <v>376</v>
      </c>
      <c r="B377" s="61" t="str">
        <f t="shared" si="4"/>
        <v>C376</v>
      </c>
      <c r="C377" s="63" t="s">
        <v>1489</v>
      </c>
      <c r="D377" s="58" t="s">
        <v>1490</v>
      </c>
      <c r="E377" s="63" t="s">
        <v>58</v>
      </c>
      <c r="F377" s="63" t="s">
        <v>312</v>
      </c>
      <c r="G377" s="64" t="s">
        <v>96</v>
      </c>
      <c r="H377" s="102" t="str">
        <f t="shared" si="22"/>
        <v>C354</v>
      </c>
      <c r="I377" s="58" t="s">
        <v>1491</v>
      </c>
      <c r="J377" s="58" t="s">
        <v>1159</v>
      </c>
      <c r="K377" s="58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</row>
    <row r="378">
      <c r="A378" s="59">
        <f t="shared" si="2"/>
        <v>377</v>
      </c>
      <c r="B378" s="61" t="str">
        <f t="shared" si="4"/>
        <v>C377</v>
      </c>
      <c r="C378" s="63" t="s">
        <v>1492</v>
      </c>
      <c r="D378" s="58" t="s">
        <v>1493</v>
      </c>
      <c r="E378" s="63" t="s">
        <v>58</v>
      </c>
      <c r="F378" s="63" t="s">
        <v>333</v>
      </c>
      <c r="G378" s="64" t="s">
        <v>96</v>
      </c>
      <c r="H378" s="102" t="str">
        <f t="shared" si="22"/>
        <v>C354</v>
      </c>
      <c r="I378" s="58" t="s">
        <v>1494</v>
      </c>
      <c r="J378" s="58" t="s">
        <v>940</v>
      </c>
      <c r="K378" s="51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</row>
    <row r="379">
      <c r="A379" s="59">
        <f t="shared" si="2"/>
        <v>378</v>
      </c>
      <c r="B379" s="61" t="str">
        <f t="shared" si="4"/>
        <v>C378</v>
      </c>
      <c r="C379" s="63" t="s">
        <v>1495</v>
      </c>
      <c r="D379" s="58" t="s">
        <v>1496</v>
      </c>
      <c r="E379" s="63" t="s">
        <v>58</v>
      </c>
      <c r="F379" s="63" t="s">
        <v>231</v>
      </c>
      <c r="G379" s="64" t="s">
        <v>96</v>
      </c>
      <c r="H379" s="102" t="str">
        <f t="shared" si="22"/>
        <v>C354</v>
      </c>
      <c r="I379" s="58" t="s">
        <v>1497</v>
      </c>
      <c r="J379" s="58" t="s">
        <v>474</v>
      </c>
      <c r="K379" s="51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</row>
    <row r="380">
      <c r="A380" s="59">
        <f t="shared" si="2"/>
        <v>379</v>
      </c>
      <c r="B380" s="61" t="str">
        <f t="shared" si="4"/>
        <v>C379</v>
      </c>
      <c r="C380" s="63" t="s">
        <v>1498</v>
      </c>
      <c r="D380" s="58" t="s">
        <v>1499</v>
      </c>
      <c r="E380" s="63" t="s">
        <v>58</v>
      </c>
      <c r="F380" s="77" t="s">
        <v>409</v>
      </c>
      <c r="G380" s="64" t="s">
        <v>96</v>
      </c>
      <c r="H380" s="102" t="str">
        <f t="shared" si="22"/>
        <v>C354</v>
      </c>
      <c r="I380" s="58" t="s">
        <v>1500</v>
      </c>
      <c r="J380" s="58" t="s">
        <v>1015</v>
      </c>
      <c r="K380" s="51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</row>
    <row r="381">
      <c r="A381" s="59">
        <f t="shared" si="2"/>
        <v>380</v>
      </c>
      <c r="B381" s="61" t="str">
        <f t="shared" si="4"/>
        <v>C380</v>
      </c>
      <c r="C381" s="63" t="s">
        <v>1501</v>
      </c>
      <c r="D381" s="58" t="s">
        <v>1502</v>
      </c>
      <c r="E381" s="63" t="s">
        <v>58</v>
      </c>
      <c r="F381" s="63" t="s">
        <v>169</v>
      </c>
      <c r="G381" s="64" t="s">
        <v>96</v>
      </c>
      <c r="H381" s="102" t="str">
        <f t="shared" si="22"/>
        <v>C354</v>
      </c>
      <c r="I381" s="58" t="s">
        <v>1503</v>
      </c>
      <c r="J381" s="58" t="s">
        <v>1504</v>
      </c>
      <c r="K381" s="51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</row>
    <row r="382">
      <c r="A382" s="59">
        <f t="shared" si="2"/>
        <v>381</v>
      </c>
      <c r="B382" s="61" t="str">
        <f t="shared" si="4"/>
        <v>C381</v>
      </c>
      <c r="C382" s="63" t="s">
        <v>1505</v>
      </c>
      <c r="D382" s="58" t="s">
        <v>1506</v>
      </c>
      <c r="E382" s="63" t="s">
        <v>58</v>
      </c>
      <c r="F382" s="63" t="s">
        <v>815</v>
      </c>
      <c r="G382" s="64" t="s">
        <v>96</v>
      </c>
      <c r="H382" s="102" t="str">
        <f t="shared" si="22"/>
        <v>C354</v>
      </c>
      <c r="I382" s="51" t="s">
        <v>642</v>
      </c>
      <c r="J382" s="74" t="s">
        <v>323</v>
      </c>
      <c r="K382" s="51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</row>
    <row r="383">
      <c r="A383" s="59">
        <f t="shared" si="2"/>
        <v>382</v>
      </c>
      <c r="B383" s="61" t="str">
        <f t="shared" si="4"/>
        <v>C382</v>
      </c>
      <c r="C383" s="63" t="s">
        <v>1507</v>
      </c>
      <c r="D383" s="58" t="s">
        <v>1508</v>
      </c>
      <c r="E383" s="63" t="s">
        <v>58</v>
      </c>
      <c r="F383" s="63" t="s">
        <v>318</v>
      </c>
      <c r="G383" s="64" t="s">
        <v>96</v>
      </c>
      <c r="H383" s="102" t="str">
        <f t="shared" si="22"/>
        <v>C354</v>
      </c>
      <c r="I383" s="74" t="s">
        <v>1509</v>
      </c>
      <c r="J383" s="74" t="s">
        <v>323</v>
      </c>
      <c r="K383" s="51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</row>
    <row r="384">
      <c r="A384" s="27">
        <f t="shared" si="2"/>
        <v>383</v>
      </c>
      <c r="B384" s="40" t="str">
        <f t="shared" si="4"/>
        <v>C383</v>
      </c>
      <c r="C384" s="43" t="s">
        <v>1510</v>
      </c>
      <c r="D384" s="51" t="s">
        <v>1511</v>
      </c>
      <c r="E384" s="43" t="s">
        <v>30</v>
      </c>
      <c r="F384" s="43" t="s">
        <v>35</v>
      </c>
      <c r="G384" s="49" t="s">
        <v>96</v>
      </c>
      <c r="H384" s="43" t="s">
        <v>188</v>
      </c>
      <c r="I384" s="51" t="s">
        <v>1511</v>
      </c>
      <c r="J384" s="51" t="s">
        <v>42</v>
      </c>
      <c r="K384" s="58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</row>
    <row r="385">
      <c r="A385" s="59">
        <f t="shared" si="2"/>
        <v>384</v>
      </c>
      <c r="B385" s="61" t="str">
        <f t="shared" si="4"/>
        <v>C384</v>
      </c>
      <c r="C385" s="63" t="s">
        <v>1512</v>
      </c>
      <c r="D385" s="58" t="s">
        <v>1513</v>
      </c>
      <c r="E385" s="63" t="s">
        <v>58</v>
      </c>
      <c r="F385" s="63" t="s">
        <v>1444</v>
      </c>
      <c r="G385" s="64" t="s">
        <v>39</v>
      </c>
      <c r="H385" s="102" t="str">
        <f t="shared" ref="H385:H403" si="23">B$384</f>
        <v>C383</v>
      </c>
      <c r="I385" s="58" t="s">
        <v>1513</v>
      </c>
      <c r="J385" s="58" t="s">
        <v>42</v>
      </c>
      <c r="K385" s="58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</row>
    <row r="386">
      <c r="A386" s="59">
        <f t="shared" si="2"/>
        <v>385</v>
      </c>
      <c r="B386" s="61" t="str">
        <f t="shared" si="4"/>
        <v>C385</v>
      </c>
      <c r="C386" s="63" t="s">
        <v>1514</v>
      </c>
      <c r="D386" s="58" t="s">
        <v>1515</v>
      </c>
      <c r="E386" s="63" t="s">
        <v>58</v>
      </c>
      <c r="F386" s="63" t="s">
        <v>1436</v>
      </c>
      <c r="G386" s="64" t="s">
        <v>39</v>
      </c>
      <c r="H386" s="102" t="str">
        <f t="shared" si="23"/>
        <v>C383</v>
      </c>
      <c r="I386" s="58" t="s">
        <v>1515</v>
      </c>
      <c r="J386" s="63" t="s">
        <v>42</v>
      </c>
      <c r="K386" s="51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</row>
    <row r="387">
      <c r="A387" s="59">
        <f t="shared" si="2"/>
        <v>386</v>
      </c>
      <c r="B387" s="61" t="str">
        <f t="shared" si="4"/>
        <v>C386</v>
      </c>
      <c r="C387" s="63" t="s">
        <v>1516</v>
      </c>
      <c r="D387" s="58" t="s">
        <v>1517</v>
      </c>
      <c r="E387" s="63" t="s">
        <v>58</v>
      </c>
      <c r="F387" s="63" t="s">
        <v>1439</v>
      </c>
      <c r="G387" s="64" t="s">
        <v>39</v>
      </c>
      <c r="H387" s="102" t="str">
        <f t="shared" si="23"/>
        <v>C383</v>
      </c>
      <c r="I387" s="58" t="s">
        <v>1517</v>
      </c>
      <c r="J387" s="63" t="s">
        <v>42</v>
      </c>
      <c r="K387" s="58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</row>
    <row r="388">
      <c r="A388" s="59">
        <f t="shared" si="2"/>
        <v>387</v>
      </c>
      <c r="B388" s="61" t="str">
        <f t="shared" si="4"/>
        <v>C387</v>
      </c>
      <c r="C388" s="63" t="s">
        <v>1518</v>
      </c>
      <c r="D388" s="58" t="s">
        <v>1519</v>
      </c>
      <c r="E388" s="63" t="s">
        <v>58</v>
      </c>
      <c r="F388" s="63" t="s">
        <v>951</v>
      </c>
      <c r="G388" s="64" t="s">
        <v>39</v>
      </c>
      <c r="H388" s="102" t="str">
        <f t="shared" si="23"/>
        <v>C383</v>
      </c>
      <c r="I388" s="58"/>
      <c r="J388" s="63" t="s">
        <v>42</v>
      </c>
      <c r="K388" s="58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</row>
    <row r="389">
      <c r="A389" s="59">
        <f t="shared" si="2"/>
        <v>388</v>
      </c>
      <c r="B389" s="61" t="str">
        <f t="shared" si="4"/>
        <v>C388</v>
      </c>
      <c r="C389" s="63" t="s">
        <v>1520</v>
      </c>
      <c r="D389" s="58" t="s">
        <v>1508</v>
      </c>
      <c r="E389" s="63" t="s">
        <v>58</v>
      </c>
      <c r="F389" s="63" t="s">
        <v>318</v>
      </c>
      <c r="G389" s="64" t="s">
        <v>96</v>
      </c>
      <c r="H389" s="102" t="str">
        <f t="shared" si="23"/>
        <v>C383</v>
      </c>
      <c r="I389" s="74" t="s">
        <v>1521</v>
      </c>
      <c r="J389" s="74" t="s">
        <v>323</v>
      </c>
      <c r="K389" s="58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</row>
    <row r="390">
      <c r="A390" s="59">
        <f t="shared" si="2"/>
        <v>389</v>
      </c>
      <c r="B390" s="61" t="str">
        <f t="shared" si="4"/>
        <v>C389</v>
      </c>
      <c r="C390" s="63" t="s">
        <v>1522</v>
      </c>
      <c r="D390" s="58" t="s">
        <v>1523</v>
      </c>
      <c r="E390" s="63" t="s">
        <v>58</v>
      </c>
      <c r="F390" s="63" t="s">
        <v>762</v>
      </c>
      <c r="G390" s="64" t="s">
        <v>96</v>
      </c>
      <c r="H390" s="102" t="str">
        <f t="shared" si="23"/>
        <v>C383</v>
      </c>
      <c r="I390" s="58" t="s">
        <v>1523</v>
      </c>
      <c r="J390" s="58" t="s">
        <v>42</v>
      </c>
      <c r="K390" s="58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</row>
    <row r="391">
      <c r="A391" s="59">
        <f t="shared" si="2"/>
        <v>390</v>
      </c>
      <c r="B391" s="61" t="str">
        <f t="shared" si="4"/>
        <v>C390</v>
      </c>
      <c r="C391" s="63" t="s">
        <v>1524</v>
      </c>
      <c r="D391" s="58" t="s">
        <v>1525</v>
      </c>
      <c r="E391" s="63" t="s">
        <v>58</v>
      </c>
      <c r="F391" s="63" t="s">
        <v>1526</v>
      </c>
      <c r="G391" s="64" t="s">
        <v>96</v>
      </c>
      <c r="H391" s="102" t="str">
        <f t="shared" si="23"/>
        <v>C383</v>
      </c>
      <c r="I391" s="58" t="s">
        <v>1527</v>
      </c>
      <c r="J391" s="58" t="s">
        <v>1159</v>
      </c>
      <c r="K391" s="58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</row>
    <row r="392">
      <c r="A392" s="59">
        <f t="shared" si="2"/>
        <v>391</v>
      </c>
      <c r="B392" s="61" t="str">
        <f t="shared" si="4"/>
        <v>C391</v>
      </c>
      <c r="C392" s="63" t="s">
        <v>1528</v>
      </c>
      <c r="D392" s="58" t="s">
        <v>1388</v>
      </c>
      <c r="E392" s="63" t="s">
        <v>58</v>
      </c>
      <c r="F392" s="63" t="s">
        <v>1529</v>
      </c>
      <c r="G392" s="64" t="s">
        <v>96</v>
      </c>
      <c r="H392" s="102" t="str">
        <f t="shared" si="23"/>
        <v>C383</v>
      </c>
      <c r="I392" s="58" t="s">
        <v>1530</v>
      </c>
      <c r="J392" s="58" t="s">
        <v>1531</v>
      </c>
      <c r="K392" s="58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</row>
    <row r="393">
      <c r="A393" s="59">
        <f t="shared" si="2"/>
        <v>392</v>
      </c>
      <c r="B393" s="61" t="str">
        <f t="shared" si="4"/>
        <v>C392</v>
      </c>
      <c r="C393" s="63" t="s">
        <v>1532</v>
      </c>
      <c r="D393" s="58" t="s">
        <v>1533</v>
      </c>
      <c r="E393" s="63" t="s">
        <v>58</v>
      </c>
      <c r="F393" s="63" t="s">
        <v>1164</v>
      </c>
      <c r="G393" s="64" t="s">
        <v>96</v>
      </c>
      <c r="H393" s="102" t="str">
        <f t="shared" si="23"/>
        <v>C383</v>
      </c>
      <c r="I393" s="58" t="s">
        <v>1530</v>
      </c>
      <c r="J393" s="58" t="s">
        <v>1531</v>
      </c>
      <c r="K393" s="58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</row>
    <row r="394">
      <c r="A394" s="59">
        <f t="shared" si="2"/>
        <v>393</v>
      </c>
      <c r="B394" s="61" t="str">
        <f t="shared" si="4"/>
        <v>C393</v>
      </c>
      <c r="C394" s="63" t="s">
        <v>1534</v>
      </c>
      <c r="D394" s="58" t="s">
        <v>1535</v>
      </c>
      <c r="E394" s="63" t="s">
        <v>58</v>
      </c>
      <c r="F394" s="63" t="s">
        <v>1001</v>
      </c>
      <c r="G394" s="64" t="s">
        <v>96</v>
      </c>
      <c r="H394" s="102" t="str">
        <f t="shared" si="23"/>
        <v>C383</v>
      </c>
      <c r="I394" s="58" t="s">
        <v>1530</v>
      </c>
      <c r="J394" s="58" t="s">
        <v>1531</v>
      </c>
      <c r="K394" s="58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</row>
    <row r="395">
      <c r="A395" s="59">
        <f t="shared" si="2"/>
        <v>394</v>
      </c>
      <c r="B395" s="61" t="str">
        <f t="shared" si="4"/>
        <v>C394</v>
      </c>
      <c r="C395" s="63" t="s">
        <v>1536</v>
      </c>
      <c r="D395" s="58" t="s">
        <v>670</v>
      </c>
      <c r="E395" s="63" t="s">
        <v>58</v>
      </c>
      <c r="F395" s="63" t="s">
        <v>1001</v>
      </c>
      <c r="G395" s="64" t="s">
        <v>96</v>
      </c>
      <c r="H395" s="102" t="str">
        <f t="shared" si="23"/>
        <v>C383</v>
      </c>
      <c r="I395" s="58" t="s">
        <v>1530</v>
      </c>
      <c r="J395" s="58" t="s">
        <v>1531</v>
      </c>
      <c r="K395" s="51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</row>
    <row r="396">
      <c r="A396" s="59">
        <f t="shared" si="2"/>
        <v>395</v>
      </c>
      <c r="B396" s="61" t="str">
        <f t="shared" si="4"/>
        <v>C395</v>
      </c>
      <c r="C396" s="63" t="s">
        <v>1537</v>
      </c>
      <c r="D396" s="58" t="s">
        <v>1538</v>
      </c>
      <c r="E396" s="63" t="s">
        <v>58</v>
      </c>
      <c r="F396" s="77" t="s">
        <v>1397</v>
      </c>
      <c r="G396" s="64" t="s">
        <v>96</v>
      </c>
      <c r="H396" s="102" t="str">
        <f t="shared" si="23"/>
        <v>C383</v>
      </c>
      <c r="I396" s="58" t="s">
        <v>1530</v>
      </c>
      <c r="J396" s="58" t="s">
        <v>1531</v>
      </c>
      <c r="K396" s="58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</row>
    <row r="397">
      <c r="A397" s="59">
        <f t="shared" si="2"/>
        <v>396</v>
      </c>
      <c r="B397" s="61" t="str">
        <f t="shared" si="4"/>
        <v>C396</v>
      </c>
      <c r="C397" s="63" t="s">
        <v>1539</v>
      </c>
      <c r="D397" s="58" t="s">
        <v>1540</v>
      </c>
      <c r="E397" s="63" t="s">
        <v>58</v>
      </c>
      <c r="F397" s="63" t="s">
        <v>987</v>
      </c>
      <c r="G397" s="64" t="s">
        <v>96</v>
      </c>
      <c r="H397" s="102" t="str">
        <f t="shared" si="23"/>
        <v>C383</v>
      </c>
      <c r="I397" s="76" t="s">
        <v>1541</v>
      </c>
      <c r="J397" s="58" t="s">
        <v>1531</v>
      </c>
      <c r="K397" s="58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</row>
    <row r="398">
      <c r="A398" s="59">
        <f t="shared" si="2"/>
        <v>397</v>
      </c>
      <c r="B398" s="61" t="str">
        <f t="shared" si="4"/>
        <v>C397</v>
      </c>
      <c r="C398" s="63" t="s">
        <v>1542</v>
      </c>
      <c r="D398" s="58" t="s">
        <v>1460</v>
      </c>
      <c r="E398" s="63" t="s">
        <v>58</v>
      </c>
      <c r="F398" s="63" t="s">
        <v>559</v>
      </c>
      <c r="G398" s="64" t="s">
        <v>96</v>
      </c>
      <c r="H398" s="102" t="str">
        <f t="shared" si="23"/>
        <v>C383</v>
      </c>
      <c r="I398" s="58" t="s">
        <v>1530</v>
      </c>
      <c r="J398" s="58" t="s">
        <v>1531</v>
      </c>
      <c r="K398" s="51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</row>
    <row r="399">
      <c r="A399" s="59">
        <f t="shared" si="2"/>
        <v>398</v>
      </c>
      <c r="B399" s="61" t="str">
        <f t="shared" si="4"/>
        <v>C398</v>
      </c>
      <c r="C399" s="63" t="s">
        <v>1543</v>
      </c>
      <c r="D399" s="58" t="s">
        <v>1544</v>
      </c>
      <c r="E399" s="63" t="s">
        <v>58</v>
      </c>
      <c r="F399" s="63" t="s">
        <v>1439</v>
      </c>
      <c r="G399" s="64" t="s">
        <v>96</v>
      </c>
      <c r="H399" s="102" t="str">
        <f t="shared" si="23"/>
        <v>C383</v>
      </c>
      <c r="I399" s="58" t="s">
        <v>1530</v>
      </c>
      <c r="J399" s="58" t="s">
        <v>1531</v>
      </c>
      <c r="K399" s="58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</row>
    <row r="400">
      <c r="A400" s="59">
        <f t="shared" si="2"/>
        <v>399</v>
      </c>
      <c r="B400" s="61" t="str">
        <f t="shared" si="4"/>
        <v>C399</v>
      </c>
      <c r="C400" s="77" t="s">
        <v>1545</v>
      </c>
      <c r="D400" s="58" t="s">
        <v>612</v>
      </c>
      <c r="E400" s="63" t="s">
        <v>58</v>
      </c>
      <c r="F400" s="63" t="s">
        <v>951</v>
      </c>
      <c r="G400" s="64" t="s">
        <v>96</v>
      </c>
      <c r="H400" s="102" t="str">
        <f t="shared" si="23"/>
        <v>C383</v>
      </c>
      <c r="I400" s="58" t="s">
        <v>1530</v>
      </c>
      <c r="J400" s="58" t="s">
        <v>1531</v>
      </c>
      <c r="K400" s="58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</row>
    <row r="401">
      <c r="A401" s="59">
        <f t="shared" si="2"/>
        <v>400</v>
      </c>
      <c r="B401" s="61" t="str">
        <f t="shared" si="4"/>
        <v>C400</v>
      </c>
      <c r="C401" s="63" t="s">
        <v>1546</v>
      </c>
      <c r="D401" s="58" t="s">
        <v>1547</v>
      </c>
      <c r="E401" s="63" t="s">
        <v>58</v>
      </c>
      <c r="F401" s="63" t="s">
        <v>1548</v>
      </c>
      <c r="G401" s="64" t="s">
        <v>96</v>
      </c>
      <c r="H401" s="102" t="str">
        <f t="shared" si="23"/>
        <v>C383</v>
      </c>
      <c r="I401" s="74" t="s">
        <v>1549</v>
      </c>
      <c r="J401" s="74" t="s">
        <v>323</v>
      </c>
      <c r="K401" s="58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</row>
    <row r="402">
      <c r="A402" s="59">
        <f t="shared" si="2"/>
        <v>401</v>
      </c>
      <c r="B402" s="61" t="str">
        <f t="shared" si="4"/>
        <v>C401</v>
      </c>
      <c r="C402" s="63" t="s">
        <v>1550</v>
      </c>
      <c r="D402" s="58" t="s">
        <v>1551</v>
      </c>
      <c r="E402" s="63" t="s">
        <v>58</v>
      </c>
      <c r="F402" s="63" t="s">
        <v>907</v>
      </c>
      <c r="G402" s="64" t="s">
        <v>96</v>
      </c>
      <c r="H402" s="102" t="str">
        <f t="shared" si="23"/>
        <v>C383</v>
      </c>
      <c r="I402" s="74" t="s">
        <v>1552</v>
      </c>
      <c r="J402" s="74" t="s">
        <v>323</v>
      </c>
      <c r="K402" s="58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</row>
    <row r="403">
      <c r="A403" s="59">
        <f t="shared" si="2"/>
        <v>402</v>
      </c>
      <c r="B403" s="61" t="str">
        <f t="shared" si="4"/>
        <v>C402</v>
      </c>
      <c r="C403" s="63" t="s">
        <v>1553</v>
      </c>
      <c r="D403" s="58" t="s">
        <v>1506</v>
      </c>
      <c r="E403" s="63" t="s">
        <v>58</v>
      </c>
      <c r="F403" s="63" t="s">
        <v>815</v>
      </c>
      <c r="G403" s="64" t="s">
        <v>96</v>
      </c>
      <c r="H403" s="102" t="str">
        <f t="shared" si="23"/>
        <v>C383</v>
      </c>
      <c r="I403" s="51" t="s">
        <v>642</v>
      </c>
      <c r="J403" s="74" t="s">
        <v>323</v>
      </c>
      <c r="K403" s="58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</row>
    <row r="404">
      <c r="A404" s="157">
        <f t="shared" si="2"/>
        <v>403</v>
      </c>
      <c r="B404" s="143" t="str">
        <f t="shared" si="4"/>
        <v>C403</v>
      </c>
      <c r="C404" s="158" t="s">
        <v>1554</v>
      </c>
      <c r="D404" s="101" t="s">
        <v>1555</v>
      </c>
      <c r="E404" s="193" t="s">
        <v>30</v>
      </c>
      <c r="F404" s="193" t="s">
        <v>35</v>
      </c>
      <c r="G404" s="158" t="s">
        <v>96</v>
      </c>
      <c r="H404" s="148" t="str">
        <f>B$9</f>
        <v>C08</v>
      </c>
      <c r="I404" s="101" t="s">
        <v>35</v>
      </c>
      <c r="J404" s="145" t="s">
        <v>414</v>
      </c>
      <c r="K404" s="87" t="s">
        <v>35</v>
      </c>
      <c r="L404" s="115"/>
      <c r="M404" s="115"/>
      <c r="N404" s="115"/>
      <c r="O404" s="115"/>
      <c r="P404" s="115"/>
      <c r="Q404" s="115"/>
      <c r="R404" s="115"/>
      <c r="S404" s="115"/>
      <c r="T404" s="115"/>
      <c r="U404" s="115"/>
      <c r="V404" s="115"/>
      <c r="W404" s="115"/>
      <c r="X404" s="115"/>
    </row>
    <row r="405">
      <c r="A405" s="79">
        <f t="shared" si="2"/>
        <v>404</v>
      </c>
      <c r="B405" s="80" t="str">
        <f t="shared" si="4"/>
        <v>C404</v>
      </c>
      <c r="C405" s="82" t="s">
        <v>1556</v>
      </c>
      <c r="D405" s="87" t="s">
        <v>1557</v>
      </c>
      <c r="E405" s="83" t="s">
        <v>575</v>
      </c>
      <c r="F405" s="81" t="s">
        <v>815</v>
      </c>
      <c r="G405" s="81" t="s">
        <v>96</v>
      </c>
      <c r="H405" s="202" t="str">
        <f t="shared" ref="H405:H422" si="24">B$404</f>
        <v>C403</v>
      </c>
      <c r="I405" s="88" t="s">
        <v>418</v>
      </c>
      <c r="J405" s="89" t="s">
        <v>414</v>
      </c>
      <c r="K405" s="87" t="s">
        <v>35</v>
      </c>
      <c r="L405" s="86"/>
      <c r="M405" s="86"/>
      <c r="N405" s="86"/>
      <c r="O405" s="86"/>
      <c r="P405" s="86"/>
      <c r="Q405" s="86"/>
      <c r="R405" s="86"/>
      <c r="S405" s="86"/>
      <c r="T405" s="86"/>
      <c r="U405" s="86"/>
      <c r="V405" s="86"/>
      <c r="W405" s="86"/>
      <c r="X405" s="86"/>
    </row>
    <row r="406">
      <c r="A406" s="79">
        <f t="shared" si="2"/>
        <v>405</v>
      </c>
      <c r="B406" s="80" t="str">
        <f t="shared" si="4"/>
        <v>C405</v>
      </c>
      <c r="C406" s="82" t="s">
        <v>1558</v>
      </c>
      <c r="D406" s="87" t="s">
        <v>1559</v>
      </c>
      <c r="E406" s="83" t="s">
        <v>575</v>
      </c>
      <c r="F406" s="81" t="s">
        <v>811</v>
      </c>
      <c r="G406" s="81" t="s">
        <v>96</v>
      </c>
      <c r="H406" s="202" t="str">
        <f t="shared" si="24"/>
        <v>C403</v>
      </c>
      <c r="I406" s="88" t="s">
        <v>418</v>
      </c>
      <c r="J406" s="89" t="s">
        <v>414</v>
      </c>
      <c r="K406" s="87" t="s">
        <v>35</v>
      </c>
      <c r="L406" s="86"/>
      <c r="M406" s="86"/>
      <c r="N406" s="86"/>
      <c r="O406" s="86"/>
      <c r="P406" s="86"/>
      <c r="Q406" s="86"/>
      <c r="R406" s="86"/>
      <c r="S406" s="86"/>
      <c r="T406" s="86"/>
      <c r="U406" s="86"/>
      <c r="V406" s="86"/>
      <c r="W406" s="86"/>
      <c r="X406" s="86"/>
    </row>
    <row r="407">
      <c r="A407" s="79">
        <f t="shared" si="2"/>
        <v>406</v>
      </c>
      <c r="B407" s="80" t="str">
        <f t="shared" si="4"/>
        <v>C406</v>
      </c>
      <c r="C407" s="82" t="s">
        <v>1560</v>
      </c>
      <c r="D407" s="87" t="s">
        <v>1561</v>
      </c>
      <c r="E407" s="83" t="s">
        <v>575</v>
      </c>
      <c r="F407" s="81" t="s">
        <v>951</v>
      </c>
      <c r="G407" s="81" t="s">
        <v>96</v>
      </c>
      <c r="H407" s="202" t="str">
        <f t="shared" si="24"/>
        <v>C403</v>
      </c>
      <c r="I407" s="88" t="s">
        <v>418</v>
      </c>
      <c r="J407" s="89" t="s">
        <v>414</v>
      </c>
      <c r="K407" s="87" t="s">
        <v>35</v>
      </c>
      <c r="L407" s="86"/>
      <c r="M407" s="86"/>
      <c r="N407" s="86"/>
      <c r="O407" s="86"/>
      <c r="P407" s="86"/>
      <c r="Q407" s="86"/>
      <c r="R407" s="86"/>
      <c r="S407" s="86"/>
      <c r="T407" s="86"/>
      <c r="U407" s="86"/>
      <c r="V407" s="86"/>
      <c r="W407" s="86"/>
      <c r="X407" s="86"/>
    </row>
    <row r="408">
      <c r="A408" s="79">
        <f t="shared" si="2"/>
        <v>407</v>
      </c>
      <c r="B408" s="80" t="str">
        <f t="shared" si="4"/>
        <v>C407</v>
      </c>
      <c r="C408" s="82" t="s">
        <v>1562</v>
      </c>
      <c r="D408" s="82" t="s">
        <v>1508</v>
      </c>
      <c r="E408" s="83" t="s">
        <v>575</v>
      </c>
      <c r="F408" s="81" t="s">
        <v>169</v>
      </c>
      <c r="G408" s="81" t="s">
        <v>96</v>
      </c>
      <c r="H408" s="202" t="str">
        <f t="shared" si="24"/>
        <v>C403</v>
      </c>
      <c r="I408" s="82" t="s">
        <v>1563</v>
      </c>
      <c r="J408" s="89" t="s">
        <v>414</v>
      </c>
      <c r="K408" s="87" t="s">
        <v>35</v>
      </c>
      <c r="L408" s="86"/>
      <c r="M408" s="86"/>
      <c r="N408" s="86"/>
      <c r="O408" s="86"/>
      <c r="P408" s="86"/>
      <c r="Q408" s="86"/>
      <c r="R408" s="86"/>
      <c r="S408" s="86"/>
      <c r="T408" s="86"/>
      <c r="U408" s="86"/>
      <c r="V408" s="86"/>
      <c r="W408" s="86"/>
      <c r="X408" s="86"/>
    </row>
    <row r="409">
      <c r="A409" s="132">
        <f t="shared" si="2"/>
        <v>408</v>
      </c>
      <c r="B409" s="133" t="str">
        <f t="shared" si="4"/>
        <v>C408</v>
      </c>
      <c r="C409" s="78" t="s">
        <v>1564</v>
      </c>
      <c r="D409" s="78" t="s">
        <v>1565</v>
      </c>
      <c r="E409" s="184" t="s">
        <v>58</v>
      </c>
      <c r="F409" s="184" t="s">
        <v>951</v>
      </c>
      <c r="G409" s="184" t="s">
        <v>96</v>
      </c>
      <c r="H409" s="203" t="str">
        <f t="shared" si="24"/>
        <v>C403</v>
      </c>
      <c r="I409" s="204" t="s">
        <v>418</v>
      </c>
      <c r="J409" s="187" t="s">
        <v>1566</v>
      </c>
      <c r="K409" s="188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</row>
    <row r="410">
      <c r="A410" s="132">
        <f t="shared" si="2"/>
        <v>409</v>
      </c>
      <c r="B410" s="133" t="str">
        <f t="shared" si="4"/>
        <v>C409</v>
      </c>
      <c r="C410" s="78" t="s">
        <v>1567</v>
      </c>
      <c r="D410" s="78" t="s">
        <v>1568</v>
      </c>
      <c r="E410" s="184" t="s">
        <v>58</v>
      </c>
      <c r="F410" s="184" t="s">
        <v>951</v>
      </c>
      <c r="G410" s="184" t="s">
        <v>96</v>
      </c>
      <c r="H410" s="203" t="str">
        <f t="shared" si="24"/>
        <v>C403</v>
      </c>
      <c r="I410" s="204" t="s">
        <v>418</v>
      </c>
      <c r="J410" s="187" t="s">
        <v>1566</v>
      </c>
      <c r="K410" s="188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</row>
    <row r="411">
      <c r="A411" s="79">
        <f t="shared" si="2"/>
        <v>410</v>
      </c>
      <c r="B411" s="80" t="str">
        <f t="shared" si="4"/>
        <v>C410</v>
      </c>
      <c r="C411" s="82" t="s">
        <v>1569</v>
      </c>
      <c r="D411" s="87" t="s">
        <v>1570</v>
      </c>
      <c r="E411" s="83" t="s">
        <v>58</v>
      </c>
      <c r="F411" s="81" t="s">
        <v>1571</v>
      </c>
      <c r="G411" s="156">
        <v>45658.0</v>
      </c>
      <c r="H411" s="202" t="str">
        <f t="shared" si="24"/>
        <v>C403</v>
      </c>
      <c r="I411" s="88" t="s">
        <v>418</v>
      </c>
      <c r="J411" s="89" t="s">
        <v>414</v>
      </c>
      <c r="K411" s="87"/>
      <c r="L411" s="86"/>
      <c r="M411" s="86"/>
      <c r="N411" s="86"/>
      <c r="O411" s="86"/>
      <c r="P411" s="86"/>
      <c r="Q411" s="86"/>
      <c r="R411" s="86"/>
      <c r="S411" s="86"/>
      <c r="T411" s="86"/>
      <c r="U411" s="86"/>
      <c r="V411" s="86"/>
      <c r="W411" s="86"/>
      <c r="X411" s="86"/>
    </row>
    <row r="412">
      <c r="A412" s="79">
        <f t="shared" si="2"/>
        <v>411</v>
      </c>
      <c r="B412" s="80" t="str">
        <f t="shared" si="4"/>
        <v>C411</v>
      </c>
      <c r="C412" s="82" t="s">
        <v>1572</v>
      </c>
      <c r="D412" s="82" t="s">
        <v>1573</v>
      </c>
      <c r="E412" s="83" t="s">
        <v>58</v>
      </c>
      <c r="F412" s="81" t="s">
        <v>559</v>
      </c>
      <c r="G412" s="81" t="s">
        <v>96</v>
      </c>
      <c r="H412" s="202" t="str">
        <f t="shared" si="24"/>
        <v>C403</v>
      </c>
      <c r="I412" s="88" t="s">
        <v>418</v>
      </c>
      <c r="J412" s="89" t="s">
        <v>414</v>
      </c>
      <c r="K412" s="87"/>
      <c r="L412" s="86"/>
      <c r="M412" s="86"/>
      <c r="N412" s="86"/>
      <c r="O412" s="86"/>
      <c r="P412" s="86"/>
      <c r="Q412" s="86"/>
      <c r="R412" s="86"/>
      <c r="S412" s="86"/>
      <c r="T412" s="86"/>
      <c r="U412" s="86"/>
      <c r="V412" s="86"/>
      <c r="W412" s="86"/>
      <c r="X412" s="86"/>
    </row>
    <row r="413">
      <c r="A413" s="79">
        <f t="shared" si="2"/>
        <v>412</v>
      </c>
      <c r="B413" s="80" t="str">
        <f t="shared" si="4"/>
        <v>C412</v>
      </c>
      <c r="C413" s="82" t="s">
        <v>1574</v>
      </c>
      <c r="D413" s="82" t="s">
        <v>1575</v>
      </c>
      <c r="E413" s="83" t="s">
        <v>58</v>
      </c>
      <c r="F413" s="81" t="s">
        <v>1001</v>
      </c>
      <c r="G413" s="81" t="s">
        <v>96</v>
      </c>
      <c r="H413" s="202" t="str">
        <f t="shared" si="24"/>
        <v>C403</v>
      </c>
      <c r="I413" s="88" t="s">
        <v>418</v>
      </c>
      <c r="J413" s="89" t="s">
        <v>414</v>
      </c>
      <c r="K413" s="87"/>
      <c r="L413" s="86"/>
      <c r="M413" s="86"/>
      <c r="N413" s="86"/>
      <c r="O413" s="86"/>
      <c r="P413" s="86"/>
      <c r="Q413" s="86"/>
      <c r="R413" s="86"/>
      <c r="S413" s="86"/>
      <c r="T413" s="86"/>
      <c r="U413" s="86"/>
      <c r="V413" s="86"/>
      <c r="W413" s="86"/>
      <c r="X413" s="86"/>
    </row>
    <row r="414">
      <c r="A414" s="79">
        <f t="shared" si="2"/>
        <v>413</v>
      </c>
      <c r="B414" s="80" t="str">
        <f t="shared" si="4"/>
        <v>C413</v>
      </c>
      <c r="C414" s="82" t="s">
        <v>1576</v>
      </c>
      <c r="D414" s="87" t="s">
        <v>1577</v>
      </c>
      <c r="E414" s="83" t="s">
        <v>58</v>
      </c>
      <c r="F414" s="81" t="s">
        <v>1578</v>
      </c>
      <c r="G414" s="81" t="s">
        <v>96</v>
      </c>
      <c r="H414" s="202" t="str">
        <f t="shared" si="24"/>
        <v>C403</v>
      </c>
      <c r="I414" s="88" t="s">
        <v>418</v>
      </c>
      <c r="J414" s="89" t="s">
        <v>414</v>
      </c>
      <c r="K414" s="87" t="s">
        <v>35</v>
      </c>
      <c r="L414" s="86"/>
      <c r="M414" s="86"/>
      <c r="N414" s="86"/>
      <c r="O414" s="86"/>
      <c r="P414" s="86"/>
      <c r="Q414" s="86"/>
      <c r="R414" s="86"/>
      <c r="S414" s="86"/>
      <c r="T414" s="86"/>
      <c r="U414" s="86"/>
      <c r="V414" s="86"/>
      <c r="W414" s="86"/>
      <c r="X414" s="86"/>
    </row>
    <row r="415">
      <c r="A415" s="79">
        <f t="shared" si="2"/>
        <v>414</v>
      </c>
      <c r="B415" s="80" t="str">
        <f t="shared" si="4"/>
        <v>C414</v>
      </c>
      <c r="C415" s="82" t="s">
        <v>1579</v>
      </c>
      <c r="D415" s="82" t="s">
        <v>1580</v>
      </c>
      <c r="E415" s="83" t="s">
        <v>58</v>
      </c>
      <c r="F415" s="81" t="s">
        <v>1001</v>
      </c>
      <c r="G415" s="81" t="s">
        <v>96</v>
      </c>
      <c r="H415" s="202" t="str">
        <f t="shared" si="24"/>
        <v>C403</v>
      </c>
      <c r="I415" s="88" t="s">
        <v>418</v>
      </c>
      <c r="J415" s="89" t="s">
        <v>414</v>
      </c>
      <c r="K415" s="87" t="s">
        <v>35</v>
      </c>
      <c r="L415" s="86"/>
      <c r="M415" s="86"/>
      <c r="N415" s="86"/>
      <c r="O415" s="86"/>
      <c r="P415" s="86"/>
      <c r="Q415" s="86"/>
      <c r="R415" s="86"/>
      <c r="S415" s="86"/>
      <c r="T415" s="86"/>
      <c r="U415" s="86"/>
      <c r="V415" s="86"/>
      <c r="W415" s="86"/>
      <c r="X415" s="86"/>
    </row>
    <row r="416">
      <c r="A416" s="79">
        <f t="shared" si="2"/>
        <v>415</v>
      </c>
      <c r="B416" s="80" t="str">
        <f t="shared" si="4"/>
        <v>C415</v>
      </c>
      <c r="C416" s="82" t="s">
        <v>1581</v>
      </c>
      <c r="D416" s="82" t="s">
        <v>1582</v>
      </c>
      <c r="E416" s="83" t="s">
        <v>58</v>
      </c>
      <c r="F416" s="81" t="s">
        <v>1583</v>
      </c>
      <c r="G416" s="81" t="s">
        <v>96</v>
      </c>
      <c r="H416" s="202" t="str">
        <f t="shared" si="24"/>
        <v>C403</v>
      </c>
      <c r="I416" s="82" t="s">
        <v>1584</v>
      </c>
      <c r="J416" s="89" t="s">
        <v>414</v>
      </c>
      <c r="K416" s="87" t="s">
        <v>35</v>
      </c>
      <c r="L416" s="86"/>
      <c r="M416" s="86"/>
      <c r="N416" s="86"/>
      <c r="O416" s="86"/>
      <c r="P416" s="86"/>
      <c r="Q416" s="86"/>
      <c r="R416" s="86"/>
      <c r="S416" s="86"/>
      <c r="T416" s="86"/>
      <c r="U416" s="86"/>
      <c r="V416" s="86"/>
      <c r="W416" s="86"/>
      <c r="X416" s="86"/>
    </row>
    <row r="417">
      <c r="A417" s="79">
        <f t="shared" si="2"/>
        <v>416</v>
      </c>
      <c r="B417" s="80" t="str">
        <f t="shared" si="4"/>
        <v>C416</v>
      </c>
      <c r="C417" s="82" t="s">
        <v>1585</v>
      </c>
      <c r="D417" s="82" t="s">
        <v>1586</v>
      </c>
      <c r="E417" s="83" t="s">
        <v>58</v>
      </c>
      <c r="F417" s="81" t="s">
        <v>1478</v>
      </c>
      <c r="G417" s="81" t="s">
        <v>96</v>
      </c>
      <c r="H417" s="202" t="str">
        <f t="shared" si="24"/>
        <v>C403</v>
      </c>
      <c r="I417" s="88" t="s">
        <v>418</v>
      </c>
      <c r="J417" s="89" t="s">
        <v>414</v>
      </c>
      <c r="K417" s="87" t="s">
        <v>35</v>
      </c>
      <c r="L417" s="86"/>
      <c r="M417" s="86"/>
      <c r="N417" s="86"/>
      <c r="O417" s="86"/>
      <c r="P417" s="86"/>
      <c r="Q417" s="86"/>
      <c r="R417" s="86"/>
      <c r="S417" s="86"/>
      <c r="T417" s="86"/>
      <c r="U417" s="86"/>
      <c r="V417" s="86"/>
      <c r="W417" s="86"/>
      <c r="X417" s="86"/>
    </row>
    <row r="418">
      <c r="A418" s="79">
        <f t="shared" si="2"/>
        <v>417</v>
      </c>
      <c r="B418" s="80" t="str">
        <f t="shared" si="4"/>
        <v>C417</v>
      </c>
      <c r="C418" s="82" t="s">
        <v>1587</v>
      </c>
      <c r="D418" s="82" t="s">
        <v>1588</v>
      </c>
      <c r="E418" s="83" t="s">
        <v>58</v>
      </c>
      <c r="F418" s="81" t="s">
        <v>987</v>
      </c>
      <c r="G418" s="81" t="s">
        <v>96</v>
      </c>
      <c r="H418" s="202" t="str">
        <f t="shared" si="24"/>
        <v>C403</v>
      </c>
      <c r="I418" s="88" t="s">
        <v>418</v>
      </c>
      <c r="J418" s="89" t="s">
        <v>414</v>
      </c>
      <c r="K418" s="87"/>
      <c r="L418" s="86"/>
      <c r="M418" s="86"/>
      <c r="N418" s="86"/>
      <c r="O418" s="86"/>
      <c r="P418" s="86"/>
      <c r="Q418" s="86"/>
      <c r="R418" s="86"/>
      <c r="S418" s="86"/>
      <c r="T418" s="86"/>
      <c r="U418" s="86"/>
      <c r="V418" s="86"/>
      <c r="W418" s="86"/>
      <c r="X418" s="86"/>
    </row>
    <row r="419">
      <c r="A419" s="79">
        <f t="shared" si="2"/>
        <v>418</v>
      </c>
      <c r="B419" s="80" t="str">
        <f t="shared" si="4"/>
        <v>C418</v>
      </c>
      <c r="C419" s="82" t="s">
        <v>1589</v>
      </c>
      <c r="D419" s="82" t="s">
        <v>1590</v>
      </c>
      <c r="E419" s="83" t="s">
        <v>58</v>
      </c>
      <c r="F419" s="81" t="s">
        <v>1001</v>
      </c>
      <c r="G419" s="81" t="s">
        <v>96</v>
      </c>
      <c r="H419" s="202" t="str">
        <f t="shared" si="24"/>
        <v>C403</v>
      </c>
      <c r="I419" s="82" t="s">
        <v>1591</v>
      </c>
      <c r="J419" s="89" t="s">
        <v>414</v>
      </c>
      <c r="K419" s="87"/>
      <c r="L419" s="86"/>
      <c r="M419" s="86"/>
      <c r="N419" s="86"/>
      <c r="O419" s="86"/>
      <c r="P419" s="86"/>
      <c r="Q419" s="86"/>
      <c r="R419" s="86"/>
      <c r="S419" s="86"/>
      <c r="T419" s="86"/>
      <c r="U419" s="86"/>
      <c r="V419" s="86"/>
      <c r="W419" s="86"/>
      <c r="X419" s="86"/>
    </row>
    <row r="420">
      <c r="A420" s="79">
        <f t="shared" si="2"/>
        <v>419</v>
      </c>
      <c r="B420" s="80" t="str">
        <f t="shared" si="4"/>
        <v>C419</v>
      </c>
      <c r="C420" s="82" t="s">
        <v>1592</v>
      </c>
      <c r="D420" s="87" t="s">
        <v>1593</v>
      </c>
      <c r="E420" s="83" t="s">
        <v>58</v>
      </c>
      <c r="F420" s="81" t="s">
        <v>1397</v>
      </c>
      <c r="G420" s="81" t="s">
        <v>96</v>
      </c>
      <c r="H420" s="202" t="str">
        <f t="shared" si="24"/>
        <v>C403</v>
      </c>
      <c r="I420" s="88" t="s">
        <v>418</v>
      </c>
      <c r="J420" s="89" t="s">
        <v>414</v>
      </c>
      <c r="K420" s="87"/>
      <c r="L420" s="86"/>
      <c r="M420" s="86"/>
      <c r="N420" s="86"/>
      <c r="O420" s="86"/>
      <c r="P420" s="86"/>
      <c r="Q420" s="86"/>
      <c r="R420" s="86"/>
      <c r="S420" s="86"/>
      <c r="T420" s="86"/>
      <c r="U420" s="86"/>
      <c r="V420" s="86"/>
      <c r="W420" s="86"/>
      <c r="X420" s="86"/>
    </row>
    <row r="421">
      <c r="A421" s="79">
        <f t="shared" si="2"/>
        <v>420</v>
      </c>
      <c r="B421" s="80" t="str">
        <f t="shared" si="4"/>
        <v>C420</v>
      </c>
      <c r="C421" s="82" t="s">
        <v>1594</v>
      </c>
      <c r="D421" s="82" t="s">
        <v>1595</v>
      </c>
      <c r="E421" s="83" t="s">
        <v>58</v>
      </c>
      <c r="F421" s="81" t="s">
        <v>1596</v>
      </c>
      <c r="G421" s="81" t="s">
        <v>96</v>
      </c>
      <c r="H421" s="202" t="str">
        <f t="shared" si="24"/>
        <v>C403</v>
      </c>
      <c r="I421" s="88" t="s">
        <v>418</v>
      </c>
      <c r="J421" s="89" t="s">
        <v>414</v>
      </c>
      <c r="K421" s="87"/>
      <c r="L421" s="86"/>
      <c r="M421" s="86"/>
      <c r="N421" s="86"/>
      <c r="O421" s="86"/>
      <c r="P421" s="86"/>
      <c r="Q421" s="86"/>
      <c r="R421" s="86"/>
      <c r="S421" s="86"/>
      <c r="T421" s="86"/>
      <c r="U421" s="86"/>
      <c r="V421" s="86"/>
      <c r="W421" s="86"/>
      <c r="X421" s="86"/>
    </row>
    <row r="422">
      <c r="A422" s="79">
        <f t="shared" si="2"/>
        <v>421</v>
      </c>
      <c r="B422" s="80" t="str">
        <f t="shared" si="4"/>
        <v>C421</v>
      </c>
      <c r="C422" s="82" t="s">
        <v>1597</v>
      </c>
      <c r="D422" s="82" t="s">
        <v>1598</v>
      </c>
      <c r="E422" s="83" t="s">
        <v>58</v>
      </c>
      <c r="F422" s="81" t="s">
        <v>1001</v>
      </c>
      <c r="G422" s="81" t="s">
        <v>96</v>
      </c>
      <c r="H422" s="202" t="str">
        <f t="shared" si="24"/>
        <v>C403</v>
      </c>
      <c r="I422" s="82" t="s">
        <v>1599</v>
      </c>
      <c r="J422" s="89" t="s">
        <v>414</v>
      </c>
      <c r="K422" s="87"/>
      <c r="L422" s="86"/>
      <c r="M422" s="86"/>
      <c r="N422" s="86"/>
      <c r="O422" s="86"/>
      <c r="P422" s="86"/>
      <c r="Q422" s="86"/>
      <c r="R422" s="86"/>
      <c r="S422" s="86"/>
      <c r="T422" s="86"/>
      <c r="U422" s="86"/>
      <c r="V422" s="86"/>
      <c r="W422" s="86"/>
      <c r="X422" s="86"/>
    </row>
    <row r="423">
      <c r="A423" s="27">
        <f t="shared" si="2"/>
        <v>422</v>
      </c>
      <c r="B423" s="40" t="str">
        <f t="shared" si="4"/>
        <v>C422</v>
      </c>
      <c r="C423" s="43" t="s">
        <v>1600</v>
      </c>
      <c r="D423" s="51"/>
      <c r="E423" s="43" t="s">
        <v>30</v>
      </c>
      <c r="F423" s="43" t="s">
        <v>35</v>
      </c>
      <c r="G423" s="49" t="s">
        <v>96</v>
      </c>
      <c r="H423" s="43" t="s">
        <v>188</v>
      </c>
      <c r="I423" s="51"/>
      <c r="J423" s="51" t="s">
        <v>42</v>
      </c>
      <c r="K423" s="51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</row>
    <row r="424">
      <c r="A424" s="59">
        <f t="shared" si="2"/>
        <v>423</v>
      </c>
      <c r="B424" s="61" t="str">
        <f t="shared" si="4"/>
        <v>C423</v>
      </c>
      <c r="C424" s="63" t="s">
        <v>1601</v>
      </c>
      <c r="D424" s="58" t="s">
        <v>1602</v>
      </c>
      <c r="E424" s="63" t="s">
        <v>58</v>
      </c>
      <c r="F424" s="63" t="s">
        <v>762</v>
      </c>
      <c r="G424" s="64" t="s">
        <v>96</v>
      </c>
      <c r="H424" s="102" t="str">
        <f t="shared" ref="H424:H449" si="25">B$423</f>
        <v>C422</v>
      </c>
      <c r="I424" s="58" t="s">
        <v>1603</v>
      </c>
      <c r="J424" s="58" t="s">
        <v>42</v>
      </c>
      <c r="K424" s="58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</row>
    <row r="425">
      <c r="A425" s="59">
        <f t="shared" si="2"/>
        <v>424</v>
      </c>
      <c r="B425" s="61" t="str">
        <f t="shared" si="4"/>
        <v>C424</v>
      </c>
      <c r="C425" s="63" t="s">
        <v>1604</v>
      </c>
      <c r="D425" s="58" t="s">
        <v>1605</v>
      </c>
      <c r="E425" s="63" t="s">
        <v>58</v>
      </c>
      <c r="F425" s="63" t="s">
        <v>762</v>
      </c>
      <c r="G425" s="64" t="s">
        <v>96</v>
      </c>
      <c r="H425" s="102" t="str">
        <f t="shared" si="25"/>
        <v>C422</v>
      </c>
      <c r="I425" s="58" t="s">
        <v>1606</v>
      </c>
      <c r="J425" s="58" t="s">
        <v>42</v>
      </c>
      <c r="K425" s="58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</row>
    <row r="426">
      <c r="A426" s="59">
        <f t="shared" si="2"/>
        <v>425</v>
      </c>
      <c r="B426" s="61" t="str">
        <f t="shared" si="4"/>
        <v>C425</v>
      </c>
      <c r="C426" s="63" t="s">
        <v>1607</v>
      </c>
      <c r="D426" s="58" t="s">
        <v>1608</v>
      </c>
      <c r="E426" s="63" t="s">
        <v>58</v>
      </c>
      <c r="F426" s="63" t="s">
        <v>442</v>
      </c>
      <c r="G426" s="64" t="s">
        <v>96</v>
      </c>
      <c r="H426" s="102" t="str">
        <f t="shared" si="25"/>
        <v>C422</v>
      </c>
      <c r="I426" s="58" t="s">
        <v>931</v>
      </c>
      <c r="J426" s="58" t="s">
        <v>42</v>
      </c>
      <c r="K426" s="58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</row>
    <row r="427">
      <c r="A427" s="59">
        <f t="shared" si="2"/>
        <v>426</v>
      </c>
      <c r="B427" s="61" t="str">
        <f t="shared" si="4"/>
        <v>C426</v>
      </c>
      <c r="C427" s="63" t="s">
        <v>1609</v>
      </c>
      <c r="D427" s="58" t="s">
        <v>1610</v>
      </c>
      <c r="E427" s="63" t="s">
        <v>58</v>
      </c>
      <c r="F427" s="63" t="s">
        <v>442</v>
      </c>
      <c r="G427" s="64" t="s">
        <v>96</v>
      </c>
      <c r="H427" s="102" t="str">
        <f t="shared" si="25"/>
        <v>C422</v>
      </c>
      <c r="I427" s="58" t="s">
        <v>931</v>
      </c>
      <c r="J427" s="58" t="s">
        <v>42</v>
      </c>
      <c r="K427" s="51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</row>
    <row r="428">
      <c r="A428" s="59">
        <f t="shared" si="2"/>
        <v>427</v>
      </c>
      <c r="B428" s="61" t="str">
        <f t="shared" si="4"/>
        <v>C427</v>
      </c>
      <c r="C428" s="63" t="s">
        <v>1611</v>
      </c>
      <c r="D428" s="58" t="s">
        <v>1612</v>
      </c>
      <c r="E428" s="63" t="s">
        <v>58</v>
      </c>
      <c r="F428" s="63" t="s">
        <v>60</v>
      </c>
      <c r="G428" s="64" t="s">
        <v>96</v>
      </c>
      <c r="H428" s="102" t="str">
        <f t="shared" si="25"/>
        <v>C422</v>
      </c>
      <c r="I428" s="58" t="s">
        <v>931</v>
      </c>
      <c r="J428" s="58" t="s">
        <v>42</v>
      </c>
      <c r="K428" s="58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</row>
    <row r="429">
      <c r="A429" s="59">
        <f t="shared" si="2"/>
        <v>428</v>
      </c>
      <c r="B429" s="61" t="str">
        <f t="shared" si="4"/>
        <v>C428</v>
      </c>
      <c r="C429" s="63" t="s">
        <v>1613</v>
      </c>
      <c r="D429" s="58" t="s">
        <v>1614</v>
      </c>
      <c r="E429" s="63" t="s">
        <v>58</v>
      </c>
      <c r="F429" s="63" t="s">
        <v>442</v>
      </c>
      <c r="G429" s="64" t="s">
        <v>96</v>
      </c>
      <c r="H429" s="102" t="str">
        <f t="shared" si="25"/>
        <v>C422</v>
      </c>
      <c r="I429" s="58" t="s">
        <v>931</v>
      </c>
      <c r="J429" s="58" t="s">
        <v>42</v>
      </c>
      <c r="K429" s="58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</row>
    <row r="430">
      <c r="A430" s="59">
        <f t="shared" si="2"/>
        <v>429</v>
      </c>
      <c r="B430" s="61" t="str">
        <f t="shared" si="4"/>
        <v>C429</v>
      </c>
      <c r="C430" s="63" t="s">
        <v>1615</v>
      </c>
      <c r="D430" s="58" t="s">
        <v>1616</v>
      </c>
      <c r="E430" s="63" t="s">
        <v>58</v>
      </c>
      <c r="F430" s="77" t="s">
        <v>1397</v>
      </c>
      <c r="G430" s="64" t="s">
        <v>96</v>
      </c>
      <c r="H430" s="102" t="str">
        <f t="shared" si="25"/>
        <v>C422</v>
      </c>
      <c r="I430" s="58" t="s">
        <v>931</v>
      </c>
      <c r="J430" s="58" t="s">
        <v>42</v>
      </c>
      <c r="K430" s="51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</row>
    <row r="431">
      <c r="A431" s="59">
        <f t="shared" si="2"/>
        <v>430</v>
      </c>
      <c r="B431" s="61" t="str">
        <f t="shared" si="4"/>
        <v>C430</v>
      </c>
      <c r="C431" s="63" t="s">
        <v>1617</v>
      </c>
      <c r="D431" s="58" t="s">
        <v>1618</v>
      </c>
      <c r="E431" s="63" t="s">
        <v>58</v>
      </c>
      <c r="F431" s="63" t="s">
        <v>987</v>
      </c>
      <c r="G431" s="64" t="s">
        <v>96</v>
      </c>
      <c r="H431" s="102" t="str">
        <f t="shared" si="25"/>
        <v>C422</v>
      </c>
      <c r="I431" s="76" t="s">
        <v>1619</v>
      </c>
      <c r="J431" s="58" t="s">
        <v>42</v>
      </c>
      <c r="K431" s="58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</row>
    <row r="432">
      <c r="A432" s="59">
        <f t="shared" si="2"/>
        <v>431</v>
      </c>
      <c r="B432" s="61" t="str">
        <f t="shared" si="4"/>
        <v>C431</v>
      </c>
      <c r="C432" s="63" t="s">
        <v>1620</v>
      </c>
      <c r="D432" s="58" t="s">
        <v>1621</v>
      </c>
      <c r="E432" s="63" t="s">
        <v>58</v>
      </c>
      <c r="F432" s="63" t="s">
        <v>304</v>
      </c>
      <c r="G432" s="64" t="s">
        <v>96</v>
      </c>
      <c r="H432" s="102" t="str">
        <f t="shared" si="25"/>
        <v>C422</v>
      </c>
      <c r="I432" s="58" t="s">
        <v>931</v>
      </c>
      <c r="J432" s="58" t="s">
        <v>42</v>
      </c>
      <c r="K432" s="58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</row>
    <row r="433">
      <c r="A433" s="59">
        <f t="shared" si="2"/>
        <v>432</v>
      </c>
      <c r="B433" s="61" t="str">
        <f t="shared" si="4"/>
        <v>C432</v>
      </c>
      <c r="C433" s="63" t="s">
        <v>1622</v>
      </c>
      <c r="D433" s="58" t="s">
        <v>1623</v>
      </c>
      <c r="E433" s="63" t="s">
        <v>58</v>
      </c>
      <c r="F433" s="63" t="s">
        <v>304</v>
      </c>
      <c r="G433" s="64" t="s">
        <v>96</v>
      </c>
      <c r="H433" s="102" t="str">
        <f t="shared" si="25"/>
        <v>C422</v>
      </c>
      <c r="I433" s="58" t="s">
        <v>1624</v>
      </c>
      <c r="J433" s="58" t="s">
        <v>42</v>
      </c>
      <c r="K433" s="58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</row>
    <row r="434">
      <c r="A434" s="59">
        <f t="shared" si="2"/>
        <v>433</v>
      </c>
      <c r="B434" s="61" t="str">
        <f t="shared" si="4"/>
        <v>C433</v>
      </c>
      <c r="C434" s="63" t="s">
        <v>1625</v>
      </c>
      <c r="D434" s="58" t="s">
        <v>1626</v>
      </c>
      <c r="E434" s="63" t="s">
        <v>58</v>
      </c>
      <c r="F434" s="63" t="s">
        <v>762</v>
      </c>
      <c r="G434" s="64" t="s">
        <v>96</v>
      </c>
      <c r="H434" s="102" t="str">
        <f t="shared" si="25"/>
        <v>C422</v>
      </c>
      <c r="I434" s="58" t="s">
        <v>1627</v>
      </c>
      <c r="J434" s="58" t="s">
        <v>42</v>
      </c>
      <c r="K434" s="58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</row>
    <row r="435">
      <c r="A435" s="59">
        <f t="shared" si="2"/>
        <v>434</v>
      </c>
      <c r="B435" s="61" t="str">
        <f t="shared" si="4"/>
        <v>C434</v>
      </c>
      <c r="C435" s="63" t="s">
        <v>1628</v>
      </c>
      <c r="D435" s="58" t="s">
        <v>1629</v>
      </c>
      <c r="E435" s="63" t="s">
        <v>58</v>
      </c>
      <c r="F435" s="63" t="s">
        <v>762</v>
      </c>
      <c r="G435" s="64" t="s">
        <v>96</v>
      </c>
      <c r="H435" s="102" t="str">
        <f t="shared" si="25"/>
        <v>C422</v>
      </c>
      <c r="I435" s="58" t="s">
        <v>1627</v>
      </c>
      <c r="J435" s="58" t="s">
        <v>42</v>
      </c>
      <c r="K435" s="58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</row>
    <row r="436">
      <c r="A436" s="59">
        <f t="shared" si="2"/>
        <v>435</v>
      </c>
      <c r="B436" s="61" t="str">
        <f t="shared" si="4"/>
        <v>C435</v>
      </c>
      <c r="C436" s="63" t="s">
        <v>1630</v>
      </c>
      <c r="D436" s="58" t="s">
        <v>1631</v>
      </c>
      <c r="E436" s="63" t="s">
        <v>58</v>
      </c>
      <c r="F436" s="63" t="s">
        <v>765</v>
      </c>
      <c r="G436" s="64" t="s">
        <v>96</v>
      </c>
      <c r="H436" s="102" t="str">
        <f t="shared" si="25"/>
        <v>C422</v>
      </c>
      <c r="I436" s="58" t="s">
        <v>931</v>
      </c>
      <c r="J436" s="58" t="s">
        <v>42</v>
      </c>
      <c r="K436" s="58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</row>
    <row r="437">
      <c r="A437" s="59">
        <f t="shared" si="2"/>
        <v>436</v>
      </c>
      <c r="B437" s="61" t="str">
        <f t="shared" si="4"/>
        <v>C436</v>
      </c>
      <c r="C437" s="63" t="s">
        <v>1632</v>
      </c>
      <c r="D437" s="58" t="s">
        <v>1633</v>
      </c>
      <c r="E437" s="63" t="s">
        <v>58</v>
      </c>
      <c r="F437" s="63" t="s">
        <v>409</v>
      </c>
      <c r="G437" s="64" t="s">
        <v>96</v>
      </c>
      <c r="H437" s="102" t="str">
        <f t="shared" si="25"/>
        <v>C422</v>
      </c>
      <c r="I437" s="58" t="s">
        <v>1634</v>
      </c>
      <c r="J437" s="58" t="s">
        <v>1531</v>
      </c>
      <c r="K437" s="51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</row>
    <row r="438">
      <c r="A438" s="59">
        <f t="shared" si="2"/>
        <v>437</v>
      </c>
      <c r="B438" s="61" t="str">
        <f t="shared" si="4"/>
        <v>C437</v>
      </c>
      <c r="C438" s="63" t="s">
        <v>1635</v>
      </c>
      <c r="D438" s="58" t="s">
        <v>1636</v>
      </c>
      <c r="E438" s="63" t="s">
        <v>58</v>
      </c>
      <c r="F438" s="63" t="s">
        <v>1001</v>
      </c>
      <c r="G438" s="64" t="s">
        <v>96</v>
      </c>
      <c r="H438" s="102" t="str">
        <f t="shared" si="25"/>
        <v>C422</v>
      </c>
      <c r="I438" s="58"/>
      <c r="J438" s="58" t="s">
        <v>1531</v>
      </c>
      <c r="K438" s="51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</row>
    <row r="439">
      <c r="A439" s="59">
        <f t="shared" si="2"/>
        <v>438</v>
      </c>
      <c r="B439" s="61" t="str">
        <f t="shared" si="4"/>
        <v>C438</v>
      </c>
      <c r="C439" s="63" t="s">
        <v>1637</v>
      </c>
      <c r="D439" s="58" t="s">
        <v>1638</v>
      </c>
      <c r="E439" s="63" t="s">
        <v>58</v>
      </c>
      <c r="F439" s="63" t="s">
        <v>210</v>
      </c>
      <c r="G439" s="64" t="s">
        <v>96</v>
      </c>
      <c r="H439" s="102" t="str">
        <f t="shared" si="25"/>
        <v>C422</v>
      </c>
      <c r="I439" s="58"/>
      <c r="J439" s="58" t="s">
        <v>1531</v>
      </c>
      <c r="K439" s="51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</row>
    <row r="440">
      <c r="A440" s="59">
        <f t="shared" si="2"/>
        <v>439</v>
      </c>
      <c r="B440" s="61" t="str">
        <f t="shared" si="4"/>
        <v>C439</v>
      </c>
      <c r="C440" s="63" t="s">
        <v>1639</v>
      </c>
      <c r="D440" s="58" t="s">
        <v>1640</v>
      </c>
      <c r="E440" s="63" t="s">
        <v>58</v>
      </c>
      <c r="F440" s="63" t="s">
        <v>274</v>
      </c>
      <c r="G440" s="64" t="s">
        <v>96</v>
      </c>
      <c r="H440" s="102" t="str">
        <f t="shared" si="25"/>
        <v>C422</v>
      </c>
      <c r="I440" s="58"/>
      <c r="J440" s="58" t="s">
        <v>1531</v>
      </c>
      <c r="K440" s="51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</row>
    <row r="441">
      <c r="A441" s="59">
        <f t="shared" si="2"/>
        <v>440</v>
      </c>
      <c r="B441" s="61" t="str">
        <f t="shared" si="4"/>
        <v>C440</v>
      </c>
      <c r="C441" s="63" t="s">
        <v>1641</v>
      </c>
      <c r="D441" s="58" t="s">
        <v>1642</v>
      </c>
      <c r="E441" s="63" t="s">
        <v>58</v>
      </c>
      <c r="F441" s="63" t="s">
        <v>1207</v>
      </c>
      <c r="G441" s="64" t="s">
        <v>96</v>
      </c>
      <c r="H441" s="102" t="str">
        <f t="shared" si="25"/>
        <v>C422</v>
      </c>
      <c r="I441" s="58" t="s">
        <v>1643</v>
      </c>
      <c r="J441" s="58" t="s">
        <v>876</v>
      </c>
      <c r="K441" s="51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</row>
    <row r="442">
      <c r="A442" s="59">
        <f t="shared" si="2"/>
        <v>441</v>
      </c>
      <c r="B442" s="61" t="str">
        <f t="shared" si="4"/>
        <v>C441</v>
      </c>
      <c r="C442" s="63" t="s">
        <v>1644</v>
      </c>
      <c r="D442" s="58" t="s">
        <v>1645</v>
      </c>
      <c r="E442" s="63" t="s">
        <v>58</v>
      </c>
      <c r="F442" s="63" t="s">
        <v>409</v>
      </c>
      <c r="G442" s="64" t="s">
        <v>96</v>
      </c>
      <c r="H442" s="102" t="str">
        <f t="shared" si="25"/>
        <v>C422</v>
      </c>
      <c r="I442" s="58" t="s">
        <v>1646</v>
      </c>
      <c r="J442" s="58" t="s">
        <v>1015</v>
      </c>
      <c r="K442" s="51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</row>
    <row r="443">
      <c r="A443" s="59">
        <f t="shared" si="2"/>
        <v>442</v>
      </c>
      <c r="B443" s="61" t="str">
        <f t="shared" si="4"/>
        <v>C442</v>
      </c>
      <c r="C443" s="63" t="s">
        <v>1647</v>
      </c>
      <c r="D443" s="58" t="s">
        <v>1648</v>
      </c>
      <c r="E443" s="63" t="s">
        <v>58</v>
      </c>
      <c r="F443" s="63" t="s">
        <v>1001</v>
      </c>
      <c r="G443" s="64" t="s">
        <v>96</v>
      </c>
      <c r="H443" s="102" t="str">
        <f t="shared" si="25"/>
        <v>C422</v>
      </c>
      <c r="I443" s="58"/>
      <c r="J443" s="74" t="s">
        <v>1649</v>
      </c>
      <c r="K443" s="51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</row>
    <row r="444">
      <c r="A444" s="59">
        <f t="shared" si="2"/>
        <v>443</v>
      </c>
      <c r="B444" s="61" t="str">
        <f t="shared" si="4"/>
        <v>C443</v>
      </c>
      <c r="C444" s="77" t="s">
        <v>1650</v>
      </c>
      <c r="D444" s="74" t="s">
        <v>1651</v>
      </c>
      <c r="E444" s="63" t="s">
        <v>58</v>
      </c>
      <c r="F444" s="63" t="s">
        <v>1001</v>
      </c>
      <c r="G444" s="107" t="s">
        <v>96</v>
      </c>
      <c r="H444" s="102" t="str">
        <f t="shared" si="25"/>
        <v>C422</v>
      </c>
      <c r="I444" s="58"/>
      <c r="J444" s="74" t="s">
        <v>1649</v>
      </c>
      <c r="K444" s="51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</row>
    <row r="445">
      <c r="A445" s="79">
        <f t="shared" si="2"/>
        <v>444</v>
      </c>
      <c r="B445" s="80" t="str">
        <f t="shared" si="4"/>
        <v>C444</v>
      </c>
      <c r="C445" s="81" t="s">
        <v>1652</v>
      </c>
      <c r="D445" s="82" t="s">
        <v>1653</v>
      </c>
      <c r="E445" s="83" t="s">
        <v>58</v>
      </c>
      <c r="F445" s="81" t="s">
        <v>1397</v>
      </c>
      <c r="G445" s="84" t="s">
        <v>96</v>
      </c>
      <c r="H445" s="202" t="str">
        <f t="shared" si="25"/>
        <v>C422</v>
      </c>
      <c r="I445" s="87"/>
      <c r="J445" s="88" t="s">
        <v>1654</v>
      </c>
      <c r="K445" s="87"/>
      <c r="L445" s="86"/>
      <c r="M445" s="86"/>
      <c r="N445" s="86"/>
      <c r="O445" s="86"/>
      <c r="P445" s="86"/>
      <c r="Q445" s="86"/>
      <c r="R445" s="86"/>
      <c r="S445" s="86"/>
      <c r="T445" s="86"/>
      <c r="U445" s="86"/>
      <c r="V445" s="86"/>
      <c r="W445" s="86"/>
      <c r="X445" s="86"/>
    </row>
    <row r="446">
      <c r="A446" s="79">
        <f t="shared" si="2"/>
        <v>445</v>
      </c>
      <c r="B446" s="80" t="str">
        <f t="shared" si="4"/>
        <v>C445</v>
      </c>
      <c r="C446" s="81" t="s">
        <v>1655</v>
      </c>
      <c r="D446" s="82" t="s">
        <v>1656</v>
      </c>
      <c r="E446" s="83" t="s">
        <v>58</v>
      </c>
      <c r="F446" s="81" t="s">
        <v>1526</v>
      </c>
      <c r="G446" s="84" t="s">
        <v>96</v>
      </c>
      <c r="H446" s="202" t="str">
        <f t="shared" si="25"/>
        <v>C422</v>
      </c>
      <c r="I446" s="87"/>
      <c r="J446" s="88" t="s">
        <v>1654</v>
      </c>
      <c r="K446" s="87"/>
      <c r="L446" s="86"/>
      <c r="M446" s="86"/>
      <c r="N446" s="86"/>
      <c r="O446" s="86"/>
      <c r="P446" s="86"/>
      <c r="Q446" s="86"/>
      <c r="R446" s="86"/>
      <c r="S446" s="86"/>
      <c r="T446" s="86"/>
      <c r="U446" s="86"/>
      <c r="V446" s="86"/>
      <c r="W446" s="86"/>
      <c r="X446" s="86"/>
    </row>
    <row r="447">
      <c r="A447" s="79">
        <f t="shared" si="2"/>
        <v>446</v>
      </c>
      <c r="B447" s="80" t="str">
        <f t="shared" si="4"/>
        <v>C446</v>
      </c>
      <c r="C447" s="81" t="s">
        <v>1657</v>
      </c>
      <c r="D447" s="82" t="s">
        <v>1658</v>
      </c>
      <c r="E447" s="83" t="s">
        <v>58</v>
      </c>
      <c r="F447" s="81" t="s">
        <v>815</v>
      </c>
      <c r="G447" s="84" t="s">
        <v>96</v>
      </c>
      <c r="H447" s="202" t="str">
        <f t="shared" si="25"/>
        <v>C422</v>
      </c>
      <c r="I447" s="87"/>
      <c r="J447" s="88" t="s">
        <v>1654</v>
      </c>
      <c r="K447" s="87"/>
      <c r="L447" s="86"/>
      <c r="M447" s="86"/>
      <c r="N447" s="86"/>
      <c r="O447" s="86"/>
      <c r="P447" s="86"/>
      <c r="Q447" s="86"/>
      <c r="R447" s="86"/>
      <c r="S447" s="86"/>
      <c r="T447" s="86"/>
      <c r="U447" s="86"/>
      <c r="V447" s="86"/>
      <c r="W447" s="86"/>
      <c r="X447" s="86"/>
    </row>
    <row r="448">
      <c r="A448" s="79">
        <f t="shared" si="2"/>
        <v>447</v>
      </c>
      <c r="B448" s="80" t="str">
        <f t="shared" si="4"/>
        <v>C447</v>
      </c>
      <c r="C448" s="81" t="s">
        <v>1659</v>
      </c>
      <c r="D448" s="82" t="s">
        <v>1660</v>
      </c>
      <c r="E448" s="83" t="s">
        <v>58</v>
      </c>
      <c r="F448" s="81" t="s">
        <v>811</v>
      </c>
      <c r="G448" s="84" t="s">
        <v>96</v>
      </c>
      <c r="H448" s="202" t="str">
        <f t="shared" si="25"/>
        <v>C422</v>
      </c>
      <c r="I448" s="87"/>
      <c r="J448" s="88" t="s">
        <v>1654</v>
      </c>
      <c r="K448" s="87"/>
      <c r="L448" s="86"/>
      <c r="M448" s="86"/>
      <c r="N448" s="86"/>
      <c r="O448" s="86"/>
      <c r="P448" s="86"/>
      <c r="Q448" s="86"/>
      <c r="R448" s="86"/>
      <c r="S448" s="86"/>
      <c r="T448" s="86"/>
      <c r="U448" s="86"/>
      <c r="V448" s="86"/>
      <c r="W448" s="86"/>
      <c r="X448" s="86"/>
    </row>
    <row r="449">
      <c r="A449" s="59">
        <f t="shared" si="2"/>
        <v>448</v>
      </c>
      <c r="B449" s="61" t="str">
        <f t="shared" si="4"/>
        <v>C448</v>
      </c>
      <c r="C449" s="191" t="s">
        <v>1661</v>
      </c>
      <c r="D449" s="192" t="s">
        <v>1662</v>
      </c>
      <c r="E449" s="191" t="s">
        <v>30</v>
      </c>
      <c r="F449" s="191" t="s">
        <v>35</v>
      </c>
      <c r="G449" s="205" t="s">
        <v>39</v>
      </c>
      <c r="H449" s="102" t="str">
        <f t="shared" si="25"/>
        <v>C422</v>
      </c>
      <c r="I449" s="51"/>
      <c r="J449" s="192" t="s">
        <v>1003</v>
      </c>
      <c r="K449" s="58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</row>
    <row r="450">
      <c r="A450" s="59">
        <f t="shared" si="2"/>
        <v>449</v>
      </c>
      <c r="B450" s="61" t="str">
        <f t="shared" si="4"/>
        <v>C449</v>
      </c>
      <c r="C450" s="43" t="s">
        <v>1663</v>
      </c>
      <c r="D450" s="192" t="s">
        <v>1664</v>
      </c>
      <c r="E450" s="43" t="s">
        <v>30</v>
      </c>
      <c r="F450" s="43" t="s">
        <v>35</v>
      </c>
      <c r="G450" s="49" t="s">
        <v>713</v>
      </c>
      <c r="H450" s="102" t="str">
        <f>B$449</f>
        <v>C448</v>
      </c>
      <c r="I450" s="51" t="s">
        <v>715</v>
      </c>
      <c r="J450" s="51" t="s">
        <v>1003</v>
      </c>
      <c r="K450" s="58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</row>
    <row r="451">
      <c r="A451" s="59">
        <f t="shared" si="2"/>
        <v>450</v>
      </c>
      <c r="B451" s="61" t="str">
        <f t="shared" si="4"/>
        <v>C450</v>
      </c>
      <c r="C451" s="63" t="s">
        <v>1665</v>
      </c>
      <c r="D451" s="58" t="s">
        <v>1666</v>
      </c>
      <c r="E451" s="63" t="s">
        <v>58</v>
      </c>
      <c r="F451" s="63" t="s">
        <v>915</v>
      </c>
      <c r="G451" s="64" t="s">
        <v>39</v>
      </c>
      <c r="H451" s="102" t="str">
        <f t="shared" ref="H451:H457" si="26">B$450</f>
        <v>C449</v>
      </c>
      <c r="I451" s="58" t="s">
        <v>1666</v>
      </c>
      <c r="J451" s="58" t="s">
        <v>1003</v>
      </c>
      <c r="K451" s="51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</row>
    <row r="452">
      <c r="A452" s="59">
        <f t="shared" si="2"/>
        <v>451</v>
      </c>
      <c r="B452" s="61" t="str">
        <f t="shared" si="4"/>
        <v>C451</v>
      </c>
      <c r="C452" s="63" t="s">
        <v>1667</v>
      </c>
      <c r="D452" s="58" t="s">
        <v>1668</v>
      </c>
      <c r="E452" s="63" t="s">
        <v>58</v>
      </c>
      <c r="F452" s="63" t="s">
        <v>1669</v>
      </c>
      <c r="G452" s="64" t="s">
        <v>39</v>
      </c>
      <c r="H452" s="102" t="str">
        <f t="shared" si="26"/>
        <v>C449</v>
      </c>
      <c r="I452" s="58" t="s">
        <v>1668</v>
      </c>
      <c r="J452" s="58" t="s">
        <v>1003</v>
      </c>
      <c r="K452" s="58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</row>
    <row r="453">
      <c r="A453" s="59">
        <f t="shared" si="2"/>
        <v>452</v>
      </c>
      <c r="B453" s="61" t="str">
        <f t="shared" si="4"/>
        <v>C452</v>
      </c>
      <c r="C453" s="63" t="s">
        <v>1670</v>
      </c>
      <c r="D453" s="58" t="s">
        <v>1671</v>
      </c>
      <c r="E453" s="63" t="s">
        <v>58</v>
      </c>
      <c r="F453" s="63" t="s">
        <v>915</v>
      </c>
      <c r="G453" s="64" t="s">
        <v>39</v>
      </c>
      <c r="H453" s="102" t="str">
        <f t="shared" si="26"/>
        <v>C449</v>
      </c>
      <c r="I453" s="58" t="s">
        <v>1671</v>
      </c>
      <c r="J453" s="58" t="s">
        <v>1003</v>
      </c>
      <c r="K453" s="58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</row>
    <row r="454">
      <c r="A454" s="59">
        <f t="shared" si="2"/>
        <v>453</v>
      </c>
      <c r="B454" s="61" t="str">
        <f t="shared" si="4"/>
        <v>C453</v>
      </c>
      <c r="C454" s="63" t="s">
        <v>1672</v>
      </c>
      <c r="D454" s="58" t="s">
        <v>1673</v>
      </c>
      <c r="E454" s="63" t="s">
        <v>58</v>
      </c>
      <c r="F454" s="63" t="s">
        <v>1674</v>
      </c>
      <c r="G454" s="64" t="s">
        <v>39</v>
      </c>
      <c r="H454" s="102" t="str">
        <f t="shared" si="26"/>
        <v>C449</v>
      </c>
      <c r="I454" s="58" t="s">
        <v>1673</v>
      </c>
      <c r="J454" s="58" t="s">
        <v>1003</v>
      </c>
      <c r="K454" s="58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</row>
    <row r="455">
      <c r="A455" s="59">
        <f t="shared" si="2"/>
        <v>454</v>
      </c>
      <c r="B455" s="61" t="str">
        <f t="shared" si="4"/>
        <v>C454</v>
      </c>
      <c r="C455" s="63" t="s">
        <v>1675</v>
      </c>
      <c r="D455" s="58" t="s">
        <v>1676</v>
      </c>
      <c r="E455" s="63" t="s">
        <v>58</v>
      </c>
      <c r="F455" s="63" t="s">
        <v>1677</v>
      </c>
      <c r="G455" s="64" t="s">
        <v>39</v>
      </c>
      <c r="H455" s="102" t="str">
        <f t="shared" si="26"/>
        <v>C449</v>
      </c>
      <c r="I455" s="58" t="s">
        <v>1676</v>
      </c>
      <c r="J455" s="58" t="s">
        <v>1003</v>
      </c>
      <c r="K455" s="58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</row>
    <row r="456">
      <c r="A456" s="59">
        <f t="shared" si="2"/>
        <v>455</v>
      </c>
      <c r="B456" s="61" t="str">
        <f t="shared" si="4"/>
        <v>C455</v>
      </c>
      <c r="C456" s="63" t="s">
        <v>1678</v>
      </c>
      <c r="D456" s="58" t="s">
        <v>1679</v>
      </c>
      <c r="E456" s="63" t="s">
        <v>58</v>
      </c>
      <c r="F456" s="63" t="s">
        <v>765</v>
      </c>
      <c r="G456" s="64" t="s">
        <v>39</v>
      </c>
      <c r="H456" s="102" t="str">
        <f t="shared" si="26"/>
        <v>C449</v>
      </c>
      <c r="I456" s="58" t="s">
        <v>1679</v>
      </c>
      <c r="J456" s="58" t="s">
        <v>1003</v>
      </c>
      <c r="K456" s="58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</row>
    <row r="457">
      <c r="A457" s="59">
        <f t="shared" si="2"/>
        <v>456</v>
      </c>
      <c r="B457" s="61" t="str">
        <f t="shared" si="4"/>
        <v>C456</v>
      </c>
      <c r="C457" s="63" t="s">
        <v>1680</v>
      </c>
      <c r="D457" s="58" t="s">
        <v>1681</v>
      </c>
      <c r="E457" s="63" t="s">
        <v>58</v>
      </c>
      <c r="F457" s="63" t="s">
        <v>740</v>
      </c>
      <c r="G457" s="64" t="s">
        <v>96</v>
      </c>
      <c r="H457" s="102" t="str">
        <f t="shared" si="26"/>
        <v>C449</v>
      </c>
      <c r="I457" s="58"/>
      <c r="J457" s="58" t="s">
        <v>1003</v>
      </c>
      <c r="K457" s="58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</row>
    <row r="458">
      <c r="A458" s="27">
        <f t="shared" si="2"/>
        <v>457</v>
      </c>
      <c r="B458" s="40" t="str">
        <f t="shared" si="4"/>
        <v>C457</v>
      </c>
      <c r="C458" s="43" t="s">
        <v>1682</v>
      </c>
      <c r="D458" s="51"/>
      <c r="E458" s="43" t="s">
        <v>30</v>
      </c>
      <c r="F458" s="43" t="s">
        <v>35</v>
      </c>
      <c r="G458" s="49" t="s">
        <v>96</v>
      </c>
      <c r="H458" s="43" t="s">
        <v>188</v>
      </c>
      <c r="I458" s="192" t="s">
        <v>1683</v>
      </c>
      <c r="J458" s="51" t="s">
        <v>42</v>
      </c>
      <c r="K458" s="58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</row>
    <row r="459">
      <c r="A459" s="27">
        <f t="shared" si="2"/>
        <v>458</v>
      </c>
      <c r="B459" s="40" t="str">
        <f t="shared" si="4"/>
        <v>C458</v>
      </c>
      <c r="C459" s="43" t="s">
        <v>1684</v>
      </c>
      <c r="D459" s="51"/>
      <c r="E459" s="43" t="s">
        <v>30</v>
      </c>
      <c r="F459" s="43" t="s">
        <v>35</v>
      </c>
      <c r="G459" s="49" t="s">
        <v>713</v>
      </c>
      <c r="H459" s="206" t="str">
        <f>B$458</f>
        <v>C457</v>
      </c>
      <c r="I459" s="192" t="s">
        <v>1685</v>
      </c>
      <c r="J459" s="51" t="s">
        <v>42</v>
      </c>
      <c r="K459" s="51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</row>
    <row r="460">
      <c r="A460" s="59">
        <f t="shared" si="2"/>
        <v>459</v>
      </c>
      <c r="B460" s="61" t="str">
        <f t="shared" si="4"/>
        <v>C459</v>
      </c>
      <c r="C460" s="63" t="s">
        <v>1686</v>
      </c>
      <c r="D460" s="58" t="s">
        <v>1687</v>
      </c>
      <c r="E460" s="63" t="s">
        <v>58</v>
      </c>
      <c r="F460" s="63" t="s">
        <v>1688</v>
      </c>
      <c r="G460" s="64" t="s">
        <v>39</v>
      </c>
      <c r="H460" s="102" t="str">
        <f t="shared" ref="H460:H499" si="27">B$459</f>
        <v>C458</v>
      </c>
      <c r="I460" s="58" t="s">
        <v>1687</v>
      </c>
      <c r="J460" s="58" t="s">
        <v>42</v>
      </c>
      <c r="K460" s="58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</row>
    <row r="461">
      <c r="A461" s="59">
        <f t="shared" si="2"/>
        <v>460</v>
      </c>
      <c r="B461" s="61" t="str">
        <f t="shared" si="4"/>
        <v>C460</v>
      </c>
      <c r="C461" s="63" t="s">
        <v>1689</v>
      </c>
      <c r="D461" s="58" t="s">
        <v>1690</v>
      </c>
      <c r="E461" s="63" t="s">
        <v>58</v>
      </c>
      <c r="F461" s="63" t="s">
        <v>1691</v>
      </c>
      <c r="G461" s="64" t="s">
        <v>39</v>
      </c>
      <c r="H461" s="102" t="str">
        <f t="shared" si="27"/>
        <v>C458</v>
      </c>
      <c r="I461" s="58" t="s">
        <v>1692</v>
      </c>
      <c r="J461" s="58" t="s">
        <v>42</v>
      </c>
      <c r="K461" s="58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</row>
    <row r="462">
      <c r="A462" s="59">
        <f t="shared" si="2"/>
        <v>461</v>
      </c>
      <c r="B462" s="61" t="str">
        <f t="shared" si="4"/>
        <v>C461</v>
      </c>
      <c r="C462" s="63" t="s">
        <v>1693</v>
      </c>
      <c r="D462" s="58" t="s">
        <v>1694</v>
      </c>
      <c r="E462" s="63" t="s">
        <v>58</v>
      </c>
      <c r="F462" s="63" t="s">
        <v>1691</v>
      </c>
      <c r="G462" s="64" t="s">
        <v>39</v>
      </c>
      <c r="H462" s="102" t="str">
        <f t="shared" si="27"/>
        <v>C458</v>
      </c>
      <c r="I462" s="82" t="s">
        <v>1695</v>
      </c>
      <c r="J462" s="58" t="s">
        <v>42</v>
      </c>
      <c r="K462" s="51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</row>
    <row r="463">
      <c r="A463" s="59">
        <f t="shared" si="2"/>
        <v>462</v>
      </c>
      <c r="B463" s="61" t="str">
        <f t="shared" si="4"/>
        <v>C462</v>
      </c>
      <c r="C463" s="63" t="s">
        <v>1696</v>
      </c>
      <c r="D463" s="58" t="s">
        <v>1697</v>
      </c>
      <c r="E463" s="63" t="s">
        <v>58</v>
      </c>
      <c r="F463" s="63" t="s">
        <v>1207</v>
      </c>
      <c r="G463" s="64" t="s">
        <v>96</v>
      </c>
      <c r="H463" s="102" t="str">
        <f t="shared" si="27"/>
        <v>C458</v>
      </c>
      <c r="I463" s="51" t="s">
        <v>642</v>
      </c>
      <c r="J463" s="74" t="s">
        <v>323</v>
      </c>
      <c r="K463" s="51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</row>
    <row r="464">
      <c r="A464" s="59">
        <f t="shared" si="2"/>
        <v>463</v>
      </c>
      <c r="B464" s="61" t="str">
        <f t="shared" si="4"/>
        <v>C463</v>
      </c>
      <c r="C464" s="63" t="s">
        <v>1698</v>
      </c>
      <c r="D464" s="58" t="s">
        <v>1699</v>
      </c>
      <c r="E464" s="63" t="s">
        <v>58</v>
      </c>
      <c r="F464" s="63" t="s">
        <v>1436</v>
      </c>
      <c r="G464" s="64" t="s">
        <v>96</v>
      </c>
      <c r="H464" s="102" t="str">
        <f t="shared" si="27"/>
        <v>C458</v>
      </c>
      <c r="I464" s="58" t="s">
        <v>1699</v>
      </c>
      <c r="J464" s="58" t="s">
        <v>42</v>
      </c>
      <c r="K464" s="58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</row>
    <row r="465">
      <c r="A465" s="59">
        <f t="shared" si="2"/>
        <v>464</v>
      </c>
      <c r="B465" s="61" t="str">
        <f t="shared" si="4"/>
        <v>C464</v>
      </c>
      <c r="C465" s="58" t="s">
        <v>1700</v>
      </c>
      <c r="D465" s="58" t="s">
        <v>1701</v>
      </c>
      <c r="E465" s="58" t="s">
        <v>58</v>
      </c>
      <c r="F465" s="58" t="s">
        <v>1439</v>
      </c>
      <c r="G465" s="207" t="s">
        <v>96</v>
      </c>
      <c r="H465" s="102" t="str">
        <f t="shared" si="27"/>
        <v>C458</v>
      </c>
      <c r="I465" s="58" t="s">
        <v>1701</v>
      </c>
      <c r="J465" s="58" t="s">
        <v>42</v>
      </c>
      <c r="K465" s="58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</row>
    <row r="466">
      <c r="A466" s="59">
        <f t="shared" si="2"/>
        <v>465</v>
      </c>
      <c r="B466" s="61" t="str">
        <f t="shared" si="4"/>
        <v>C465</v>
      </c>
      <c r="C466" s="58" t="s">
        <v>1702</v>
      </c>
      <c r="D466" s="58" t="s">
        <v>1703</v>
      </c>
      <c r="E466" s="58" t="s">
        <v>58</v>
      </c>
      <c r="F466" s="58" t="s">
        <v>1704</v>
      </c>
      <c r="G466" s="207" t="s">
        <v>96</v>
      </c>
      <c r="H466" s="102" t="str">
        <f t="shared" si="27"/>
        <v>C458</v>
      </c>
      <c r="I466" s="51" t="s">
        <v>642</v>
      </c>
      <c r="J466" s="74" t="s">
        <v>888</v>
      </c>
      <c r="K466" s="58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</row>
    <row r="467">
      <c r="A467" s="59">
        <f t="shared" si="2"/>
        <v>466</v>
      </c>
      <c r="B467" s="61" t="str">
        <f t="shared" si="4"/>
        <v>C466</v>
      </c>
      <c r="C467" s="58" t="s">
        <v>1705</v>
      </c>
      <c r="D467" s="58" t="s">
        <v>1706</v>
      </c>
      <c r="E467" s="58" t="s">
        <v>58</v>
      </c>
      <c r="F467" s="58" t="s">
        <v>1397</v>
      </c>
      <c r="G467" s="207" t="s">
        <v>96</v>
      </c>
      <c r="H467" s="102" t="str">
        <f t="shared" si="27"/>
        <v>C458</v>
      </c>
      <c r="I467" s="51" t="s">
        <v>642</v>
      </c>
      <c r="J467" s="74" t="s">
        <v>323</v>
      </c>
      <c r="K467" s="58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</row>
    <row r="468">
      <c r="A468" s="59">
        <f t="shared" si="2"/>
        <v>467</v>
      </c>
      <c r="B468" s="61" t="str">
        <f t="shared" si="4"/>
        <v>C467</v>
      </c>
      <c r="C468" s="58" t="s">
        <v>1707</v>
      </c>
      <c r="D468" s="58" t="s">
        <v>1708</v>
      </c>
      <c r="E468" s="58" t="s">
        <v>58</v>
      </c>
      <c r="F468" s="58" t="s">
        <v>1674</v>
      </c>
      <c r="G468" s="207" t="s">
        <v>96</v>
      </c>
      <c r="H468" s="102" t="str">
        <f t="shared" si="27"/>
        <v>C458</v>
      </c>
      <c r="I468" s="51" t="s">
        <v>642</v>
      </c>
      <c r="J468" s="74" t="s">
        <v>323</v>
      </c>
      <c r="K468" s="58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</row>
    <row r="469">
      <c r="A469" s="59">
        <f t="shared" si="2"/>
        <v>468</v>
      </c>
      <c r="B469" s="61" t="str">
        <f t="shared" si="4"/>
        <v>C468</v>
      </c>
      <c r="C469" s="58" t="s">
        <v>1709</v>
      </c>
      <c r="D469" s="58" t="s">
        <v>1710</v>
      </c>
      <c r="E469" s="58" t="s">
        <v>58</v>
      </c>
      <c r="F469" s="58" t="s">
        <v>1711</v>
      </c>
      <c r="G469" s="207" t="s">
        <v>96</v>
      </c>
      <c r="H469" s="102" t="str">
        <f t="shared" si="27"/>
        <v>C458</v>
      </c>
      <c r="I469" s="51" t="s">
        <v>642</v>
      </c>
      <c r="J469" s="74" t="s">
        <v>323</v>
      </c>
      <c r="K469" s="58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</row>
    <row r="470">
      <c r="A470" s="59">
        <f t="shared" si="2"/>
        <v>469</v>
      </c>
      <c r="B470" s="61" t="str">
        <f t="shared" si="4"/>
        <v>C469</v>
      </c>
      <c r="C470" s="58" t="s">
        <v>1712</v>
      </c>
      <c r="D470" s="58" t="s">
        <v>1713</v>
      </c>
      <c r="E470" s="58" t="s">
        <v>58</v>
      </c>
      <c r="F470" s="58" t="s">
        <v>1455</v>
      </c>
      <c r="G470" s="207" t="s">
        <v>96</v>
      </c>
      <c r="H470" s="102" t="str">
        <f t="shared" si="27"/>
        <v>C458</v>
      </c>
      <c r="I470" s="51" t="s">
        <v>642</v>
      </c>
      <c r="J470" s="74" t="s">
        <v>323</v>
      </c>
      <c r="K470" s="58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</row>
    <row r="471">
      <c r="A471" s="59">
        <f t="shared" si="2"/>
        <v>470</v>
      </c>
      <c r="B471" s="61" t="str">
        <f t="shared" si="4"/>
        <v>C470</v>
      </c>
      <c r="C471" s="58" t="s">
        <v>1714</v>
      </c>
      <c r="D471" s="58" t="s">
        <v>1715</v>
      </c>
      <c r="E471" s="58" t="s">
        <v>58</v>
      </c>
      <c r="F471" s="58" t="s">
        <v>559</v>
      </c>
      <c r="G471" s="207" t="s">
        <v>96</v>
      </c>
      <c r="H471" s="102" t="str">
        <f t="shared" si="27"/>
        <v>C458</v>
      </c>
      <c r="I471" s="51" t="s">
        <v>642</v>
      </c>
      <c r="J471" s="74" t="s">
        <v>323</v>
      </c>
      <c r="K471" s="58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</row>
    <row r="472">
      <c r="A472" s="59">
        <f t="shared" si="2"/>
        <v>471</v>
      </c>
      <c r="B472" s="61" t="str">
        <f t="shared" si="4"/>
        <v>C471</v>
      </c>
      <c r="C472" s="58" t="s">
        <v>1716</v>
      </c>
      <c r="D472" s="58" t="s">
        <v>1717</v>
      </c>
      <c r="E472" s="58" t="s">
        <v>58</v>
      </c>
      <c r="F472" s="58" t="s">
        <v>1001</v>
      </c>
      <c r="G472" s="207" t="s">
        <v>96</v>
      </c>
      <c r="H472" s="102" t="str">
        <f t="shared" si="27"/>
        <v>C458</v>
      </c>
      <c r="I472" s="51" t="s">
        <v>642</v>
      </c>
      <c r="J472" s="74" t="s">
        <v>323</v>
      </c>
      <c r="K472" s="58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</row>
    <row r="473">
      <c r="A473" s="59">
        <f t="shared" si="2"/>
        <v>472</v>
      </c>
      <c r="B473" s="61" t="str">
        <f t="shared" si="4"/>
        <v>C472</v>
      </c>
      <c r="C473" s="58" t="s">
        <v>1718</v>
      </c>
      <c r="D473" s="58" t="s">
        <v>1719</v>
      </c>
      <c r="E473" s="58" t="s">
        <v>58</v>
      </c>
      <c r="F473" s="58" t="s">
        <v>1578</v>
      </c>
      <c r="G473" s="207" t="s">
        <v>96</v>
      </c>
      <c r="H473" s="102" t="str">
        <f t="shared" si="27"/>
        <v>C458</v>
      </c>
      <c r="I473" s="51" t="s">
        <v>642</v>
      </c>
      <c r="J473" s="74" t="s">
        <v>323</v>
      </c>
      <c r="K473" s="58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</row>
    <row r="474">
      <c r="A474" s="59">
        <f t="shared" si="2"/>
        <v>473</v>
      </c>
      <c r="B474" s="61" t="str">
        <f t="shared" si="4"/>
        <v>C473</v>
      </c>
      <c r="C474" s="58" t="s">
        <v>1720</v>
      </c>
      <c r="D474" s="58" t="s">
        <v>1721</v>
      </c>
      <c r="E474" s="58" t="s">
        <v>58</v>
      </c>
      <c r="F474" s="58" t="s">
        <v>1001</v>
      </c>
      <c r="G474" s="207" t="s">
        <v>96</v>
      </c>
      <c r="H474" s="102" t="str">
        <f t="shared" si="27"/>
        <v>C458</v>
      </c>
      <c r="I474" s="51" t="s">
        <v>642</v>
      </c>
      <c r="J474" s="74" t="s">
        <v>323</v>
      </c>
      <c r="K474" s="58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</row>
    <row r="475">
      <c r="A475" s="59">
        <f t="shared" si="2"/>
        <v>474</v>
      </c>
      <c r="B475" s="61" t="str">
        <f t="shared" si="4"/>
        <v>C474</v>
      </c>
      <c r="C475" s="58" t="s">
        <v>1722</v>
      </c>
      <c r="D475" s="58" t="s">
        <v>1723</v>
      </c>
      <c r="E475" s="58" t="s">
        <v>58</v>
      </c>
      <c r="F475" s="58" t="s">
        <v>915</v>
      </c>
      <c r="G475" s="207" t="s">
        <v>96</v>
      </c>
      <c r="H475" s="102" t="str">
        <f t="shared" si="27"/>
        <v>C458</v>
      </c>
      <c r="I475" s="51" t="s">
        <v>642</v>
      </c>
      <c r="J475" s="74" t="s">
        <v>323</v>
      </c>
      <c r="K475" s="58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</row>
    <row r="476">
      <c r="A476" s="59">
        <f t="shared" si="2"/>
        <v>475</v>
      </c>
      <c r="B476" s="61" t="str">
        <f t="shared" si="4"/>
        <v>C475</v>
      </c>
      <c r="C476" s="58" t="s">
        <v>1724</v>
      </c>
      <c r="D476" s="58" t="s">
        <v>1725</v>
      </c>
      <c r="E476" s="58" t="s">
        <v>58</v>
      </c>
      <c r="F476" s="58" t="s">
        <v>1726</v>
      </c>
      <c r="G476" s="207" t="s">
        <v>96</v>
      </c>
      <c r="H476" s="102" t="str">
        <f t="shared" si="27"/>
        <v>C458</v>
      </c>
      <c r="I476" s="51" t="s">
        <v>642</v>
      </c>
      <c r="J476" s="74" t="s">
        <v>323</v>
      </c>
      <c r="K476" s="58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</row>
    <row r="477">
      <c r="A477" s="59">
        <f t="shared" si="2"/>
        <v>476</v>
      </c>
      <c r="B477" s="61" t="str">
        <f t="shared" si="4"/>
        <v>C476</v>
      </c>
      <c r="C477" s="58" t="s">
        <v>1727</v>
      </c>
      <c r="D477" s="58"/>
      <c r="E477" s="58" t="s">
        <v>58</v>
      </c>
      <c r="F477" s="58" t="s">
        <v>951</v>
      </c>
      <c r="G477" s="207" t="s">
        <v>96</v>
      </c>
      <c r="H477" s="102" t="str">
        <f t="shared" si="27"/>
        <v>C458</v>
      </c>
      <c r="I477" s="51" t="s">
        <v>642</v>
      </c>
      <c r="J477" s="74" t="s">
        <v>323</v>
      </c>
      <c r="K477" s="58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</row>
    <row r="478">
      <c r="A478" s="59">
        <f t="shared" si="2"/>
        <v>477</v>
      </c>
      <c r="B478" s="61" t="str">
        <f t="shared" si="4"/>
        <v>C477</v>
      </c>
      <c r="C478" s="58" t="s">
        <v>1728</v>
      </c>
      <c r="D478" s="58" t="s">
        <v>1508</v>
      </c>
      <c r="E478" s="58" t="s">
        <v>58</v>
      </c>
      <c r="F478" s="58" t="s">
        <v>318</v>
      </c>
      <c r="G478" s="207" t="s">
        <v>96</v>
      </c>
      <c r="H478" s="102" t="str">
        <f t="shared" si="27"/>
        <v>C458</v>
      </c>
      <c r="I478" s="74" t="s">
        <v>1729</v>
      </c>
      <c r="J478" s="74" t="s">
        <v>323</v>
      </c>
      <c r="K478" s="58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</row>
    <row r="479">
      <c r="A479" s="59">
        <f t="shared" si="2"/>
        <v>478</v>
      </c>
      <c r="B479" s="61" t="str">
        <f t="shared" si="4"/>
        <v>C478</v>
      </c>
      <c r="C479" s="58" t="s">
        <v>1730</v>
      </c>
      <c r="D479" s="58" t="s">
        <v>1731</v>
      </c>
      <c r="E479" s="58" t="s">
        <v>58</v>
      </c>
      <c r="F479" s="58" t="s">
        <v>1732</v>
      </c>
      <c r="G479" s="207" t="s">
        <v>96</v>
      </c>
      <c r="H479" s="102" t="str">
        <f t="shared" si="27"/>
        <v>C458</v>
      </c>
      <c r="I479" s="58"/>
      <c r="J479" s="74" t="s">
        <v>888</v>
      </c>
      <c r="K479" s="58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</row>
    <row r="480">
      <c r="A480" s="59">
        <f t="shared" si="2"/>
        <v>479</v>
      </c>
      <c r="B480" s="61" t="str">
        <f t="shared" si="4"/>
        <v>C479</v>
      </c>
      <c r="C480" s="63" t="s">
        <v>1733</v>
      </c>
      <c r="D480" s="58" t="s">
        <v>1734</v>
      </c>
      <c r="E480" s="63" t="s">
        <v>58</v>
      </c>
      <c r="F480" s="63" t="s">
        <v>1735</v>
      </c>
      <c r="G480" s="64" t="s">
        <v>96</v>
      </c>
      <c r="H480" s="102" t="str">
        <f t="shared" si="27"/>
        <v>C458</v>
      </c>
      <c r="I480" s="58" t="s">
        <v>1734</v>
      </c>
      <c r="J480" s="58" t="s">
        <v>42</v>
      </c>
      <c r="K480" s="58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</row>
    <row r="481">
      <c r="A481" s="59">
        <f t="shared" si="2"/>
        <v>480</v>
      </c>
      <c r="B481" s="61" t="str">
        <f t="shared" si="4"/>
        <v>C480</v>
      </c>
      <c r="C481" s="63" t="s">
        <v>1736</v>
      </c>
      <c r="D481" s="58" t="s">
        <v>1737</v>
      </c>
      <c r="E481" s="63" t="s">
        <v>58</v>
      </c>
      <c r="F481" s="63" t="s">
        <v>765</v>
      </c>
      <c r="G481" s="207" t="s">
        <v>96</v>
      </c>
      <c r="H481" s="102" t="str">
        <f t="shared" si="27"/>
        <v>C458</v>
      </c>
      <c r="I481" s="58" t="s">
        <v>1738</v>
      </c>
      <c r="J481" s="58" t="s">
        <v>42</v>
      </c>
      <c r="K481" s="58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</row>
    <row r="482">
      <c r="A482" s="59">
        <f t="shared" si="2"/>
        <v>481</v>
      </c>
      <c r="B482" s="61" t="str">
        <f t="shared" si="4"/>
        <v>C481</v>
      </c>
      <c r="C482" s="63" t="s">
        <v>1739</v>
      </c>
      <c r="D482" s="58" t="s">
        <v>1740</v>
      </c>
      <c r="E482" s="63" t="s">
        <v>58</v>
      </c>
      <c r="F482" s="63" t="s">
        <v>684</v>
      </c>
      <c r="G482" s="207" t="s">
        <v>96</v>
      </c>
      <c r="H482" s="102" t="str">
        <f t="shared" si="27"/>
        <v>C458</v>
      </c>
      <c r="I482" s="58"/>
      <c r="J482" s="74" t="s">
        <v>888</v>
      </c>
      <c r="K482" s="58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</row>
    <row r="483">
      <c r="A483" s="59">
        <f t="shared" si="2"/>
        <v>482</v>
      </c>
      <c r="B483" s="61" t="str">
        <f t="shared" si="4"/>
        <v>C482</v>
      </c>
      <c r="C483" s="63" t="s">
        <v>1741</v>
      </c>
      <c r="D483" s="58" t="s">
        <v>1742</v>
      </c>
      <c r="E483" s="63" t="s">
        <v>58</v>
      </c>
      <c r="F483" s="63" t="s">
        <v>1743</v>
      </c>
      <c r="G483" s="207" t="s">
        <v>96</v>
      </c>
      <c r="H483" s="102" t="str">
        <f t="shared" si="27"/>
        <v>C458</v>
      </c>
      <c r="I483" s="58"/>
      <c r="J483" s="74" t="s">
        <v>888</v>
      </c>
      <c r="K483" s="58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</row>
    <row r="484">
      <c r="A484" s="59">
        <f t="shared" si="2"/>
        <v>483</v>
      </c>
      <c r="B484" s="61" t="str">
        <f t="shared" si="4"/>
        <v>C483</v>
      </c>
      <c r="C484" s="63" t="s">
        <v>1744</v>
      </c>
      <c r="D484" s="58" t="s">
        <v>1745</v>
      </c>
      <c r="E484" s="63" t="s">
        <v>58</v>
      </c>
      <c r="F484" s="63" t="s">
        <v>549</v>
      </c>
      <c r="G484" s="207" t="s">
        <v>96</v>
      </c>
      <c r="H484" s="102" t="str">
        <f t="shared" si="27"/>
        <v>C458</v>
      </c>
      <c r="I484" s="51" t="s">
        <v>642</v>
      </c>
      <c r="J484" s="74" t="s">
        <v>323</v>
      </c>
      <c r="K484" s="58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</row>
    <row r="485">
      <c r="A485" s="59">
        <f t="shared" si="2"/>
        <v>484</v>
      </c>
      <c r="B485" s="61" t="str">
        <f t="shared" si="4"/>
        <v>C484</v>
      </c>
      <c r="C485" s="63" t="s">
        <v>1746</v>
      </c>
      <c r="D485" s="58" t="s">
        <v>1747</v>
      </c>
      <c r="E485" s="63" t="s">
        <v>58</v>
      </c>
      <c r="F485" s="63" t="s">
        <v>274</v>
      </c>
      <c r="G485" s="207" t="s">
        <v>96</v>
      </c>
      <c r="H485" s="102" t="str">
        <f t="shared" si="27"/>
        <v>C458</v>
      </c>
      <c r="I485" s="58" t="s">
        <v>276</v>
      </c>
      <c r="J485" s="74" t="s">
        <v>888</v>
      </c>
      <c r="K485" s="58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</row>
    <row r="486">
      <c r="A486" s="59">
        <f t="shared" si="2"/>
        <v>485</v>
      </c>
      <c r="B486" s="61" t="str">
        <f t="shared" si="4"/>
        <v>C485</v>
      </c>
      <c r="C486" s="63" t="s">
        <v>1748</v>
      </c>
      <c r="D486" s="58" t="s">
        <v>1749</v>
      </c>
      <c r="E486" s="63" t="s">
        <v>58</v>
      </c>
      <c r="F486" s="63" t="s">
        <v>1750</v>
      </c>
      <c r="G486" s="64" t="s">
        <v>96</v>
      </c>
      <c r="H486" s="102" t="str">
        <f t="shared" si="27"/>
        <v>C458</v>
      </c>
      <c r="I486" s="58" t="s">
        <v>1751</v>
      </c>
      <c r="J486" s="58" t="s">
        <v>42</v>
      </c>
      <c r="K486" s="58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</row>
    <row r="487">
      <c r="A487" s="59">
        <f t="shared" si="2"/>
        <v>486</v>
      </c>
      <c r="B487" s="61" t="str">
        <f t="shared" si="4"/>
        <v>C486</v>
      </c>
      <c r="C487" s="63" t="s">
        <v>1752</v>
      </c>
      <c r="D487" s="58" t="s">
        <v>1753</v>
      </c>
      <c r="E487" s="63" t="s">
        <v>58</v>
      </c>
      <c r="F487" s="63" t="s">
        <v>765</v>
      </c>
      <c r="G487" s="207" t="s">
        <v>39</v>
      </c>
      <c r="H487" s="102" t="str">
        <f t="shared" si="27"/>
        <v>C458</v>
      </c>
      <c r="I487" s="58" t="s">
        <v>1753</v>
      </c>
      <c r="J487" s="58" t="s">
        <v>42</v>
      </c>
      <c r="K487" s="58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</row>
    <row r="488">
      <c r="A488" s="59">
        <f t="shared" si="2"/>
        <v>487</v>
      </c>
      <c r="B488" s="61" t="str">
        <f t="shared" si="4"/>
        <v>C487</v>
      </c>
      <c r="C488" s="63" t="s">
        <v>1754</v>
      </c>
      <c r="D488" s="58" t="s">
        <v>1755</v>
      </c>
      <c r="E488" s="63" t="s">
        <v>58</v>
      </c>
      <c r="F488" s="63" t="s">
        <v>765</v>
      </c>
      <c r="G488" s="207" t="s">
        <v>96</v>
      </c>
      <c r="H488" s="102" t="str">
        <f t="shared" si="27"/>
        <v>C458</v>
      </c>
      <c r="I488" s="58" t="s">
        <v>1756</v>
      </c>
      <c r="J488" s="58" t="s">
        <v>1757</v>
      </c>
      <c r="K488" s="51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</row>
    <row r="489">
      <c r="A489" s="59">
        <f t="shared" si="2"/>
        <v>488</v>
      </c>
      <c r="B489" s="61" t="str">
        <f t="shared" si="4"/>
        <v>C488</v>
      </c>
      <c r="C489" s="63" t="s">
        <v>1758</v>
      </c>
      <c r="D489" s="58" t="s">
        <v>1759</v>
      </c>
      <c r="E489" s="63" t="s">
        <v>58</v>
      </c>
      <c r="F489" s="63" t="s">
        <v>765</v>
      </c>
      <c r="G489" s="207" t="s">
        <v>96</v>
      </c>
      <c r="H489" s="102" t="str">
        <f t="shared" si="27"/>
        <v>C458</v>
      </c>
      <c r="I489" s="58" t="s">
        <v>1756</v>
      </c>
      <c r="J489" s="58" t="s">
        <v>1757</v>
      </c>
      <c r="K489" s="58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</row>
    <row r="490">
      <c r="A490" s="59">
        <f t="shared" si="2"/>
        <v>489</v>
      </c>
      <c r="B490" s="61" t="str">
        <f t="shared" si="4"/>
        <v>C489</v>
      </c>
      <c r="C490" s="63" t="s">
        <v>1760</v>
      </c>
      <c r="D490" s="58" t="s">
        <v>6</v>
      </c>
      <c r="E490" s="63" t="s">
        <v>58</v>
      </c>
      <c r="F490" s="63" t="s">
        <v>559</v>
      </c>
      <c r="G490" s="207" t="s">
        <v>96</v>
      </c>
      <c r="H490" s="102" t="str">
        <f t="shared" si="27"/>
        <v>C458</v>
      </c>
      <c r="I490" s="58" t="s">
        <v>1756</v>
      </c>
      <c r="J490" s="58" t="s">
        <v>1757</v>
      </c>
      <c r="K490" s="58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</row>
    <row r="491">
      <c r="A491" s="59">
        <f t="shared" si="2"/>
        <v>490</v>
      </c>
      <c r="B491" s="61" t="str">
        <f t="shared" si="4"/>
        <v>C490</v>
      </c>
      <c r="C491" s="63" t="s">
        <v>1761</v>
      </c>
      <c r="D491" s="58" t="s">
        <v>1762</v>
      </c>
      <c r="E491" s="63" t="s">
        <v>58</v>
      </c>
      <c r="F491" s="63" t="s">
        <v>740</v>
      </c>
      <c r="G491" s="207" t="s">
        <v>96</v>
      </c>
      <c r="H491" s="102" t="str">
        <f t="shared" si="27"/>
        <v>C458</v>
      </c>
      <c r="I491" s="58"/>
      <c r="J491" s="58" t="s">
        <v>42</v>
      </c>
      <c r="K491" s="58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</row>
    <row r="492">
      <c r="A492" s="59">
        <f t="shared" si="2"/>
        <v>491</v>
      </c>
      <c r="B492" s="61" t="str">
        <f t="shared" si="4"/>
        <v>C491</v>
      </c>
      <c r="C492" s="63" t="s">
        <v>1763</v>
      </c>
      <c r="D492" s="58" t="s">
        <v>1764</v>
      </c>
      <c r="E492" s="63" t="s">
        <v>58</v>
      </c>
      <c r="F492" s="63" t="s">
        <v>1765</v>
      </c>
      <c r="G492" s="207" t="s">
        <v>96</v>
      </c>
      <c r="H492" s="102" t="str">
        <f t="shared" si="27"/>
        <v>C458</v>
      </c>
      <c r="I492" s="58"/>
      <c r="J492" s="74" t="s">
        <v>888</v>
      </c>
      <c r="K492" s="58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</row>
    <row r="493">
      <c r="A493" s="59">
        <f t="shared" si="2"/>
        <v>492</v>
      </c>
      <c r="B493" s="61" t="str">
        <f t="shared" si="4"/>
        <v>C492</v>
      </c>
      <c r="C493" s="63" t="s">
        <v>1766</v>
      </c>
      <c r="D493" s="58" t="s">
        <v>1767</v>
      </c>
      <c r="E493" s="63" t="s">
        <v>58</v>
      </c>
      <c r="F493" s="63" t="s">
        <v>896</v>
      </c>
      <c r="G493" s="207" t="s">
        <v>96</v>
      </c>
      <c r="H493" s="102" t="str">
        <f t="shared" si="27"/>
        <v>C458</v>
      </c>
      <c r="I493" s="58"/>
      <c r="J493" s="74" t="s">
        <v>888</v>
      </c>
      <c r="K493" s="58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</row>
    <row r="494">
      <c r="A494" s="59">
        <f t="shared" si="2"/>
        <v>493</v>
      </c>
      <c r="B494" s="61" t="str">
        <f t="shared" si="4"/>
        <v>C493</v>
      </c>
      <c r="C494" s="63" t="s">
        <v>1768</v>
      </c>
      <c r="D494" s="58" t="s">
        <v>1769</v>
      </c>
      <c r="E494" s="63" t="s">
        <v>58</v>
      </c>
      <c r="F494" s="63" t="s">
        <v>1770</v>
      </c>
      <c r="G494" s="207" t="s">
        <v>96</v>
      </c>
      <c r="H494" s="102" t="str">
        <f t="shared" si="27"/>
        <v>C458</v>
      </c>
      <c r="I494" s="58"/>
      <c r="J494" s="74" t="s">
        <v>888</v>
      </c>
      <c r="K494" s="58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</row>
    <row r="495">
      <c r="A495" s="59">
        <f t="shared" si="2"/>
        <v>494</v>
      </c>
      <c r="B495" s="61" t="str">
        <f t="shared" si="4"/>
        <v>C494</v>
      </c>
      <c r="C495" s="63" t="s">
        <v>1771</v>
      </c>
      <c r="D495" s="58" t="s">
        <v>1772</v>
      </c>
      <c r="E495" s="63" t="s">
        <v>58</v>
      </c>
      <c r="F495" s="63" t="s">
        <v>896</v>
      </c>
      <c r="G495" s="207" t="s">
        <v>96</v>
      </c>
      <c r="H495" s="102" t="str">
        <f t="shared" si="27"/>
        <v>C458</v>
      </c>
      <c r="I495" s="58"/>
      <c r="J495" s="74" t="s">
        <v>888</v>
      </c>
      <c r="K495" s="58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</row>
    <row r="496">
      <c r="A496" s="59">
        <f t="shared" si="2"/>
        <v>495</v>
      </c>
      <c r="B496" s="61" t="str">
        <f t="shared" si="4"/>
        <v>C495</v>
      </c>
      <c r="C496" s="63" t="s">
        <v>1773</v>
      </c>
      <c r="D496" s="58" t="s">
        <v>1774</v>
      </c>
      <c r="E496" s="63" t="s">
        <v>58</v>
      </c>
      <c r="F496" s="63" t="s">
        <v>559</v>
      </c>
      <c r="G496" s="207" t="s">
        <v>96</v>
      </c>
      <c r="H496" s="102" t="str">
        <f t="shared" si="27"/>
        <v>C458</v>
      </c>
      <c r="I496" s="51" t="s">
        <v>642</v>
      </c>
      <c r="J496" s="74" t="s">
        <v>323</v>
      </c>
      <c r="K496" s="58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</row>
    <row r="497">
      <c r="A497" s="59">
        <f t="shared" si="2"/>
        <v>496</v>
      </c>
      <c r="B497" s="61" t="str">
        <f t="shared" si="4"/>
        <v>C496</v>
      </c>
      <c r="C497" s="63" t="s">
        <v>1775</v>
      </c>
      <c r="D497" s="58" t="s">
        <v>1776</v>
      </c>
      <c r="E497" s="63" t="s">
        <v>58</v>
      </c>
      <c r="F497" s="63" t="s">
        <v>333</v>
      </c>
      <c r="G497" s="207" t="s">
        <v>96</v>
      </c>
      <c r="H497" s="102" t="str">
        <f t="shared" si="27"/>
        <v>C458</v>
      </c>
      <c r="I497" s="51" t="s">
        <v>642</v>
      </c>
      <c r="J497" s="74" t="s">
        <v>323</v>
      </c>
      <c r="K497" s="58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</row>
    <row r="498">
      <c r="A498" s="59">
        <f t="shared" si="2"/>
        <v>497</v>
      </c>
      <c r="B498" s="61" t="str">
        <f t="shared" si="4"/>
        <v>C497</v>
      </c>
      <c r="C498" s="63" t="s">
        <v>1777</v>
      </c>
      <c r="D498" s="58" t="s">
        <v>1778</v>
      </c>
      <c r="E498" s="63" t="s">
        <v>58</v>
      </c>
      <c r="F498" s="63" t="s">
        <v>1571</v>
      </c>
      <c r="G498" s="207" t="s">
        <v>96</v>
      </c>
      <c r="H498" s="102" t="str">
        <f t="shared" si="27"/>
        <v>C458</v>
      </c>
      <c r="I498" s="51" t="s">
        <v>642</v>
      </c>
      <c r="J498" s="74" t="s">
        <v>323</v>
      </c>
      <c r="K498" s="58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</row>
    <row r="499">
      <c r="A499" s="59">
        <f t="shared" si="2"/>
        <v>498</v>
      </c>
      <c r="B499" s="61" t="str">
        <f t="shared" si="4"/>
        <v>C498</v>
      </c>
      <c r="C499" s="63" t="s">
        <v>1779</v>
      </c>
      <c r="D499" s="58" t="s">
        <v>1506</v>
      </c>
      <c r="E499" s="63" t="s">
        <v>58</v>
      </c>
      <c r="F499" s="63" t="s">
        <v>815</v>
      </c>
      <c r="G499" s="207" t="s">
        <v>96</v>
      </c>
      <c r="H499" s="102" t="str">
        <f t="shared" si="27"/>
        <v>C458</v>
      </c>
      <c r="I499" s="51" t="s">
        <v>642</v>
      </c>
      <c r="J499" s="74" t="s">
        <v>323</v>
      </c>
      <c r="K499" s="58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</row>
    <row r="500">
      <c r="A500" s="27">
        <f t="shared" si="2"/>
        <v>499</v>
      </c>
      <c r="B500" s="40" t="str">
        <f t="shared" si="4"/>
        <v>C499</v>
      </c>
      <c r="C500" s="43" t="s">
        <v>1780</v>
      </c>
      <c r="D500" s="51" t="s">
        <v>1781</v>
      </c>
      <c r="E500" s="43" t="s">
        <v>30</v>
      </c>
      <c r="F500" s="43" t="s">
        <v>35</v>
      </c>
      <c r="G500" s="49" t="s">
        <v>96</v>
      </c>
      <c r="H500" s="191" t="s">
        <v>188</v>
      </c>
      <c r="I500" s="51" t="s">
        <v>1782</v>
      </c>
      <c r="J500" s="51" t="s">
        <v>42</v>
      </c>
      <c r="K500" s="51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</row>
    <row r="501">
      <c r="A501" s="59">
        <f t="shared" si="2"/>
        <v>500</v>
      </c>
      <c r="B501" s="61" t="str">
        <f t="shared" si="4"/>
        <v>C500</v>
      </c>
      <c r="C501" s="63" t="s">
        <v>1783</v>
      </c>
      <c r="D501" s="58" t="s">
        <v>1784</v>
      </c>
      <c r="E501" s="63" t="s">
        <v>58</v>
      </c>
      <c r="F501" s="63" t="s">
        <v>442</v>
      </c>
      <c r="G501" s="64" t="s">
        <v>39</v>
      </c>
      <c r="H501" s="102" t="str">
        <f t="shared" ref="H501:H509" si="28">B$500</f>
        <v>C499</v>
      </c>
      <c r="I501" s="58" t="s">
        <v>1784</v>
      </c>
      <c r="J501" s="58" t="s">
        <v>42</v>
      </c>
      <c r="K501" s="58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</row>
    <row r="502">
      <c r="A502" s="59">
        <f t="shared" si="2"/>
        <v>501</v>
      </c>
      <c r="B502" s="61" t="str">
        <f t="shared" si="4"/>
        <v>C501</v>
      </c>
      <c r="C502" s="63" t="s">
        <v>1785</v>
      </c>
      <c r="D502" s="58" t="s">
        <v>1786</v>
      </c>
      <c r="E502" s="63" t="s">
        <v>58</v>
      </c>
      <c r="F502" s="63" t="s">
        <v>1436</v>
      </c>
      <c r="G502" s="64" t="s">
        <v>96</v>
      </c>
      <c r="H502" s="102" t="str">
        <f t="shared" si="28"/>
        <v>C499</v>
      </c>
      <c r="I502" s="58" t="s">
        <v>1786</v>
      </c>
      <c r="J502" s="58" t="s">
        <v>42</v>
      </c>
      <c r="K502" s="58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</row>
    <row r="503">
      <c r="A503" s="59">
        <f t="shared" si="2"/>
        <v>502</v>
      </c>
      <c r="B503" s="61" t="str">
        <f t="shared" si="4"/>
        <v>C502</v>
      </c>
      <c r="C503" s="63" t="s">
        <v>1787</v>
      </c>
      <c r="D503" s="58" t="s">
        <v>1788</v>
      </c>
      <c r="E503" s="63" t="s">
        <v>58</v>
      </c>
      <c r="F503" s="63" t="s">
        <v>762</v>
      </c>
      <c r="G503" s="64" t="s">
        <v>96</v>
      </c>
      <c r="H503" s="102" t="str">
        <f t="shared" si="28"/>
        <v>C499</v>
      </c>
      <c r="I503" s="58" t="s">
        <v>1788</v>
      </c>
      <c r="J503" s="58" t="s">
        <v>42</v>
      </c>
      <c r="K503" s="58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</row>
    <row r="504">
      <c r="A504" s="59">
        <f t="shared" si="2"/>
        <v>503</v>
      </c>
      <c r="B504" s="61" t="str">
        <f t="shared" si="4"/>
        <v>C503</v>
      </c>
      <c r="C504" s="63" t="s">
        <v>1789</v>
      </c>
      <c r="D504" s="58" t="s">
        <v>1790</v>
      </c>
      <c r="E504" s="63" t="s">
        <v>58</v>
      </c>
      <c r="F504" s="63" t="s">
        <v>60</v>
      </c>
      <c r="G504" s="64" t="s">
        <v>96</v>
      </c>
      <c r="H504" s="102" t="str">
        <f t="shared" si="28"/>
        <v>C499</v>
      </c>
      <c r="I504" s="58" t="s">
        <v>1790</v>
      </c>
      <c r="J504" s="58" t="s">
        <v>42</v>
      </c>
      <c r="K504" s="58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</row>
    <row r="505">
      <c r="A505" s="59">
        <f t="shared" si="2"/>
        <v>504</v>
      </c>
      <c r="B505" s="61" t="str">
        <f t="shared" si="4"/>
        <v>C504</v>
      </c>
      <c r="C505" s="63" t="s">
        <v>1791</v>
      </c>
      <c r="D505" s="58" t="s">
        <v>1792</v>
      </c>
      <c r="E505" s="63" t="s">
        <v>58</v>
      </c>
      <c r="F505" s="63" t="s">
        <v>442</v>
      </c>
      <c r="G505" s="64" t="s">
        <v>96</v>
      </c>
      <c r="H505" s="102" t="str">
        <f t="shared" si="28"/>
        <v>C499</v>
      </c>
      <c r="I505" s="58" t="s">
        <v>1792</v>
      </c>
      <c r="J505" s="58" t="s">
        <v>42</v>
      </c>
      <c r="K505" s="58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</row>
    <row r="506">
      <c r="A506" s="59">
        <f t="shared" si="2"/>
        <v>505</v>
      </c>
      <c r="B506" s="61" t="str">
        <f t="shared" si="4"/>
        <v>C505</v>
      </c>
      <c r="C506" s="63" t="s">
        <v>1793</v>
      </c>
      <c r="D506" s="58" t="s">
        <v>1794</v>
      </c>
      <c r="E506" s="63" t="s">
        <v>58</v>
      </c>
      <c r="F506" s="63" t="s">
        <v>987</v>
      </c>
      <c r="G506" s="64" t="s">
        <v>96</v>
      </c>
      <c r="H506" s="102" t="str">
        <f t="shared" si="28"/>
        <v>C499</v>
      </c>
      <c r="I506" s="76" t="s">
        <v>676</v>
      </c>
      <c r="J506" s="58" t="s">
        <v>42</v>
      </c>
      <c r="K506" s="58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</row>
    <row r="507">
      <c r="A507" s="59">
        <f t="shared" si="2"/>
        <v>506</v>
      </c>
      <c r="B507" s="61" t="str">
        <f t="shared" si="4"/>
        <v>C506</v>
      </c>
      <c r="C507" s="63" t="s">
        <v>1795</v>
      </c>
      <c r="D507" s="58" t="s">
        <v>1796</v>
      </c>
      <c r="E507" s="63" t="s">
        <v>58</v>
      </c>
      <c r="F507" s="63" t="s">
        <v>304</v>
      </c>
      <c r="G507" s="64" t="s">
        <v>96</v>
      </c>
      <c r="H507" s="102" t="str">
        <f t="shared" si="28"/>
        <v>C499</v>
      </c>
      <c r="I507" s="58" t="s">
        <v>1796</v>
      </c>
      <c r="J507" s="58" t="s">
        <v>42</v>
      </c>
      <c r="K507" s="51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</row>
    <row r="508">
      <c r="A508" s="59">
        <f t="shared" si="2"/>
        <v>507</v>
      </c>
      <c r="B508" s="61" t="str">
        <f t="shared" si="4"/>
        <v>C507</v>
      </c>
      <c r="C508" s="63" t="s">
        <v>1797</v>
      </c>
      <c r="D508" s="58" t="s">
        <v>1798</v>
      </c>
      <c r="E508" s="63" t="s">
        <v>58</v>
      </c>
      <c r="F508" s="63" t="s">
        <v>304</v>
      </c>
      <c r="G508" s="64" t="s">
        <v>96</v>
      </c>
      <c r="H508" s="102" t="str">
        <f t="shared" si="28"/>
        <v>C499</v>
      </c>
      <c r="I508" s="58" t="s">
        <v>1799</v>
      </c>
      <c r="J508" s="58" t="s">
        <v>42</v>
      </c>
      <c r="K508" s="58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</row>
    <row r="509">
      <c r="A509" s="59">
        <f t="shared" si="2"/>
        <v>508</v>
      </c>
      <c r="B509" s="61" t="str">
        <f t="shared" si="4"/>
        <v>C508</v>
      </c>
      <c r="C509" s="63" t="s">
        <v>1800</v>
      </c>
      <c r="D509" s="58" t="s">
        <v>1801</v>
      </c>
      <c r="E509" s="63" t="s">
        <v>58</v>
      </c>
      <c r="F509" s="63" t="s">
        <v>231</v>
      </c>
      <c r="G509" s="64" t="s">
        <v>96</v>
      </c>
      <c r="H509" s="102" t="str">
        <f t="shared" si="28"/>
        <v>C499</v>
      </c>
      <c r="I509" s="58" t="s">
        <v>1802</v>
      </c>
      <c r="J509" s="58" t="s">
        <v>42</v>
      </c>
      <c r="K509" s="58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</row>
    <row r="510">
      <c r="A510" s="27">
        <f t="shared" si="2"/>
        <v>509</v>
      </c>
      <c r="B510" s="40" t="str">
        <f t="shared" si="4"/>
        <v>C509</v>
      </c>
      <c r="C510" s="43" t="s">
        <v>1803</v>
      </c>
      <c r="D510" s="51"/>
      <c r="E510" s="43" t="s">
        <v>30</v>
      </c>
      <c r="F510" s="43" t="s">
        <v>35</v>
      </c>
      <c r="G510" s="49" t="s">
        <v>96</v>
      </c>
      <c r="H510" s="51" t="s">
        <v>188</v>
      </c>
      <c r="I510" s="192" t="s">
        <v>35</v>
      </c>
      <c r="J510" s="74" t="s">
        <v>323</v>
      </c>
      <c r="K510" s="58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</row>
    <row r="511">
      <c r="A511" s="27">
        <f t="shared" si="2"/>
        <v>510</v>
      </c>
      <c r="B511" s="40" t="str">
        <f t="shared" si="4"/>
        <v>C510</v>
      </c>
      <c r="C511" s="43" t="s">
        <v>1804</v>
      </c>
      <c r="D511" s="51"/>
      <c r="E511" s="43" t="s">
        <v>30</v>
      </c>
      <c r="F511" s="43" t="s">
        <v>35</v>
      </c>
      <c r="G511" s="49" t="s">
        <v>96</v>
      </c>
      <c r="H511" s="208" t="str">
        <f>B$510</f>
        <v>C509</v>
      </c>
      <c r="I511" s="192" t="s">
        <v>35</v>
      </c>
      <c r="J511" s="74" t="s">
        <v>323</v>
      </c>
      <c r="K511" s="58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</row>
    <row r="512">
      <c r="A512" s="59">
        <f t="shared" si="2"/>
        <v>511</v>
      </c>
      <c r="B512" s="61" t="str">
        <f t="shared" si="4"/>
        <v>C511</v>
      </c>
      <c r="C512" s="63" t="s">
        <v>1805</v>
      </c>
      <c r="D512" s="58" t="s">
        <v>1806</v>
      </c>
      <c r="E512" s="63" t="s">
        <v>58</v>
      </c>
      <c r="F512" s="63" t="s">
        <v>318</v>
      </c>
      <c r="G512" s="64" t="s">
        <v>96</v>
      </c>
      <c r="H512" s="209" t="str">
        <f t="shared" ref="H512:H515" si="29">B$511</f>
        <v>C510</v>
      </c>
      <c r="I512" s="74" t="s">
        <v>1807</v>
      </c>
      <c r="J512" s="74" t="s">
        <v>323</v>
      </c>
      <c r="K512" s="58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</row>
    <row r="513">
      <c r="A513" s="59">
        <f t="shared" si="2"/>
        <v>512</v>
      </c>
      <c r="B513" s="61" t="str">
        <f t="shared" si="4"/>
        <v>C512</v>
      </c>
      <c r="C513" s="63" t="s">
        <v>1808</v>
      </c>
      <c r="D513" s="58" t="s">
        <v>1809</v>
      </c>
      <c r="E513" s="63" t="s">
        <v>58</v>
      </c>
      <c r="F513" s="63" t="s">
        <v>318</v>
      </c>
      <c r="G513" s="64" t="s">
        <v>96</v>
      </c>
      <c r="H513" s="209" t="str">
        <f t="shared" si="29"/>
        <v>C510</v>
      </c>
      <c r="I513" s="74" t="s">
        <v>1810</v>
      </c>
      <c r="J513" s="74" t="s">
        <v>323</v>
      </c>
      <c r="K513" s="58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</row>
    <row r="514">
      <c r="A514" s="59">
        <f t="shared" si="2"/>
        <v>513</v>
      </c>
      <c r="B514" s="61" t="str">
        <f t="shared" si="4"/>
        <v>C513</v>
      </c>
      <c r="C514" s="63" t="s">
        <v>1811</v>
      </c>
      <c r="D514" s="58" t="s">
        <v>1812</v>
      </c>
      <c r="E514" s="63" t="s">
        <v>58</v>
      </c>
      <c r="F514" s="63" t="s">
        <v>1813</v>
      </c>
      <c r="G514" s="64" t="s">
        <v>96</v>
      </c>
      <c r="H514" s="209" t="str">
        <f t="shared" si="29"/>
        <v>C510</v>
      </c>
      <c r="I514" s="51" t="s">
        <v>642</v>
      </c>
      <c r="J514" s="74" t="s">
        <v>323</v>
      </c>
      <c r="K514" s="58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</row>
    <row r="515">
      <c r="A515" s="59">
        <f t="shared" si="2"/>
        <v>514</v>
      </c>
      <c r="B515" s="61" t="str">
        <f t="shared" si="4"/>
        <v>C514</v>
      </c>
      <c r="C515" s="63" t="s">
        <v>1814</v>
      </c>
      <c r="D515" s="58" t="s">
        <v>1815</v>
      </c>
      <c r="E515" s="63" t="s">
        <v>58</v>
      </c>
      <c r="F515" s="77" t="s">
        <v>1415</v>
      </c>
      <c r="G515" s="64" t="s">
        <v>96</v>
      </c>
      <c r="H515" s="209" t="str">
        <f t="shared" si="29"/>
        <v>C510</v>
      </c>
      <c r="I515" s="51" t="s">
        <v>642</v>
      </c>
      <c r="J515" s="74" t="s">
        <v>323</v>
      </c>
      <c r="K515" s="58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</row>
    <row r="516">
      <c r="A516" s="27">
        <f t="shared" si="2"/>
        <v>515</v>
      </c>
      <c r="B516" s="40" t="str">
        <f t="shared" si="4"/>
        <v>C515</v>
      </c>
      <c r="C516" s="43" t="s">
        <v>1816</v>
      </c>
      <c r="D516" s="51"/>
      <c r="E516" s="43" t="s">
        <v>30</v>
      </c>
      <c r="F516" s="43" t="s">
        <v>35</v>
      </c>
      <c r="G516" s="49" t="s">
        <v>96</v>
      </c>
      <c r="H516" s="51" t="s">
        <v>188</v>
      </c>
      <c r="I516" s="51" t="s">
        <v>642</v>
      </c>
      <c r="J516" s="192" t="s">
        <v>323</v>
      </c>
      <c r="K516" s="51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</row>
    <row r="517">
      <c r="A517" s="59">
        <f t="shared" si="2"/>
        <v>516</v>
      </c>
      <c r="B517" s="61" t="str">
        <f t="shared" si="4"/>
        <v>C516</v>
      </c>
      <c r="C517" s="63" t="s">
        <v>1817</v>
      </c>
      <c r="D517" s="58" t="s">
        <v>1818</v>
      </c>
      <c r="E517" s="63" t="s">
        <v>58</v>
      </c>
      <c r="F517" s="63" t="s">
        <v>559</v>
      </c>
      <c r="G517" s="64" t="s">
        <v>96</v>
      </c>
      <c r="H517" s="209" t="str">
        <f t="shared" ref="H517:H528" si="30">B$516</f>
        <v>C515</v>
      </c>
      <c r="I517" s="51" t="s">
        <v>642</v>
      </c>
      <c r="J517" s="74" t="s">
        <v>323</v>
      </c>
      <c r="K517" s="58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</row>
    <row r="518">
      <c r="A518" s="59">
        <f t="shared" si="2"/>
        <v>517</v>
      </c>
      <c r="B518" s="61" t="str">
        <f t="shared" si="4"/>
        <v>C517</v>
      </c>
      <c r="C518" s="63" t="s">
        <v>1819</v>
      </c>
      <c r="D518" s="58" t="s">
        <v>1820</v>
      </c>
      <c r="E518" s="63" t="s">
        <v>58</v>
      </c>
      <c r="F518" s="63" t="s">
        <v>274</v>
      </c>
      <c r="G518" s="64" t="s">
        <v>96</v>
      </c>
      <c r="H518" s="209" t="str">
        <f t="shared" si="30"/>
        <v>C515</v>
      </c>
      <c r="I518" s="51" t="s">
        <v>642</v>
      </c>
      <c r="J518" s="74" t="s">
        <v>323</v>
      </c>
      <c r="K518" s="58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</row>
    <row r="519">
      <c r="A519" s="59">
        <f t="shared" si="2"/>
        <v>518</v>
      </c>
      <c r="B519" s="61" t="str">
        <f t="shared" si="4"/>
        <v>C518</v>
      </c>
      <c r="C519" s="63" t="s">
        <v>1821</v>
      </c>
      <c r="D519" s="58" t="s">
        <v>1822</v>
      </c>
      <c r="E519" s="63" t="s">
        <v>58</v>
      </c>
      <c r="F519" s="63" t="s">
        <v>274</v>
      </c>
      <c r="G519" s="64" t="s">
        <v>96</v>
      </c>
      <c r="H519" s="209" t="str">
        <f t="shared" si="30"/>
        <v>C515</v>
      </c>
      <c r="I519" s="51" t="s">
        <v>642</v>
      </c>
      <c r="J519" s="74" t="s">
        <v>323</v>
      </c>
      <c r="K519" s="58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</row>
    <row r="520">
      <c r="A520" s="59">
        <f t="shared" si="2"/>
        <v>519</v>
      </c>
      <c r="B520" s="61" t="str">
        <f t="shared" si="4"/>
        <v>C519</v>
      </c>
      <c r="C520" s="63" t="s">
        <v>1823</v>
      </c>
      <c r="D520" s="58" t="s">
        <v>1824</v>
      </c>
      <c r="E520" s="63" t="s">
        <v>58</v>
      </c>
      <c r="F520" s="63" t="s">
        <v>312</v>
      </c>
      <c r="G520" s="64" t="s">
        <v>96</v>
      </c>
      <c r="H520" s="209" t="str">
        <f t="shared" si="30"/>
        <v>C515</v>
      </c>
      <c r="I520" s="51" t="s">
        <v>642</v>
      </c>
      <c r="J520" s="74" t="s">
        <v>323</v>
      </c>
      <c r="K520" s="58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</row>
    <row r="521">
      <c r="A521" s="59">
        <f t="shared" si="2"/>
        <v>520</v>
      </c>
      <c r="B521" s="61" t="str">
        <f t="shared" si="4"/>
        <v>C520</v>
      </c>
      <c r="C521" s="63" t="s">
        <v>1825</v>
      </c>
      <c r="D521" s="58" t="s">
        <v>1826</v>
      </c>
      <c r="E521" s="63" t="s">
        <v>58</v>
      </c>
      <c r="F521" s="63" t="s">
        <v>559</v>
      </c>
      <c r="G521" s="64" t="s">
        <v>96</v>
      </c>
      <c r="H521" s="209" t="str">
        <f t="shared" si="30"/>
        <v>C515</v>
      </c>
      <c r="I521" s="51" t="s">
        <v>642</v>
      </c>
      <c r="J521" s="74" t="s">
        <v>323</v>
      </c>
      <c r="K521" s="58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</row>
    <row r="522">
      <c r="A522" s="59">
        <f t="shared" si="2"/>
        <v>521</v>
      </c>
      <c r="B522" s="61" t="str">
        <f t="shared" si="4"/>
        <v>C521</v>
      </c>
      <c r="C522" s="63" t="s">
        <v>1827</v>
      </c>
      <c r="D522" s="58" t="s">
        <v>1828</v>
      </c>
      <c r="E522" s="63" t="s">
        <v>58</v>
      </c>
      <c r="F522" s="63" t="s">
        <v>1001</v>
      </c>
      <c r="G522" s="64" t="s">
        <v>96</v>
      </c>
      <c r="H522" s="209" t="str">
        <f t="shared" si="30"/>
        <v>C515</v>
      </c>
      <c r="I522" s="51" t="s">
        <v>642</v>
      </c>
      <c r="J522" s="74" t="s">
        <v>323</v>
      </c>
      <c r="K522" s="58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</row>
    <row r="523">
      <c r="A523" s="59">
        <f t="shared" si="2"/>
        <v>522</v>
      </c>
      <c r="B523" s="61" t="str">
        <f t="shared" si="4"/>
        <v>C522</v>
      </c>
      <c r="C523" s="63" t="s">
        <v>1829</v>
      </c>
      <c r="D523" s="58" t="s">
        <v>1830</v>
      </c>
      <c r="E523" s="63" t="s">
        <v>58</v>
      </c>
      <c r="F523" s="63" t="s">
        <v>1578</v>
      </c>
      <c r="G523" s="64" t="s">
        <v>96</v>
      </c>
      <c r="H523" s="209" t="str">
        <f t="shared" si="30"/>
        <v>C515</v>
      </c>
      <c r="I523" s="51" t="s">
        <v>642</v>
      </c>
      <c r="J523" s="74" t="s">
        <v>323</v>
      </c>
      <c r="K523" s="58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</row>
    <row r="524">
      <c r="A524" s="59">
        <f t="shared" si="2"/>
        <v>523</v>
      </c>
      <c r="B524" s="61" t="str">
        <f t="shared" si="4"/>
        <v>C523</v>
      </c>
      <c r="C524" s="63" t="s">
        <v>1831</v>
      </c>
      <c r="D524" s="58" t="s">
        <v>1832</v>
      </c>
      <c r="E524" s="63" t="s">
        <v>58</v>
      </c>
      <c r="F524" s="63" t="s">
        <v>1001</v>
      </c>
      <c r="G524" s="64" t="s">
        <v>96</v>
      </c>
      <c r="H524" s="209" t="str">
        <f t="shared" si="30"/>
        <v>C515</v>
      </c>
      <c r="I524" s="51" t="s">
        <v>642</v>
      </c>
      <c r="J524" s="74" t="s">
        <v>323</v>
      </c>
      <c r="K524" s="58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</row>
    <row r="525">
      <c r="A525" s="59">
        <f t="shared" si="2"/>
        <v>524</v>
      </c>
      <c r="B525" s="61" t="str">
        <f t="shared" si="4"/>
        <v>C524</v>
      </c>
      <c r="C525" s="63" t="s">
        <v>1833</v>
      </c>
      <c r="D525" s="58" t="s">
        <v>1834</v>
      </c>
      <c r="E525" s="63" t="s">
        <v>58</v>
      </c>
      <c r="F525" s="77" t="s">
        <v>1397</v>
      </c>
      <c r="G525" s="64" t="s">
        <v>96</v>
      </c>
      <c r="H525" s="209" t="str">
        <f t="shared" si="30"/>
        <v>C515</v>
      </c>
      <c r="I525" s="51" t="s">
        <v>642</v>
      </c>
      <c r="J525" s="74" t="s">
        <v>323</v>
      </c>
      <c r="K525" s="58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</row>
    <row r="526">
      <c r="A526" s="59">
        <f t="shared" si="2"/>
        <v>525</v>
      </c>
      <c r="B526" s="61" t="str">
        <f t="shared" si="4"/>
        <v>C525</v>
      </c>
      <c r="C526" s="63" t="s">
        <v>1835</v>
      </c>
      <c r="D526" s="58" t="s">
        <v>1836</v>
      </c>
      <c r="E526" s="63" t="s">
        <v>58</v>
      </c>
      <c r="F526" s="63" t="s">
        <v>1674</v>
      </c>
      <c r="G526" s="64" t="s">
        <v>96</v>
      </c>
      <c r="H526" s="209" t="str">
        <f t="shared" si="30"/>
        <v>C515</v>
      </c>
      <c r="I526" s="51" t="s">
        <v>642</v>
      </c>
      <c r="J526" s="74" t="s">
        <v>323</v>
      </c>
      <c r="K526" s="58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</row>
    <row r="527">
      <c r="A527" s="59">
        <f t="shared" si="2"/>
        <v>526</v>
      </c>
      <c r="B527" s="61" t="str">
        <f t="shared" si="4"/>
        <v>C526</v>
      </c>
      <c r="C527" s="63" t="s">
        <v>1837</v>
      </c>
      <c r="D527" s="58" t="s">
        <v>1838</v>
      </c>
      <c r="E527" s="63" t="s">
        <v>58</v>
      </c>
      <c r="F527" s="63" t="s">
        <v>1001</v>
      </c>
      <c r="G527" s="64" t="s">
        <v>96</v>
      </c>
      <c r="H527" s="209" t="str">
        <f t="shared" si="30"/>
        <v>C515</v>
      </c>
      <c r="I527" s="51" t="s">
        <v>642</v>
      </c>
      <c r="J527" s="74" t="s">
        <v>323</v>
      </c>
      <c r="K527" s="58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</row>
    <row r="528">
      <c r="A528" s="59">
        <f t="shared" si="2"/>
        <v>527</v>
      </c>
      <c r="B528" s="61" t="str">
        <f t="shared" si="4"/>
        <v>C527</v>
      </c>
      <c r="C528" s="63" t="s">
        <v>1839</v>
      </c>
      <c r="D528" s="58" t="s">
        <v>1840</v>
      </c>
      <c r="E528" s="63" t="s">
        <v>58</v>
      </c>
      <c r="F528" s="63" t="s">
        <v>1001</v>
      </c>
      <c r="G528" s="64" t="s">
        <v>96</v>
      </c>
      <c r="H528" s="209" t="str">
        <f t="shared" si="30"/>
        <v>C515</v>
      </c>
      <c r="I528" s="51" t="s">
        <v>642</v>
      </c>
      <c r="J528" s="74" t="s">
        <v>323</v>
      </c>
      <c r="K528" s="58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</row>
    <row r="529">
      <c r="A529" s="27">
        <f t="shared" si="2"/>
        <v>528</v>
      </c>
      <c r="B529" s="40" t="str">
        <f t="shared" si="4"/>
        <v>C528</v>
      </c>
      <c r="C529" s="43" t="s">
        <v>1841</v>
      </c>
      <c r="D529" s="51"/>
      <c r="E529" s="43" t="s">
        <v>30</v>
      </c>
      <c r="F529" s="43" t="s">
        <v>35</v>
      </c>
      <c r="G529" s="49" t="s">
        <v>96</v>
      </c>
      <c r="H529" s="51" t="s">
        <v>188</v>
      </c>
      <c r="I529" s="51" t="s">
        <v>642</v>
      </c>
      <c r="J529" s="192" t="s">
        <v>323</v>
      </c>
      <c r="K529" s="51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</row>
    <row r="530">
      <c r="A530" s="59">
        <f t="shared" si="2"/>
        <v>529</v>
      </c>
      <c r="B530" s="61" t="str">
        <f t="shared" si="4"/>
        <v>C529</v>
      </c>
      <c r="C530" s="63" t="s">
        <v>1842</v>
      </c>
      <c r="D530" s="58" t="s">
        <v>1843</v>
      </c>
      <c r="E530" s="63" t="s">
        <v>58</v>
      </c>
      <c r="F530" s="63" t="s">
        <v>304</v>
      </c>
      <c r="G530" s="64" t="s">
        <v>96</v>
      </c>
      <c r="H530" s="209" t="str">
        <f t="shared" ref="H530:H536" si="31">B$529</f>
        <v>C528</v>
      </c>
      <c r="I530" s="74" t="s">
        <v>1844</v>
      </c>
      <c r="J530" s="74" t="s">
        <v>323</v>
      </c>
      <c r="K530" s="58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</row>
    <row r="531">
      <c r="A531" s="59">
        <f t="shared" si="2"/>
        <v>530</v>
      </c>
      <c r="B531" s="61" t="str">
        <f t="shared" si="4"/>
        <v>C530</v>
      </c>
      <c r="C531" s="63" t="s">
        <v>1845</v>
      </c>
      <c r="D531" s="58" t="s">
        <v>1846</v>
      </c>
      <c r="E531" s="63" t="s">
        <v>58</v>
      </c>
      <c r="F531" s="63" t="s">
        <v>333</v>
      </c>
      <c r="G531" s="64" t="s">
        <v>96</v>
      </c>
      <c r="H531" s="209" t="str">
        <f t="shared" si="31"/>
        <v>C528</v>
      </c>
      <c r="I531" s="58" t="s">
        <v>642</v>
      </c>
      <c r="J531" s="74" t="s">
        <v>323</v>
      </c>
      <c r="K531" s="58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</row>
    <row r="532">
      <c r="A532" s="59">
        <f t="shared" si="2"/>
        <v>531</v>
      </c>
      <c r="B532" s="61" t="str">
        <f t="shared" si="4"/>
        <v>C531</v>
      </c>
      <c r="C532" s="63" t="s">
        <v>1847</v>
      </c>
      <c r="D532" s="58" t="s">
        <v>1848</v>
      </c>
      <c r="E532" s="63" t="s">
        <v>58</v>
      </c>
      <c r="F532" s="63" t="s">
        <v>231</v>
      </c>
      <c r="G532" s="64" t="s">
        <v>96</v>
      </c>
      <c r="H532" s="209" t="str">
        <f t="shared" si="31"/>
        <v>C528</v>
      </c>
      <c r="I532" s="74" t="s">
        <v>1849</v>
      </c>
      <c r="J532" s="74" t="s">
        <v>323</v>
      </c>
      <c r="K532" s="58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</row>
    <row r="533">
      <c r="A533" s="59">
        <f t="shared" si="2"/>
        <v>532</v>
      </c>
      <c r="B533" s="61" t="str">
        <f t="shared" si="4"/>
        <v>C532</v>
      </c>
      <c r="C533" s="63" t="s">
        <v>1850</v>
      </c>
      <c r="D533" s="58" t="s">
        <v>1851</v>
      </c>
      <c r="E533" s="63" t="s">
        <v>58</v>
      </c>
      <c r="F533" s="63" t="s">
        <v>298</v>
      </c>
      <c r="G533" s="64" t="s">
        <v>96</v>
      </c>
      <c r="H533" s="209" t="str">
        <f t="shared" si="31"/>
        <v>C528</v>
      </c>
      <c r="I533" s="74" t="s">
        <v>1852</v>
      </c>
      <c r="J533" s="74" t="s">
        <v>323</v>
      </c>
      <c r="K533" s="58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</row>
    <row r="534">
      <c r="A534" s="59">
        <f t="shared" si="2"/>
        <v>533</v>
      </c>
      <c r="B534" s="61" t="str">
        <f t="shared" si="4"/>
        <v>C533</v>
      </c>
      <c r="C534" s="63" t="s">
        <v>1853</v>
      </c>
      <c r="D534" s="58" t="s">
        <v>1854</v>
      </c>
      <c r="E534" s="63" t="s">
        <v>58</v>
      </c>
      <c r="F534" s="63" t="s">
        <v>1207</v>
      </c>
      <c r="G534" s="64" t="s">
        <v>96</v>
      </c>
      <c r="H534" s="209" t="str">
        <f t="shared" si="31"/>
        <v>C528</v>
      </c>
      <c r="I534" s="74" t="s">
        <v>1855</v>
      </c>
      <c r="J534" s="74" t="s">
        <v>323</v>
      </c>
      <c r="K534" s="58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</row>
    <row r="535">
      <c r="A535" s="59">
        <f t="shared" si="2"/>
        <v>534</v>
      </c>
      <c r="B535" s="61" t="str">
        <f t="shared" si="4"/>
        <v>C534</v>
      </c>
      <c r="C535" s="63" t="s">
        <v>1856</v>
      </c>
      <c r="D535" s="58" t="s">
        <v>1857</v>
      </c>
      <c r="E535" s="63" t="s">
        <v>58</v>
      </c>
      <c r="F535" s="63" t="s">
        <v>1732</v>
      </c>
      <c r="G535" s="64" t="s">
        <v>96</v>
      </c>
      <c r="H535" s="209" t="str">
        <f t="shared" si="31"/>
        <v>C528</v>
      </c>
      <c r="I535" s="51" t="s">
        <v>642</v>
      </c>
      <c r="J535" s="74" t="s">
        <v>323</v>
      </c>
      <c r="K535" s="58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</row>
    <row r="536">
      <c r="A536" s="59">
        <f t="shared" si="2"/>
        <v>535</v>
      </c>
      <c r="B536" s="61" t="str">
        <f t="shared" si="4"/>
        <v>C535</v>
      </c>
      <c r="C536" s="63" t="s">
        <v>1858</v>
      </c>
      <c r="D536" s="58" t="s">
        <v>1859</v>
      </c>
      <c r="E536" s="63" t="s">
        <v>58</v>
      </c>
      <c r="F536" s="63" t="s">
        <v>1596</v>
      </c>
      <c r="G536" s="64" t="s">
        <v>96</v>
      </c>
      <c r="H536" s="209" t="str">
        <f t="shared" si="31"/>
        <v>C528</v>
      </c>
      <c r="I536" s="51" t="s">
        <v>642</v>
      </c>
      <c r="J536" s="74" t="s">
        <v>323</v>
      </c>
      <c r="K536" s="58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</row>
    <row r="537">
      <c r="A537" s="157">
        <f t="shared" si="2"/>
        <v>536</v>
      </c>
      <c r="B537" s="143" t="str">
        <f t="shared" si="4"/>
        <v>C536</v>
      </c>
      <c r="C537" s="158" t="s">
        <v>1860</v>
      </c>
      <c r="D537" s="88" t="s">
        <v>1861</v>
      </c>
      <c r="E537" s="158" t="s">
        <v>30</v>
      </c>
      <c r="F537" s="193" t="s">
        <v>35</v>
      </c>
      <c r="G537" s="210" t="s">
        <v>96</v>
      </c>
      <c r="H537" s="158" t="s">
        <v>188</v>
      </c>
      <c r="I537" s="88" t="s">
        <v>35</v>
      </c>
      <c r="J537" s="145" t="s">
        <v>414</v>
      </c>
      <c r="K537" s="101"/>
      <c r="L537" s="115"/>
      <c r="M537" s="115"/>
      <c r="N537" s="115"/>
      <c r="O537" s="115"/>
      <c r="P537" s="115"/>
      <c r="Q537" s="115"/>
      <c r="R537" s="115"/>
      <c r="S537" s="115"/>
      <c r="T537" s="115"/>
      <c r="U537" s="115"/>
      <c r="V537" s="115"/>
      <c r="W537" s="115"/>
      <c r="X537" s="115"/>
    </row>
    <row r="538">
      <c r="A538" s="157">
        <f t="shared" si="2"/>
        <v>537</v>
      </c>
      <c r="B538" s="143" t="str">
        <f t="shared" si="4"/>
        <v>C537</v>
      </c>
      <c r="C538" s="82" t="s">
        <v>1862</v>
      </c>
      <c r="D538" s="82" t="s">
        <v>1863</v>
      </c>
      <c r="E538" s="178" t="s">
        <v>58</v>
      </c>
      <c r="F538" s="83" t="s">
        <v>1674</v>
      </c>
      <c r="G538" s="84" t="s">
        <v>39</v>
      </c>
      <c r="H538" s="202" t="str">
        <f t="shared" ref="H538:H548" si="32">B$537</f>
        <v>C536</v>
      </c>
      <c r="I538" s="88"/>
      <c r="J538" s="82" t="s">
        <v>31</v>
      </c>
      <c r="K538" s="87"/>
      <c r="L538" s="86"/>
      <c r="M538" s="86"/>
      <c r="N538" s="86"/>
      <c r="O538" s="86"/>
      <c r="P538" s="86"/>
      <c r="Q538" s="86"/>
      <c r="R538" s="86"/>
      <c r="S538" s="86"/>
      <c r="T538" s="86"/>
      <c r="U538" s="86"/>
      <c r="V538" s="86"/>
      <c r="W538" s="86"/>
      <c r="X538" s="86"/>
    </row>
    <row r="539">
      <c r="A539" s="157">
        <f t="shared" si="2"/>
        <v>538</v>
      </c>
      <c r="B539" s="143" t="str">
        <f t="shared" si="4"/>
        <v>C538</v>
      </c>
      <c r="C539" s="94" t="s">
        <v>1864</v>
      </c>
      <c r="D539" s="94" t="s">
        <v>1865</v>
      </c>
      <c r="E539" s="93" t="s">
        <v>58</v>
      </c>
      <c r="F539" s="93" t="s">
        <v>312</v>
      </c>
      <c r="G539" s="211" t="s">
        <v>96</v>
      </c>
      <c r="H539" s="212" t="str">
        <f t="shared" si="32"/>
        <v>C536</v>
      </c>
      <c r="I539" s="94" t="s">
        <v>1866</v>
      </c>
      <c r="J539" s="98" t="s">
        <v>414</v>
      </c>
      <c r="K539" s="99"/>
      <c r="L539" s="100"/>
      <c r="M539" s="100"/>
      <c r="N539" s="100"/>
      <c r="O539" s="100"/>
      <c r="P539" s="100"/>
      <c r="Q539" s="100"/>
      <c r="R539" s="100"/>
      <c r="S539" s="100"/>
      <c r="T539" s="100"/>
      <c r="U539" s="100"/>
      <c r="V539" s="100"/>
      <c r="W539" s="100"/>
      <c r="X539" s="100"/>
    </row>
    <row r="540">
      <c r="A540" s="91">
        <f t="shared" si="2"/>
        <v>539</v>
      </c>
      <c r="B540" s="92" t="str">
        <f t="shared" si="4"/>
        <v>C539</v>
      </c>
      <c r="C540" s="94" t="s">
        <v>1867</v>
      </c>
      <c r="D540" s="94" t="s">
        <v>1868</v>
      </c>
      <c r="E540" s="93" t="s">
        <v>58</v>
      </c>
      <c r="F540" s="93" t="s">
        <v>1397</v>
      </c>
      <c r="G540" s="95" t="s">
        <v>39</v>
      </c>
      <c r="H540" s="212" t="str">
        <f t="shared" si="32"/>
        <v>C536</v>
      </c>
      <c r="I540" s="97" t="s">
        <v>418</v>
      </c>
      <c r="J540" s="98" t="s">
        <v>414</v>
      </c>
      <c r="K540" s="99"/>
      <c r="L540" s="100"/>
      <c r="M540" s="100"/>
      <c r="N540" s="100"/>
      <c r="O540" s="100"/>
      <c r="P540" s="100"/>
      <c r="Q540" s="100"/>
      <c r="R540" s="100"/>
      <c r="S540" s="100"/>
      <c r="T540" s="100"/>
      <c r="U540" s="100"/>
      <c r="V540" s="100"/>
      <c r="W540" s="100"/>
      <c r="X540" s="100"/>
    </row>
    <row r="541">
      <c r="A541" s="91">
        <f t="shared" si="2"/>
        <v>540</v>
      </c>
      <c r="B541" s="92" t="str">
        <f t="shared" si="4"/>
        <v>C540</v>
      </c>
      <c r="C541" s="94" t="s">
        <v>1869</v>
      </c>
      <c r="D541" s="94" t="s">
        <v>1870</v>
      </c>
      <c r="E541" s="93" t="s">
        <v>58</v>
      </c>
      <c r="F541" s="93" t="s">
        <v>1397</v>
      </c>
      <c r="G541" s="95" t="s">
        <v>39</v>
      </c>
      <c r="H541" s="212" t="str">
        <f t="shared" si="32"/>
        <v>C536</v>
      </c>
      <c r="I541" s="97" t="s">
        <v>418</v>
      </c>
      <c r="J541" s="98" t="s">
        <v>414</v>
      </c>
      <c r="K541" s="99"/>
      <c r="L541" s="100"/>
      <c r="M541" s="100"/>
      <c r="N541" s="100"/>
      <c r="O541" s="100"/>
      <c r="P541" s="100"/>
      <c r="Q541" s="100"/>
      <c r="R541" s="100"/>
      <c r="S541" s="100"/>
      <c r="T541" s="100"/>
      <c r="U541" s="100"/>
      <c r="V541" s="100"/>
      <c r="W541" s="100"/>
      <c r="X541" s="100"/>
    </row>
    <row r="542">
      <c r="A542" s="91">
        <f t="shared" si="2"/>
        <v>541</v>
      </c>
      <c r="B542" s="92" t="str">
        <f t="shared" si="4"/>
        <v>C541</v>
      </c>
      <c r="C542" s="94" t="s">
        <v>1871</v>
      </c>
      <c r="D542" s="94" t="s">
        <v>1872</v>
      </c>
      <c r="E542" s="93" t="s">
        <v>58</v>
      </c>
      <c r="F542" s="93" t="s">
        <v>559</v>
      </c>
      <c r="G542" s="95" t="s">
        <v>39</v>
      </c>
      <c r="H542" s="212" t="str">
        <f t="shared" si="32"/>
        <v>C536</v>
      </c>
      <c r="I542" s="97" t="s">
        <v>418</v>
      </c>
      <c r="J542" s="98" t="s">
        <v>414</v>
      </c>
      <c r="K542" s="99"/>
      <c r="L542" s="100"/>
      <c r="M542" s="100"/>
      <c r="N542" s="100"/>
      <c r="O542" s="100"/>
      <c r="P542" s="100"/>
      <c r="Q542" s="100"/>
      <c r="R542" s="100"/>
      <c r="S542" s="100"/>
      <c r="T542" s="100"/>
      <c r="U542" s="100"/>
      <c r="V542" s="100"/>
      <c r="W542" s="100"/>
      <c r="X542" s="100"/>
    </row>
    <row r="543">
      <c r="A543" s="91">
        <f t="shared" si="2"/>
        <v>542</v>
      </c>
      <c r="B543" s="92" t="str">
        <f t="shared" si="4"/>
        <v>C542</v>
      </c>
      <c r="C543" s="94" t="s">
        <v>1873</v>
      </c>
      <c r="D543" s="94" t="s">
        <v>1874</v>
      </c>
      <c r="E543" s="93" t="s">
        <v>58</v>
      </c>
      <c r="F543" s="93" t="s">
        <v>1001</v>
      </c>
      <c r="G543" s="95" t="s">
        <v>39</v>
      </c>
      <c r="H543" s="212" t="str">
        <f t="shared" si="32"/>
        <v>C536</v>
      </c>
      <c r="I543" s="97" t="s">
        <v>418</v>
      </c>
      <c r="J543" s="98" t="s">
        <v>414</v>
      </c>
      <c r="K543" s="99"/>
      <c r="L543" s="100"/>
      <c r="M543" s="100"/>
      <c r="N543" s="100"/>
      <c r="O543" s="100"/>
      <c r="P543" s="100"/>
      <c r="Q543" s="100"/>
      <c r="R543" s="100"/>
      <c r="S543" s="100"/>
      <c r="T543" s="100"/>
      <c r="U543" s="100"/>
      <c r="V543" s="100"/>
      <c r="W543" s="100"/>
      <c r="X543" s="100"/>
    </row>
    <row r="544">
      <c r="A544" s="91">
        <f t="shared" si="2"/>
        <v>543</v>
      </c>
      <c r="B544" s="92" t="str">
        <f t="shared" si="4"/>
        <v>C543</v>
      </c>
      <c r="C544" s="94" t="s">
        <v>1875</v>
      </c>
      <c r="D544" s="94" t="s">
        <v>1876</v>
      </c>
      <c r="E544" s="93" t="s">
        <v>58</v>
      </c>
      <c r="F544" s="93" t="s">
        <v>1578</v>
      </c>
      <c r="G544" s="211" t="s">
        <v>96</v>
      </c>
      <c r="H544" s="212" t="str">
        <f t="shared" si="32"/>
        <v>C536</v>
      </c>
      <c r="I544" s="97" t="s">
        <v>418</v>
      </c>
      <c r="J544" s="98" t="s">
        <v>414</v>
      </c>
      <c r="K544" s="99"/>
      <c r="L544" s="100"/>
      <c r="M544" s="100"/>
      <c r="N544" s="100"/>
      <c r="O544" s="100"/>
      <c r="P544" s="100"/>
      <c r="Q544" s="100"/>
      <c r="R544" s="100"/>
      <c r="S544" s="100"/>
      <c r="T544" s="100"/>
      <c r="U544" s="100"/>
      <c r="V544" s="100"/>
      <c r="W544" s="100"/>
      <c r="X544" s="100"/>
    </row>
    <row r="545">
      <c r="A545" s="91">
        <f t="shared" si="2"/>
        <v>544</v>
      </c>
      <c r="B545" s="92" t="str">
        <f t="shared" si="4"/>
        <v>C544</v>
      </c>
      <c r="C545" s="94" t="s">
        <v>1877</v>
      </c>
      <c r="D545" s="94" t="s">
        <v>1878</v>
      </c>
      <c r="E545" s="93" t="s">
        <v>58</v>
      </c>
      <c r="F545" s="93" t="s">
        <v>1001</v>
      </c>
      <c r="G545" s="95" t="s">
        <v>39</v>
      </c>
      <c r="H545" s="212" t="str">
        <f t="shared" si="32"/>
        <v>C536</v>
      </c>
      <c r="I545" s="97" t="s">
        <v>418</v>
      </c>
      <c r="J545" s="98" t="s">
        <v>414</v>
      </c>
      <c r="K545" s="99"/>
      <c r="L545" s="100"/>
      <c r="M545" s="100"/>
      <c r="N545" s="100"/>
      <c r="O545" s="100"/>
      <c r="P545" s="100"/>
      <c r="Q545" s="100"/>
      <c r="R545" s="100"/>
      <c r="S545" s="100"/>
      <c r="T545" s="100"/>
      <c r="U545" s="100"/>
      <c r="V545" s="100"/>
      <c r="W545" s="100"/>
      <c r="X545" s="100"/>
    </row>
    <row r="546">
      <c r="A546" s="91">
        <f t="shared" si="2"/>
        <v>545</v>
      </c>
      <c r="B546" s="92" t="str">
        <f t="shared" si="4"/>
        <v>C545</v>
      </c>
      <c r="C546" s="94" t="s">
        <v>1879</v>
      </c>
      <c r="D546" s="213" t="s">
        <v>1880</v>
      </c>
      <c r="E546" s="93" t="s">
        <v>58</v>
      </c>
      <c r="F546" s="93" t="s">
        <v>1001</v>
      </c>
      <c r="G546" s="95" t="s">
        <v>96</v>
      </c>
      <c r="H546" s="212" t="str">
        <f t="shared" si="32"/>
        <v>C536</v>
      </c>
      <c r="I546" s="94" t="s">
        <v>1881</v>
      </c>
      <c r="J546" s="98" t="s">
        <v>414</v>
      </c>
      <c r="K546" s="99"/>
      <c r="L546" s="100"/>
      <c r="M546" s="100"/>
      <c r="N546" s="100"/>
      <c r="O546" s="100"/>
      <c r="P546" s="100"/>
      <c r="Q546" s="100"/>
      <c r="R546" s="100"/>
      <c r="S546" s="100"/>
      <c r="T546" s="100"/>
      <c r="U546" s="100"/>
      <c r="V546" s="100"/>
      <c r="W546" s="100"/>
      <c r="X546" s="100"/>
    </row>
    <row r="547">
      <c r="A547" s="91">
        <f t="shared" si="2"/>
        <v>546</v>
      </c>
      <c r="B547" s="92" t="str">
        <f t="shared" si="4"/>
        <v>C546</v>
      </c>
      <c r="C547" s="94" t="s">
        <v>1882</v>
      </c>
      <c r="D547" s="94" t="s">
        <v>1883</v>
      </c>
      <c r="E547" s="93" t="s">
        <v>58</v>
      </c>
      <c r="F547" s="93" t="s">
        <v>1001</v>
      </c>
      <c r="G547" s="95" t="s">
        <v>96</v>
      </c>
      <c r="H547" s="212" t="str">
        <f t="shared" si="32"/>
        <v>C536</v>
      </c>
      <c r="I547" s="94" t="s">
        <v>1884</v>
      </c>
      <c r="J547" s="98" t="s">
        <v>414</v>
      </c>
      <c r="K547" s="99"/>
      <c r="L547" s="100"/>
      <c r="M547" s="100"/>
      <c r="N547" s="100"/>
      <c r="O547" s="100"/>
      <c r="P547" s="100"/>
      <c r="Q547" s="100"/>
      <c r="R547" s="100"/>
      <c r="S547" s="100"/>
      <c r="T547" s="100"/>
      <c r="U547" s="100"/>
      <c r="V547" s="100"/>
      <c r="W547" s="100"/>
      <c r="X547" s="100"/>
    </row>
    <row r="548">
      <c r="A548" s="157">
        <f t="shared" si="2"/>
        <v>547</v>
      </c>
      <c r="B548" s="143" t="str">
        <f t="shared" si="4"/>
        <v>C547</v>
      </c>
      <c r="C548" s="200" t="s">
        <v>1803</v>
      </c>
      <c r="D548" s="214" t="s">
        <v>1885</v>
      </c>
      <c r="E548" s="214" t="s">
        <v>30</v>
      </c>
      <c r="F548" s="215" t="s">
        <v>35</v>
      </c>
      <c r="G548" s="216" t="s">
        <v>96</v>
      </c>
      <c r="H548" s="217" t="str">
        <f t="shared" si="32"/>
        <v>C536</v>
      </c>
      <c r="I548" s="200" t="s">
        <v>1886</v>
      </c>
      <c r="J548" s="82" t="s">
        <v>31</v>
      </c>
      <c r="K548" s="101"/>
      <c r="L548" s="115"/>
      <c r="M548" s="115"/>
      <c r="N548" s="115"/>
      <c r="O548" s="115"/>
      <c r="P548" s="115"/>
      <c r="Q548" s="115"/>
      <c r="R548" s="115"/>
      <c r="S548" s="115"/>
      <c r="T548" s="115"/>
      <c r="U548" s="115"/>
      <c r="V548" s="115"/>
      <c r="W548" s="115"/>
      <c r="X548" s="115"/>
    </row>
    <row r="549">
      <c r="A549" s="79">
        <f t="shared" si="2"/>
        <v>548</v>
      </c>
      <c r="B549" s="80" t="str">
        <f t="shared" si="4"/>
        <v>C548</v>
      </c>
      <c r="C549" s="151" t="s">
        <v>1887</v>
      </c>
      <c r="D549" s="151" t="s">
        <v>1888</v>
      </c>
      <c r="E549" s="178" t="s">
        <v>58</v>
      </c>
      <c r="F549" s="83" t="s">
        <v>740</v>
      </c>
      <c r="G549" s="218" t="s">
        <v>39</v>
      </c>
      <c r="H549" s="219" t="str">
        <f t="shared" ref="H549:H554" si="33">B$548</f>
        <v>C547</v>
      </c>
      <c r="I549" s="151" t="s">
        <v>1889</v>
      </c>
      <c r="J549" s="82" t="s">
        <v>31</v>
      </c>
      <c r="K549" s="101"/>
      <c r="L549" s="115"/>
      <c r="M549" s="115"/>
      <c r="N549" s="115"/>
      <c r="O549" s="115"/>
      <c r="P549" s="115"/>
      <c r="Q549" s="115"/>
      <c r="R549" s="115"/>
      <c r="S549" s="115"/>
      <c r="T549" s="115"/>
      <c r="U549" s="115"/>
      <c r="V549" s="115"/>
      <c r="W549" s="115"/>
      <c r="X549" s="115"/>
    </row>
    <row r="550">
      <c r="A550" s="79">
        <f t="shared" si="2"/>
        <v>549</v>
      </c>
      <c r="B550" s="80" t="str">
        <f t="shared" si="4"/>
        <v>C549</v>
      </c>
      <c r="C550" s="151" t="s">
        <v>1890</v>
      </c>
      <c r="D550" s="151" t="s">
        <v>1891</v>
      </c>
      <c r="E550" s="178" t="s">
        <v>58</v>
      </c>
      <c r="F550" s="83" t="s">
        <v>740</v>
      </c>
      <c r="G550" s="218" t="s">
        <v>39</v>
      </c>
      <c r="H550" s="219" t="str">
        <f t="shared" si="33"/>
        <v>C547</v>
      </c>
      <c r="I550" s="151" t="s">
        <v>1892</v>
      </c>
      <c r="J550" s="82" t="s">
        <v>31</v>
      </c>
      <c r="K550" s="101"/>
      <c r="L550" s="115"/>
      <c r="M550" s="115"/>
      <c r="N550" s="115"/>
      <c r="O550" s="115"/>
      <c r="P550" s="115"/>
      <c r="Q550" s="115"/>
      <c r="R550" s="115"/>
      <c r="S550" s="115"/>
      <c r="T550" s="115"/>
      <c r="U550" s="115"/>
      <c r="V550" s="115"/>
      <c r="W550" s="115"/>
      <c r="X550" s="115"/>
    </row>
    <row r="551">
      <c r="A551" s="79">
        <f t="shared" si="2"/>
        <v>550</v>
      </c>
      <c r="B551" s="80" t="str">
        <f t="shared" si="4"/>
        <v>C550</v>
      </c>
      <c r="C551" s="151" t="s">
        <v>1893</v>
      </c>
      <c r="D551" s="151" t="s">
        <v>1894</v>
      </c>
      <c r="E551" s="178" t="s">
        <v>58</v>
      </c>
      <c r="F551" s="83" t="s">
        <v>740</v>
      </c>
      <c r="G551" s="218" t="s">
        <v>96</v>
      </c>
      <c r="H551" s="219" t="str">
        <f t="shared" si="33"/>
        <v>C547</v>
      </c>
      <c r="I551" s="151" t="s">
        <v>1895</v>
      </c>
      <c r="J551" s="82" t="s">
        <v>31</v>
      </c>
      <c r="K551" s="101"/>
      <c r="L551" s="115"/>
      <c r="M551" s="115"/>
      <c r="N551" s="115"/>
      <c r="O551" s="115"/>
      <c r="P551" s="115"/>
      <c r="Q551" s="115"/>
      <c r="R551" s="115"/>
      <c r="S551" s="115"/>
      <c r="T551" s="115"/>
      <c r="U551" s="115"/>
      <c r="V551" s="115"/>
      <c r="W551" s="115"/>
      <c r="X551" s="115"/>
    </row>
    <row r="552">
      <c r="A552" s="79">
        <f t="shared" si="2"/>
        <v>551</v>
      </c>
      <c r="B552" s="80" t="str">
        <f t="shared" si="4"/>
        <v>C551</v>
      </c>
      <c r="C552" s="151" t="s">
        <v>1896</v>
      </c>
      <c r="D552" s="151" t="s">
        <v>1897</v>
      </c>
      <c r="E552" s="178" t="s">
        <v>58</v>
      </c>
      <c r="F552" s="83" t="s">
        <v>740</v>
      </c>
      <c r="G552" s="218" t="s">
        <v>96</v>
      </c>
      <c r="H552" s="219" t="str">
        <f t="shared" si="33"/>
        <v>C547</v>
      </c>
      <c r="I552" s="151" t="s">
        <v>1898</v>
      </c>
      <c r="J552" s="82" t="s">
        <v>31</v>
      </c>
      <c r="K552" s="101"/>
      <c r="L552" s="115"/>
      <c r="M552" s="115"/>
      <c r="N552" s="115"/>
      <c r="O552" s="115"/>
      <c r="P552" s="115"/>
      <c r="Q552" s="115"/>
      <c r="R552" s="115"/>
      <c r="S552" s="115"/>
      <c r="T552" s="115"/>
      <c r="U552" s="115"/>
      <c r="V552" s="115"/>
      <c r="W552" s="115"/>
      <c r="X552" s="115"/>
    </row>
    <row r="553">
      <c r="A553" s="79">
        <f t="shared" si="2"/>
        <v>552</v>
      </c>
      <c r="B553" s="80" t="str">
        <f t="shared" si="4"/>
        <v>C552</v>
      </c>
      <c r="C553" s="151" t="s">
        <v>1899</v>
      </c>
      <c r="D553" s="151" t="s">
        <v>1900</v>
      </c>
      <c r="E553" s="178" t="s">
        <v>58</v>
      </c>
      <c r="F553" s="198" t="s">
        <v>927</v>
      </c>
      <c r="G553" s="218" t="s">
        <v>96</v>
      </c>
      <c r="H553" s="219" t="str">
        <f t="shared" si="33"/>
        <v>C547</v>
      </c>
      <c r="I553" s="151" t="s">
        <v>1901</v>
      </c>
      <c r="J553" s="82" t="s">
        <v>31</v>
      </c>
      <c r="K553" s="101"/>
      <c r="L553" s="115"/>
      <c r="M553" s="115"/>
      <c r="N553" s="115"/>
      <c r="O553" s="115"/>
      <c r="P553" s="115"/>
      <c r="Q553" s="115"/>
      <c r="R553" s="115"/>
      <c r="S553" s="115"/>
      <c r="T553" s="115"/>
      <c r="U553" s="115"/>
      <c r="V553" s="115"/>
      <c r="W553" s="115"/>
      <c r="X553" s="115"/>
    </row>
    <row r="554">
      <c r="A554" s="157">
        <f t="shared" si="2"/>
        <v>553</v>
      </c>
      <c r="B554" s="143" t="str">
        <f t="shared" si="4"/>
        <v>C553</v>
      </c>
      <c r="C554" s="200" t="s">
        <v>1902</v>
      </c>
      <c r="D554" s="200" t="s">
        <v>1903</v>
      </c>
      <c r="E554" s="200" t="s">
        <v>30</v>
      </c>
      <c r="F554" s="200" t="s">
        <v>35</v>
      </c>
      <c r="G554" s="220" t="s">
        <v>96</v>
      </c>
      <c r="H554" s="219" t="str">
        <f t="shared" si="33"/>
        <v>C547</v>
      </c>
      <c r="I554" s="200"/>
      <c r="J554" s="82" t="s">
        <v>31</v>
      </c>
      <c r="K554" s="101"/>
      <c r="L554" s="115"/>
      <c r="M554" s="115"/>
      <c r="N554" s="115"/>
      <c r="O554" s="115"/>
      <c r="P554" s="115"/>
      <c r="Q554" s="115"/>
      <c r="R554" s="115"/>
      <c r="S554" s="115"/>
      <c r="T554" s="115"/>
      <c r="U554" s="115"/>
      <c r="V554" s="115"/>
      <c r="W554" s="115"/>
      <c r="X554" s="115"/>
    </row>
    <row r="555">
      <c r="A555" s="157">
        <f t="shared" si="2"/>
        <v>554</v>
      </c>
      <c r="B555" s="143" t="str">
        <f t="shared" si="4"/>
        <v>C554</v>
      </c>
      <c r="C555" s="200" t="s">
        <v>1904</v>
      </c>
      <c r="D555" s="200" t="s">
        <v>1905</v>
      </c>
      <c r="E555" s="214" t="s">
        <v>30</v>
      </c>
      <c r="F555" s="215" t="s">
        <v>35</v>
      </c>
      <c r="G555" s="220" t="s">
        <v>1906</v>
      </c>
      <c r="H555" s="217" t="str">
        <f>B$554</f>
        <v>C553</v>
      </c>
      <c r="I555" s="200" t="s">
        <v>1907</v>
      </c>
      <c r="J555" s="82" t="s">
        <v>31</v>
      </c>
      <c r="K555" s="101"/>
      <c r="L555" s="115"/>
      <c r="M555" s="115"/>
      <c r="N555" s="115"/>
      <c r="O555" s="115"/>
      <c r="P555" s="115"/>
      <c r="Q555" s="115"/>
      <c r="R555" s="115"/>
      <c r="S555" s="115"/>
      <c r="T555" s="115"/>
      <c r="U555" s="115"/>
      <c r="V555" s="115"/>
      <c r="W555" s="115"/>
      <c r="X555" s="115"/>
    </row>
    <row r="556">
      <c r="A556" s="79">
        <f t="shared" si="2"/>
        <v>555</v>
      </c>
      <c r="B556" s="80" t="str">
        <f t="shared" si="4"/>
        <v>C555</v>
      </c>
      <c r="C556" s="151" t="s">
        <v>1864</v>
      </c>
      <c r="D556" s="151" t="s">
        <v>1908</v>
      </c>
      <c r="E556" s="178" t="s">
        <v>58</v>
      </c>
      <c r="F556" s="198" t="s">
        <v>312</v>
      </c>
      <c r="G556" s="218" t="s">
        <v>96</v>
      </c>
      <c r="H556" s="219" t="str">
        <f t="shared" ref="H556:H565" si="34">B$555</f>
        <v>C554</v>
      </c>
      <c r="I556" s="151" t="s">
        <v>418</v>
      </c>
      <c r="J556" s="82" t="s">
        <v>31</v>
      </c>
      <c r="K556" s="101"/>
      <c r="L556" s="115"/>
      <c r="M556" s="115"/>
      <c r="N556" s="115"/>
      <c r="O556" s="115"/>
      <c r="P556" s="115"/>
      <c r="Q556" s="115"/>
      <c r="R556" s="115"/>
      <c r="S556" s="115"/>
      <c r="T556" s="115"/>
      <c r="U556" s="115"/>
      <c r="V556" s="115"/>
      <c r="W556" s="115"/>
      <c r="X556" s="115"/>
    </row>
    <row r="557">
      <c r="A557" s="79">
        <f t="shared" si="2"/>
        <v>556</v>
      </c>
      <c r="B557" s="80" t="str">
        <f t="shared" si="4"/>
        <v>C556</v>
      </c>
      <c r="C557" s="151" t="s">
        <v>1867</v>
      </c>
      <c r="D557" s="151" t="s">
        <v>1909</v>
      </c>
      <c r="E557" s="178" t="s">
        <v>58</v>
      </c>
      <c r="F557" s="198" t="s">
        <v>1910</v>
      </c>
      <c r="G557" s="218" t="s">
        <v>39</v>
      </c>
      <c r="H557" s="219" t="str">
        <f t="shared" si="34"/>
        <v>C554</v>
      </c>
      <c r="I557" s="178"/>
      <c r="J557" s="82" t="s">
        <v>31</v>
      </c>
      <c r="K557" s="101"/>
      <c r="L557" s="115"/>
      <c r="M557" s="115"/>
      <c r="N557" s="115"/>
      <c r="O557" s="115"/>
      <c r="P557" s="115"/>
      <c r="Q557" s="115"/>
      <c r="R557" s="115"/>
      <c r="S557" s="115"/>
      <c r="T557" s="115"/>
      <c r="U557" s="115"/>
      <c r="V557" s="115"/>
      <c r="W557" s="115"/>
      <c r="X557" s="115"/>
    </row>
    <row r="558">
      <c r="A558" s="79">
        <f t="shared" si="2"/>
        <v>557</v>
      </c>
      <c r="B558" s="80" t="str">
        <f t="shared" si="4"/>
        <v>C557</v>
      </c>
      <c r="C558" s="82" t="s">
        <v>1869</v>
      </c>
      <c r="D558" s="82" t="s">
        <v>1870</v>
      </c>
      <c r="E558" s="81" t="s">
        <v>58</v>
      </c>
      <c r="F558" s="81" t="s">
        <v>1397</v>
      </c>
      <c r="G558" s="84" t="s">
        <v>39</v>
      </c>
      <c r="H558" s="219" t="str">
        <f t="shared" si="34"/>
        <v>C554</v>
      </c>
      <c r="I558" s="214"/>
      <c r="J558" s="82" t="s">
        <v>31</v>
      </c>
      <c r="K558" s="101"/>
      <c r="L558" s="115"/>
      <c r="M558" s="115"/>
      <c r="N558" s="115"/>
      <c r="O558" s="115"/>
      <c r="P558" s="115"/>
      <c r="Q558" s="115"/>
      <c r="R558" s="115"/>
      <c r="S558" s="115"/>
      <c r="T558" s="115"/>
      <c r="U558" s="115"/>
      <c r="V558" s="115"/>
      <c r="W558" s="115"/>
      <c r="X558" s="115"/>
    </row>
    <row r="559">
      <c r="A559" s="79">
        <f t="shared" si="2"/>
        <v>558</v>
      </c>
      <c r="B559" s="80" t="str">
        <f t="shared" si="4"/>
        <v>C558</v>
      </c>
      <c r="C559" s="82" t="s">
        <v>1871</v>
      </c>
      <c r="D559" s="82" t="s">
        <v>1872</v>
      </c>
      <c r="E559" s="81" t="s">
        <v>58</v>
      </c>
      <c r="F559" s="81" t="s">
        <v>559</v>
      </c>
      <c r="G559" s="84" t="s">
        <v>39</v>
      </c>
      <c r="H559" s="219" t="str">
        <f t="shared" si="34"/>
        <v>C554</v>
      </c>
      <c r="I559" s="178"/>
      <c r="J559" s="82" t="s">
        <v>31</v>
      </c>
      <c r="K559" s="87"/>
      <c r="L559" s="86"/>
      <c r="M559" s="86"/>
      <c r="N559" s="86"/>
      <c r="O559" s="86"/>
      <c r="P559" s="86"/>
      <c r="Q559" s="86"/>
      <c r="R559" s="86"/>
      <c r="S559" s="86"/>
      <c r="T559" s="86"/>
      <c r="U559" s="86"/>
      <c r="V559" s="86"/>
      <c r="W559" s="86"/>
      <c r="X559" s="86"/>
    </row>
    <row r="560">
      <c r="A560" s="79">
        <f t="shared" si="2"/>
        <v>559</v>
      </c>
      <c r="B560" s="80" t="str">
        <f t="shared" si="4"/>
        <v>C559</v>
      </c>
      <c r="C560" s="82" t="s">
        <v>1873</v>
      </c>
      <c r="D560" s="82" t="s">
        <v>1874</v>
      </c>
      <c r="E560" s="81" t="s">
        <v>58</v>
      </c>
      <c r="F560" s="81" t="s">
        <v>1001</v>
      </c>
      <c r="G560" s="84" t="s">
        <v>39</v>
      </c>
      <c r="H560" s="219" t="str">
        <f t="shared" si="34"/>
        <v>C554</v>
      </c>
      <c r="I560" s="214"/>
      <c r="J560" s="82" t="s">
        <v>31</v>
      </c>
      <c r="K560" s="101"/>
      <c r="L560" s="115"/>
      <c r="M560" s="115"/>
      <c r="N560" s="115"/>
      <c r="O560" s="115"/>
      <c r="P560" s="115"/>
      <c r="Q560" s="115"/>
      <c r="R560" s="115"/>
      <c r="S560" s="115"/>
      <c r="T560" s="115"/>
      <c r="U560" s="115"/>
      <c r="V560" s="115"/>
      <c r="W560" s="115"/>
      <c r="X560" s="115"/>
    </row>
    <row r="561">
      <c r="A561" s="79">
        <f t="shared" si="2"/>
        <v>560</v>
      </c>
      <c r="B561" s="80" t="str">
        <f t="shared" si="4"/>
        <v>C560</v>
      </c>
      <c r="C561" s="82" t="s">
        <v>1875</v>
      </c>
      <c r="D561" s="82" t="s">
        <v>1911</v>
      </c>
      <c r="E561" s="81" t="s">
        <v>58</v>
      </c>
      <c r="F561" s="81" t="s">
        <v>1578</v>
      </c>
      <c r="G561" s="118" t="s">
        <v>96</v>
      </c>
      <c r="H561" s="219" t="str">
        <f t="shared" si="34"/>
        <v>C554</v>
      </c>
      <c r="I561" s="214"/>
      <c r="J561" s="82" t="s">
        <v>31</v>
      </c>
      <c r="K561" s="101"/>
      <c r="L561" s="115"/>
      <c r="M561" s="115"/>
      <c r="N561" s="115"/>
      <c r="O561" s="115"/>
      <c r="P561" s="115"/>
      <c r="Q561" s="115"/>
      <c r="R561" s="115"/>
      <c r="S561" s="115"/>
      <c r="T561" s="115"/>
      <c r="U561" s="115"/>
      <c r="V561" s="115"/>
      <c r="W561" s="115"/>
      <c r="X561" s="115"/>
    </row>
    <row r="562">
      <c r="A562" s="79">
        <f t="shared" si="2"/>
        <v>561</v>
      </c>
      <c r="B562" s="80" t="str">
        <f t="shared" si="4"/>
        <v>C561</v>
      </c>
      <c r="C562" s="82" t="s">
        <v>1877</v>
      </c>
      <c r="D562" s="82" t="s">
        <v>1878</v>
      </c>
      <c r="E562" s="81" t="s">
        <v>58</v>
      </c>
      <c r="F562" s="81" t="s">
        <v>1001</v>
      </c>
      <c r="G562" s="84" t="s">
        <v>39</v>
      </c>
      <c r="H562" s="219" t="str">
        <f t="shared" si="34"/>
        <v>C554</v>
      </c>
      <c r="I562" s="214"/>
      <c r="J562" s="82" t="s">
        <v>31</v>
      </c>
      <c r="K562" s="101"/>
      <c r="L562" s="115"/>
      <c r="M562" s="115"/>
      <c r="N562" s="115"/>
      <c r="O562" s="115"/>
      <c r="P562" s="115"/>
      <c r="Q562" s="115"/>
      <c r="R562" s="115"/>
      <c r="S562" s="115"/>
      <c r="T562" s="115"/>
      <c r="U562" s="115"/>
      <c r="V562" s="115"/>
      <c r="W562" s="115"/>
      <c r="X562" s="115"/>
    </row>
    <row r="563">
      <c r="A563" s="79">
        <f t="shared" si="2"/>
        <v>562</v>
      </c>
      <c r="B563" s="80" t="str">
        <f t="shared" si="4"/>
        <v>C562</v>
      </c>
      <c r="C563" s="171" t="s">
        <v>1879</v>
      </c>
      <c r="D563" s="221" t="s">
        <v>1880</v>
      </c>
      <c r="E563" s="172" t="s">
        <v>58</v>
      </c>
      <c r="F563" s="222" t="s">
        <v>1001</v>
      </c>
      <c r="G563" s="223" t="s">
        <v>96</v>
      </c>
      <c r="H563" s="219" t="str">
        <f t="shared" si="34"/>
        <v>C554</v>
      </c>
      <c r="I563" s="171" t="s">
        <v>1912</v>
      </c>
      <c r="J563" s="175" t="s">
        <v>414</v>
      </c>
      <c r="K563" s="176"/>
      <c r="L563" s="180"/>
      <c r="M563" s="180"/>
      <c r="N563" s="180"/>
      <c r="O563" s="180"/>
      <c r="P563" s="180"/>
      <c r="Q563" s="180"/>
      <c r="R563" s="180"/>
      <c r="S563" s="180"/>
      <c r="T563" s="180"/>
      <c r="U563" s="180"/>
      <c r="V563" s="180"/>
      <c r="W563" s="180"/>
      <c r="X563" s="180"/>
    </row>
    <row r="564">
      <c r="A564" s="79">
        <f t="shared" si="2"/>
        <v>563</v>
      </c>
      <c r="B564" s="80" t="str">
        <f t="shared" si="4"/>
        <v>C563</v>
      </c>
      <c r="C564" s="171" t="s">
        <v>1882</v>
      </c>
      <c r="D564" s="171" t="s">
        <v>1883</v>
      </c>
      <c r="E564" s="172" t="s">
        <v>58</v>
      </c>
      <c r="F564" s="222" t="s">
        <v>1001</v>
      </c>
      <c r="G564" s="223" t="s">
        <v>96</v>
      </c>
      <c r="H564" s="219" t="str">
        <f t="shared" si="34"/>
        <v>C554</v>
      </c>
      <c r="I564" s="171" t="s">
        <v>1913</v>
      </c>
      <c r="J564" s="175" t="s">
        <v>414</v>
      </c>
      <c r="K564" s="176"/>
      <c r="L564" s="180"/>
      <c r="M564" s="180"/>
      <c r="N564" s="180"/>
      <c r="O564" s="180"/>
      <c r="P564" s="180"/>
      <c r="Q564" s="180"/>
      <c r="R564" s="180"/>
      <c r="S564" s="180"/>
      <c r="T564" s="180"/>
      <c r="U564" s="180"/>
      <c r="V564" s="180"/>
      <c r="W564" s="180"/>
      <c r="X564" s="180"/>
    </row>
    <row r="565">
      <c r="A565" s="157">
        <f t="shared" si="2"/>
        <v>564</v>
      </c>
      <c r="B565" s="143" t="str">
        <f t="shared" si="4"/>
        <v>C564</v>
      </c>
      <c r="C565" s="200" t="s">
        <v>1914</v>
      </c>
      <c r="D565" s="200" t="s">
        <v>1915</v>
      </c>
      <c r="E565" s="214" t="s">
        <v>30</v>
      </c>
      <c r="F565" s="215" t="s">
        <v>35</v>
      </c>
      <c r="G565" s="220" t="s">
        <v>96</v>
      </c>
      <c r="H565" s="217" t="str">
        <f t="shared" si="34"/>
        <v>C554</v>
      </c>
      <c r="I565" s="214"/>
      <c r="J565" s="82" t="s">
        <v>31</v>
      </c>
      <c r="K565" s="101"/>
      <c r="L565" s="115"/>
      <c r="M565" s="115"/>
      <c r="N565" s="115"/>
      <c r="O565" s="115"/>
      <c r="P565" s="115"/>
      <c r="Q565" s="115"/>
      <c r="R565" s="115"/>
      <c r="S565" s="115"/>
      <c r="T565" s="115"/>
      <c r="U565" s="115"/>
      <c r="V565" s="115"/>
      <c r="W565" s="115"/>
      <c r="X565" s="115"/>
    </row>
    <row r="566">
      <c r="A566" s="157">
        <f t="shared" si="2"/>
        <v>565</v>
      </c>
      <c r="B566" s="143" t="str">
        <f t="shared" si="4"/>
        <v>C565</v>
      </c>
      <c r="C566" s="200" t="s">
        <v>1916</v>
      </c>
      <c r="D566" s="200" t="s">
        <v>1917</v>
      </c>
      <c r="E566" s="214" t="s">
        <v>30</v>
      </c>
      <c r="F566" s="215" t="s">
        <v>35</v>
      </c>
      <c r="G566" s="220" t="s">
        <v>1918</v>
      </c>
      <c r="H566" s="217" t="str">
        <f>B$565</f>
        <v>C564</v>
      </c>
      <c r="I566" s="214"/>
      <c r="J566" s="82" t="s">
        <v>31</v>
      </c>
      <c r="K566" s="101"/>
      <c r="L566" s="115"/>
      <c r="M566" s="115"/>
      <c r="N566" s="115"/>
      <c r="O566" s="115"/>
      <c r="P566" s="115"/>
      <c r="Q566" s="115"/>
      <c r="R566" s="115"/>
      <c r="S566" s="115"/>
      <c r="T566" s="115"/>
      <c r="U566" s="115"/>
      <c r="V566" s="115"/>
      <c r="W566" s="115"/>
      <c r="X566" s="115"/>
    </row>
    <row r="567">
      <c r="A567" s="79">
        <f t="shared" si="2"/>
        <v>566</v>
      </c>
      <c r="B567" s="80" t="str">
        <f t="shared" si="4"/>
        <v>C566</v>
      </c>
      <c r="C567" s="151" t="s">
        <v>1919</v>
      </c>
      <c r="D567" s="151" t="s">
        <v>1920</v>
      </c>
      <c r="E567" s="178" t="s">
        <v>58</v>
      </c>
      <c r="F567" s="198" t="s">
        <v>333</v>
      </c>
      <c r="G567" s="218" t="s">
        <v>39</v>
      </c>
      <c r="H567" s="219" t="str">
        <f t="shared" ref="H567:H569" si="35">B$566</f>
        <v>C565</v>
      </c>
      <c r="I567" s="151" t="s">
        <v>1921</v>
      </c>
      <c r="J567" s="82" t="s">
        <v>31</v>
      </c>
      <c r="K567" s="101"/>
      <c r="L567" s="115"/>
      <c r="M567" s="115"/>
      <c r="N567" s="115"/>
      <c r="O567" s="115"/>
      <c r="P567" s="115"/>
      <c r="Q567" s="115"/>
      <c r="R567" s="115"/>
      <c r="S567" s="115"/>
      <c r="T567" s="115"/>
      <c r="U567" s="115"/>
      <c r="V567" s="115"/>
      <c r="W567" s="115"/>
      <c r="X567" s="115"/>
    </row>
    <row r="568">
      <c r="A568" s="79">
        <f t="shared" si="2"/>
        <v>567</v>
      </c>
      <c r="B568" s="80" t="str">
        <f t="shared" si="4"/>
        <v>C567</v>
      </c>
      <c r="C568" s="151" t="s">
        <v>1922</v>
      </c>
      <c r="D568" s="151" t="s">
        <v>1923</v>
      </c>
      <c r="E568" s="178" t="s">
        <v>58</v>
      </c>
      <c r="F568" s="198" t="s">
        <v>1571</v>
      </c>
      <c r="G568" s="218" t="s">
        <v>96</v>
      </c>
      <c r="H568" s="219" t="str">
        <f t="shared" si="35"/>
        <v>C565</v>
      </c>
      <c r="I568" s="151" t="s">
        <v>1924</v>
      </c>
      <c r="J568" s="82" t="s">
        <v>31</v>
      </c>
      <c r="K568" s="101"/>
      <c r="L568" s="115"/>
      <c r="M568" s="115"/>
      <c r="N568" s="115"/>
      <c r="O568" s="115"/>
      <c r="P568" s="115"/>
      <c r="Q568" s="115"/>
      <c r="R568" s="115"/>
      <c r="S568" s="115"/>
      <c r="T568" s="115"/>
      <c r="U568" s="115"/>
      <c r="V568" s="115"/>
      <c r="W568" s="115"/>
      <c r="X568" s="115"/>
    </row>
    <row r="569">
      <c r="A569" s="79">
        <f t="shared" si="2"/>
        <v>568</v>
      </c>
      <c r="B569" s="80" t="str">
        <f t="shared" si="4"/>
        <v>C568</v>
      </c>
      <c r="C569" s="82" t="s">
        <v>1925</v>
      </c>
      <c r="D569" s="82" t="s">
        <v>1926</v>
      </c>
      <c r="E569" s="81" t="s">
        <v>58</v>
      </c>
      <c r="F569" s="81" t="s">
        <v>1246</v>
      </c>
      <c r="G569" s="84" t="s">
        <v>96</v>
      </c>
      <c r="H569" s="219" t="str">
        <f t="shared" si="35"/>
        <v>C565</v>
      </c>
      <c r="I569" s="82" t="s">
        <v>1927</v>
      </c>
      <c r="J569" s="82" t="s">
        <v>31</v>
      </c>
      <c r="K569" s="87"/>
      <c r="L569" s="86"/>
      <c r="M569" s="86"/>
      <c r="N569" s="86"/>
      <c r="O569" s="86"/>
      <c r="P569" s="86"/>
      <c r="Q569" s="86"/>
      <c r="R569" s="86"/>
      <c r="S569" s="86"/>
      <c r="T569" s="86"/>
      <c r="U569" s="86"/>
      <c r="V569" s="86"/>
      <c r="W569" s="86"/>
      <c r="X569" s="86"/>
    </row>
    <row r="570">
      <c r="A570" s="157">
        <f t="shared" si="2"/>
        <v>569</v>
      </c>
      <c r="B570" s="143" t="str">
        <f t="shared" si="4"/>
        <v>C569</v>
      </c>
      <c r="C570" s="88" t="s">
        <v>1928</v>
      </c>
      <c r="D570" s="88" t="s">
        <v>1929</v>
      </c>
      <c r="E570" s="158" t="s">
        <v>1930</v>
      </c>
      <c r="F570" s="193" t="s">
        <v>35</v>
      </c>
      <c r="G570" s="194" t="s">
        <v>96</v>
      </c>
      <c r="H570" s="158" t="s">
        <v>188</v>
      </c>
      <c r="I570" s="88" t="s">
        <v>35</v>
      </c>
      <c r="J570" s="145" t="s">
        <v>414</v>
      </c>
      <c r="K570" s="101"/>
      <c r="L570" s="115"/>
      <c r="M570" s="115"/>
      <c r="N570" s="115"/>
      <c r="O570" s="115"/>
      <c r="P570" s="115"/>
      <c r="Q570" s="115"/>
      <c r="R570" s="115"/>
      <c r="S570" s="115"/>
      <c r="T570" s="115"/>
      <c r="U570" s="115"/>
      <c r="V570" s="115"/>
      <c r="W570" s="115"/>
      <c r="X570" s="115"/>
    </row>
    <row r="571">
      <c r="A571" s="157">
        <f t="shared" si="2"/>
        <v>570</v>
      </c>
      <c r="B571" s="143" t="str">
        <f t="shared" si="4"/>
        <v>C570</v>
      </c>
      <c r="C571" s="88" t="s">
        <v>24</v>
      </c>
      <c r="D571" s="200"/>
      <c r="E571" s="158" t="s">
        <v>1931</v>
      </c>
      <c r="F571" s="193" t="s">
        <v>35</v>
      </c>
      <c r="G571" s="194" t="s">
        <v>1918</v>
      </c>
      <c r="H571" s="194" t="str">
        <f>B570</f>
        <v>C569</v>
      </c>
      <c r="I571" s="101" t="s">
        <v>715</v>
      </c>
      <c r="J571" s="145" t="s">
        <v>414</v>
      </c>
      <c r="K571" s="87"/>
      <c r="L571" s="86"/>
      <c r="M571" s="86"/>
      <c r="N571" s="86"/>
      <c r="O571" s="86"/>
      <c r="P571" s="86"/>
      <c r="Q571" s="86"/>
      <c r="R571" s="86"/>
      <c r="S571" s="86"/>
      <c r="T571" s="86"/>
      <c r="U571" s="86"/>
      <c r="V571" s="86"/>
      <c r="W571" s="86"/>
      <c r="X571" s="86"/>
    </row>
    <row r="572">
      <c r="A572" s="157">
        <f t="shared" si="2"/>
        <v>571</v>
      </c>
      <c r="B572" s="143" t="str">
        <f t="shared" si="4"/>
        <v>C571</v>
      </c>
      <c r="C572" s="82" t="s">
        <v>1932</v>
      </c>
      <c r="D572" s="82" t="s">
        <v>1933</v>
      </c>
      <c r="E572" s="81" t="s">
        <v>58</v>
      </c>
      <c r="F572" s="84" t="s">
        <v>1934</v>
      </c>
      <c r="G572" s="224" t="s">
        <v>39</v>
      </c>
      <c r="H572" s="202" t="str">
        <f t="shared" ref="H572:H578" si="36">B$571</f>
        <v>C570</v>
      </c>
      <c r="I572" s="82" t="s">
        <v>1935</v>
      </c>
      <c r="J572" s="82" t="s">
        <v>31</v>
      </c>
      <c r="K572" s="82"/>
      <c r="L572" s="225"/>
      <c r="M572" s="86"/>
      <c r="N572" s="86"/>
      <c r="O572" s="86"/>
      <c r="P572" s="86"/>
      <c r="Q572" s="86"/>
      <c r="R572" s="86"/>
      <c r="S572" s="86"/>
      <c r="T572" s="86"/>
      <c r="U572" s="86"/>
      <c r="V572" s="86"/>
      <c r="W572" s="86"/>
      <c r="X572" s="86"/>
    </row>
    <row r="573">
      <c r="A573" s="157">
        <f t="shared" si="2"/>
        <v>572</v>
      </c>
      <c r="B573" s="143" t="str">
        <f t="shared" si="4"/>
        <v>C572</v>
      </c>
      <c r="C573" s="82" t="s">
        <v>1936</v>
      </c>
      <c r="D573" s="82" t="s">
        <v>1937</v>
      </c>
      <c r="E573" s="81" t="s">
        <v>58</v>
      </c>
      <c r="F573" s="84" t="s">
        <v>1571</v>
      </c>
      <c r="G573" s="224" t="s">
        <v>96</v>
      </c>
      <c r="H573" s="202" t="str">
        <f t="shared" si="36"/>
        <v>C570</v>
      </c>
      <c r="I573" s="82" t="s">
        <v>1938</v>
      </c>
      <c r="J573" s="82" t="s">
        <v>31</v>
      </c>
      <c r="K573" s="87"/>
      <c r="L573" s="86"/>
      <c r="M573" s="86"/>
      <c r="N573" s="86"/>
      <c r="O573" s="86"/>
      <c r="P573" s="86"/>
      <c r="Q573" s="86"/>
      <c r="R573" s="86"/>
      <c r="S573" s="86"/>
      <c r="T573" s="86"/>
      <c r="U573" s="86"/>
      <c r="V573" s="86"/>
      <c r="W573" s="86"/>
      <c r="X573" s="86"/>
    </row>
    <row r="574">
      <c r="A574" s="157">
        <f t="shared" si="2"/>
        <v>573</v>
      </c>
      <c r="B574" s="143" t="str">
        <f t="shared" si="4"/>
        <v>C573</v>
      </c>
      <c r="C574" s="150" t="s">
        <v>1939</v>
      </c>
      <c r="D574" s="177" t="s">
        <v>1940</v>
      </c>
      <c r="E574" s="81" t="s">
        <v>58</v>
      </c>
      <c r="F574" s="84" t="s">
        <v>740</v>
      </c>
      <c r="G574" s="224" t="s">
        <v>39</v>
      </c>
      <c r="H574" s="202" t="str">
        <f t="shared" si="36"/>
        <v>C570</v>
      </c>
      <c r="I574" s="150" t="s">
        <v>1941</v>
      </c>
      <c r="J574" s="82" t="s">
        <v>31</v>
      </c>
      <c r="K574" s="87"/>
      <c r="L574" s="226"/>
      <c r="M574" s="226"/>
      <c r="N574" s="226"/>
      <c r="O574" s="226"/>
      <c r="P574" s="226"/>
      <c r="Q574" s="226"/>
      <c r="R574" s="226"/>
      <c r="S574" s="226"/>
      <c r="T574" s="226"/>
      <c r="U574" s="226"/>
      <c r="V574" s="226"/>
      <c r="W574" s="226"/>
      <c r="X574" s="226"/>
    </row>
    <row r="575">
      <c r="A575" s="157">
        <f t="shared" si="2"/>
        <v>574</v>
      </c>
      <c r="B575" s="143" t="str">
        <f t="shared" si="4"/>
        <v>C574</v>
      </c>
      <c r="C575" s="150" t="s">
        <v>1942</v>
      </c>
      <c r="D575" s="177" t="s">
        <v>1943</v>
      </c>
      <c r="E575" s="81" t="s">
        <v>58</v>
      </c>
      <c r="F575" s="84" t="s">
        <v>740</v>
      </c>
      <c r="G575" s="224" t="s">
        <v>39</v>
      </c>
      <c r="H575" s="202" t="str">
        <f t="shared" si="36"/>
        <v>C570</v>
      </c>
      <c r="I575" s="150" t="s">
        <v>1944</v>
      </c>
      <c r="J575" s="82" t="s">
        <v>31</v>
      </c>
      <c r="K575" s="87"/>
      <c r="L575" s="226"/>
      <c r="M575" s="226"/>
      <c r="N575" s="226"/>
      <c r="O575" s="226"/>
      <c r="P575" s="226"/>
      <c r="Q575" s="226"/>
      <c r="R575" s="226"/>
      <c r="S575" s="226"/>
      <c r="T575" s="226"/>
      <c r="U575" s="226"/>
      <c r="V575" s="226"/>
      <c r="W575" s="226"/>
      <c r="X575" s="226"/>
    </row>
    <row r="576">
      <c r="A576" s="157">
        <f t="shared" si="2"/>
        <v>575</v>
      </c>
      <c r="B576" s="143" t="str">
        <f t="shared" si="4"/>
        <v>C575</v>
      </c>
      <c r="C576" s="82" t="s">
        <v>1945</v>
      </c>
      <c r="D576" s="82" t="s">
        <v>1946</v>
      </c>
      <c r="E576" s="81" t="s">
        <v>1947</v>
      </c>
      <c r="F576" s="227" t="s">
        <v>927</v>
      </c>
      <c r="G576" s="84" t="s">
        <v>39</v>
      </c>
      <c r="H576" s="202" t="str">
        <f t="shared" si="36"/>
        <v>C570</v>
      </c>
      <c r="I576" s="88" t="s">
        <v>418</v>
      </c>
      <c r="J576" s="89" t="s">
        <v>414</v>
      </c>
      <c r="K576" s="87"/>
      <c r="L576" s="86"/>
      <c r="M576" s="86"/>
      <c r="N576" s="86"/>
      <c r="O576" s="86"/>
      <c r="P576" s="86"/>
      <c r="Q576" s="86"/>
      <c r="R576" s="86"/>
      <c r="S576" s="86"/>
      <c r="T576" s="86"/>
      <c r="U576" s="86"/>
      <c r="V576" s="86"/>
      <c r="W576" s="86"/>
      <c r="X576" s="86"/>
    </row>
    <row r="577">
      <c r="A577" s="157">
        <f t="shared" si="2"/>
        <v>576</v>
      </c>
      <c r="B577" s="143" t="str">
        <f t="shared" si="4"/>
        <v>C576</v>
      </c>
      <c r="C577" s="82" t="s">
        <v>1948</v>
      </c>
      <c r="D577" s="82" t="s">
        <v>1949</v>
      </c>
      <c r="E577" s="81" t="s">
        <v>1950</v>
      </c>
      <c r="F577" s="227" t="s">
        <v>927</v>
      </c>
      <c r="G577" s="84" t="s">
        <v>39</v>
      </c>
      <c r="H577" s="202" t="str">
        <f t="shared" si="36"/>
        <v>C570</v>
      </c>
      <c r="I577" s="88" t="s">
        <v>418</v>
      </c>
      <c r="J577" s="89" t="s">
        <v>414</v>
      </c>
      <c r="K577" s="87"/>
      <c r="L577" s="86"/>
      <c r="M577" s="86"/>
      <c r="N577" s="86"/>
      <c r="O577" s="86"/>
      <c r="P577" s="86"/>
      <c r="Q577" s="86"/>
      <c r="R577" s="86"/>
      <c r="S577" s="86"/>
      <c r="T577" s="86"/>
      <c r="U577" s="86"/>
      <c r="V577" s="86"/>
      <c r="W577" s="86"/>
      <c r="X577" s="86"/>
    </row>
    <row r="578">
      <c r="A578" s="157">
        <f t="shared" si="2"/>
        <v>577</v>
      </c>
      <c r="B578" s="143" t="str">
        <f t="shared" si="4"/>
        <v>C577</v>
      </c>
      <c r="C578" s="158" t="s">
        <v>1951</v>
      </c>
      <c r="D578" s="228" t="s">
        <v>1952</v>
      </c>
      <c r="E578" s="158" t="s">
        <v>1953</v>
      </c>
      <c r="F578" s="193" t="s">
        <v>35</v>
      </c>
      <c r="G578" s="229" t="s">
        <v>39</v>
      </c>
      <c r="H578" s="149" t="str">
        <f t="shared" si="36"/>
        <v>C570</v>
      </c>
      <c r="I578" s="88"/>
      <c r="J578" s="145" t="s">
        <v>414</v>
      </c>
      <c r="K578" s="87"/>
      <c r="L578" s="86"/>
      <c r="M578" s="86"/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</row>
    <row r="579">
      <c r="A579" s="79">
        <f t="shared" si="2"/>
        <v>578</v>
      </c>
      <c r="B579" s="80" t="str">
        <f t="shared" si="4"/>
        <v>C578</v>
      </c>
      <c r="C579" s="82" t="s">
        <v>1954</v>
      </c>
      <c r="D579" s="151" t="s">
        <v>1955</v>
      </c>
      <c r="E579" s="177" t="s">
        <v>1956</v>
      </c>
      <c r="F579" s="153" t="s">
        <v>409</v>
      </c>
      <c r="G579" s="199" t="s">
        <v>39</v>
      </c>
      <c r="H579" s="202" t="str">
        <f t="shared" ref="H579:H581" si="37">B$578</f>
        <v>C577</v>
      </c>
      <c r="I579" s="88" t="s">
        <v>1957</v>
      </c>
      <c r="J579" s="89" t="s">
        <v>414</v>
      </c>
      <c r="K579" s="87"/>
      <c r="L579" s="86"/>
      <c r="M579" s="86"/>
      <c r="N579" s="86"/>
      <c r="O579" s="86"/>
      <c r="P579" s="86"/>
      <c r="Q579" s="86"/>
      <c r="R579" s="86"/>
      <c r="S579" s="86"/>
      <c r="T579" s="86"/>
      <c r="U579" s="86"/>
      <c r="V579" s="86"/>
      <c r="W579" s="86"/>
      <c r="X579" s="86"/>
    </row>
    <row r="580">
      <c r="A580" s="79">
        <f t="shared" si="2"/>
        <v>579</v>
      </c>
      <c r="B580" s="80" t="str">
        <f t="shared" si="4"/>
        <v>C579</v>
      </c>
      <c r="C580" s="82" t="s">
        <v>1958</v>
      </c>
      <c r="D580" s="178" t="s">
        <v>1959</v>
      </c>
      <c r="E580" s="177" t="s">
        <v>1960</v>
      </c>
      <c r="F580" s="177" t="s">
        <v>727</v>
      </c>
      <c r="G580" s="84" t="s">
        <v>39</v>
      </c>
      <c r="H580" s="202" t="str">
        <f t="shared" si="37"/>
        <v>C577</v>
      </c>
      <c r="I580" s="88" t="s">
        <v>418</v>
      </c>
      <c r="J580" s="89" t="s">
        <v>414</v>
      </c>
      <c r="K580" s="87"/>
      <c r="L580" s="86"/>
      <c r="M580" s="86"/>
      <c r="N580" s="86"/>
      <c r="O580" s="86"/>
      <c r="P580" s="86"/>
      <c r="Q580" s="86"/>
      <c r="R580" s="86"/>
      <c r="S580" s="86"/>
      <c r="T580" s="86"/>
      <c r="U580" s="86"/>
      <c r="V580" s="86"/>
      <c r="W580" s="86"/>
      <c r="X580" s="86"/>
    </row>
    <row r="581">
      <c r="A581" s="79">
        <f t="shared" si="2"/>
        <v>580</v>
      </c>
      <c r="B581" s="80" t="str">
        <f t="shared" si="4"/>
        <v>C580</v>
      </c>
      <c r="C581" s="82" t="s">
        <v>1961</v>
      </c>
      <c r="D581" s="230" t="s">
        <v>1962</v>
      </c>
      <c r="E581" s="177" t="s">
        <v>1963</v>
      </c>
      <c r="F581" s="231" t="s">
        <v>154</v>
      </c>
      <c r="G581" s="231" t="s">
        <v>96</v>
      </c>
      <c r="H581" s="202" t="str">
        <f t="shared" si="37"/>
        <v>C577</v>
      </c>
      <c r="I581" s="196" t="s">
        <v>1964</v>
      </c>
      <c r="J581" s="89" t="s">
        <v>414</v>
      </c>
      <c r="K581" s="87"/>
      <c r="L581" s="86"/>
      <c r="M581" s="86"/>
      <c r="N581" s="86"/>
      <c r="O581" s="86"/>
      <c r="P581" s="86"/>
      <c r="Q581" s="86"/>
      <c r="R581" s="86"/>
      <c r="S581" s="86"/>
      <c r="T581" s="86"/>
      <c r="U581" s="86"/>
      <c r="V581" s="86"/>
      <c r="W581" s="86"/>
      <c r="X581" s="86"/>
    </row>
    <row r="582">
      <c r="A582" s="157">
        <f t="shared" si="2"/>
        <v>581</v>
      </c>
      <c r="B582" s="143" t="str">
        <f t="shared" si="4"/>
        <v>C581</v>
      </c>
      <c r="C582" s="158" t="s">
        <v>1965</v>
      </c>
      <c r="D582" s="200" t="s">
        <v>1966</v>
      </c>
      <c r="E582" s="232" t="s">
        <v>1953</v>
      </c>
      <c r="F582" s="193" t="s">
        <v>35</v>
      </c>
      <c r="G582" s="233" t="s">
        <v>39</v>
      </c>
      <c r="H582" s="149" t="str">
        <f>B$571</f>
        <v>C570</v>
      </c>
      <c r="I582" s="82"/>
      <c r="J582" s="145" t="s">
        <v>414</v>
      </c>
      <c r="K582" s="87"/>
      <c r="L582" s="86"/>
      <c r="M582" s="86"/>
      <c r="N582" s="86"/>
      <c r="O582" s="86"/>
      <c r="P582" s="86"/>
      <c r="Q582" s="86"/>
      <c r="R582" s="86"/>
      <c r="S582" s="86"/>
      <c r="T582" s="86"/>
      <c r="U582" s="86"/>
      <c r="V582" s="86"/>
      <c r="W582" s="86"/>
      <c r="X582" s="86"/>
    </row>
    <row r="583">
      <c r="A583" s="79">
        <f t="shared" si="2"/>
        <v>582</v>
      </c>
      <c r="B583" s="80" t="str">
        <f t="shared" si="4"/>
        <v>C582</v>
      </c>
      <c r="C583" s="82" t="s">
        <v>1967</v>
      </c>
      <c r="D583" s="151" t="s">
        <v>1968</v>
      </c>
      <c r="E583" s="177" t="s">
        <v>1969</v>
      </c>
      <c r="F583" s="177" t="s">
        <v>1970</v>
      </c>
      <c r="G583" s="84" t="s">
        <v>96</v>
      </c>
      <c r="H583" s="202" t="str">
        <f t="shared" ref="H583:H585" si="38">B$582</f>
        <v>C581</v>
      </c>
      <c r="I583" s="88" t="s">
        <v>1971</v>
      </c>
      <c r="J583" s="89" t="s">
        <v>414</v>
      </c>
      <c r="K583" s="87"/>
      <c r="L583" s="86"/>
      <c r="M583" s="86"/>
      <c r="N583" s="86"/>
      <c r="O583" s="86"/>
      <c r="P583" s="86"/>
      <c r="Q583" s="86"/>
      <c r="R583" s="86"/>
      <c r="S583" s="86"/>
      <c r="T583" s="86"/>
      <c r="U583" s="86"/>
      <c r="V583" s="86"/>
      <c r="W583" s="86"/>
      <c r="X583" s="86"/>
    </row>
    <row r="584">
      <c r="A584" s="79">
        <f t="shared" si="2"/>
        <v>583</v>
      </c>
      <c r="B584" s="80" t="str">
        <f t="shared" si="4"/>
        <v>C583</v>
      </c>
      <c r="C584" s="82" t="s">
        <v>75</v>
      </c>
      <c r="D584" s="82" t="s">
        <v>1972</v>
      </c>
      <c r="E584" s="81" t="s">
        <v>1973</v>
      </c>
      <c r="F584" s="81" t="s">
        <v>1970</v>
      </c>
      <c r="G584" s="84" t="s">
        <v>39</v>
      </c>
      <c r="H584" s="202" t="str">
        <f t="shared" si="38"/>
        <v>C581</v>
      </c>
      <c r="I584" s="88" t="s">
        <v>418</v>
      </c>
      <c r="J584" s="89" t="s">
        <v>414</v>
      </c>
      <c r="K584" s="87"/>
      <c r="L584" s="86"/>
      <c r="M584" s="86"/>
      <c r="N584" s="86"/>
      <c r="O584" s="86"/>
      <c r="P584" s="86"/>
      <c r="Q584" s="86"/>
      <c r="R584" s="86"/>
      <c r="S584" s="86"/>
      <c r="T584" s="86"/>
      <c r="U584" s="86"/>
      <c r="V584" s="86"/>
      <c r="W584" s="86"/>
      <c r="X584" s="86"/>
    </row>
    <row r="585">
      <c r="A585" s="79">
        <f t="shared" si="2"/>
        <v>584</v>
      </c>
      <c r="B585" s="80" t="str">
        <f t="shared" si="4"/>
        <v>C584</v>
      </c>
      <c r="C585" s="82" t="s">
        <v>1974</v>
      </c>
      <c r="D585" s="82" t="s">
        <v>1975</v>
      </c>
      <c r="E585" s="81" t="s">
        <v>1976</v>
      </c>
      <c r="F585" s="81" t="s">
        <v>1970</v>
      </c>
      <c r="G585" s="84" t="s">
        <v>39</v>
      </c>
      <c r="H585" s="202" t="str">
        <f t="shared" si="38"/>
        <v>C581</v>
      </c>
      <c r="I585" s="88" t="s">
        <v>418</v>
      </c>
      <c r="J585" s="89" t="s">
        <v>414</v>
      </c>
      <c r="K585" s="87"/>
      <c r="L585" s="86"/>
      <c r="M585" s="86"/>
      <c r="N585" s="86"/>
      <c r="O585" s="86"/>
      <c r="P585" s="86"/>
      <c r="Q585" s="86"/>
      <c r="R585" s="86"/>
      <c r="S585" s="86"/>
      <c r="T585" s="86"/>
      <c r="U585" s="86"/>
      <c r="V585" s="86"/>
      <c r="W585" s="86"/>
      <c r="X585" s="86"/>
    </row>
    <row r="586">
      <c r="A586" s="157">
        <f t="shared" si="2"/>
        <v>585</v>
      </c>
      <c r="B586" s="143" t="str">
        <f t="shared" si="4"/>
        <v>C585</v>
      </c>
      <c r="C586" s="88" t="s">
        <v>1977</v>
      </c>
      <c r="D586" s="228" t="s">
        <v>1978</v>
      </c>
      <c r="E586" s="158" t="s">
        <v>30</v>
      </c>
      <c r="F586" s="193" t="s">
        <v>35</v>
      </c>
      <c r="G586" s="234" t="s">
        <v>96</v>
      </c>
      <c r="H586" s="149" t="str">
        <f>B$571</f>
        <v>C570</v>
      </c>
      <c r="I586" s="88"/>
      <c r="J586" s="145" t="s">
        <v>414</v>
      </c>
      <c r="K586" s="87"/>
      <c r="L586" s="86"/>
      <c r="M586" s="86"/>
      <c r="N586" s="86"/>
      <c r="O586" s="86"/>
      <c r="P586" s="86"/>
      <c r="Q586" s="86"/>
      <c r="R586" s="86"/>
      <c r="S586" s="86"/>
      <c r="T586" s="86"/>
      <c r="U586" s="86"/>
      <c r="V586" s="86"/>
      <c r="W586" s="86"/>
      <c r="X586" s="86"/>
    </row>
    <row r="587">
      <c r="A587" s="79">
        <f t="shared" si="2"/>
        <v>586</v>
      </c>
      <c r="B587" s="80" t="str">
        <f t="shared" si="4"/>
        <v>C586</v>
      </c>
      <c r="C587" s="82" t="s">
        <v>1979</v>
      </c>
      <c r="D587" s="82" t="s">
        <v>1980</v>
      </c>
      <c r="E587" s="81" t="s">
        <v>1981</v>
      </c>
      <c r="F587" s="227" t="s">
        <v>815</v>
      </c>
      <c r="G587" s="84" t="s">
        <v>39</v>
      </c>
      <c r="H587" s="202" t="str">
        <f t="shared" ref="H587:H597" si="39">B$586</f>
        <v>C585</v>
      </c>
      <c r="I587" s="88" t="s">
        <v>418</v>
      </c>
      <c r="J587" s="89" t="s">
        <v>414</v>
      </c>
      <c r="K587" s="87"/>
      <c r="L587" s="86"/>
      <c r="M587" s="86"/>
      <c r="N587" s="86"/>
      <c r="O587" s="86"/>
      <c r="P587" s="86"/>
      <c r="Q587" s="86"/>
      <c r="R587" s="86"/>
      <c r="S587" s="86"/>
      <c r="T587" s="86"/>
      <c r="U587" s="86"/>
      <c r="V587" s="86"/>
      <c r="W587" s="86"/>
      <c r="X587" s="86"/>
    </row>
    <row r="588">
      <c r="A588" s="79">
        <f t="shared" si="2"/>
        <v>587</v>
      </c>
      <c r="B588" s="80" t="str">
        <f t="shared" si="4"/>
        <v>C587</v>
      </c>
      <c r="C588" s="82" t="s">
        <v>1982</v>
      </c>
      <c r="D588" s="82" t="s">
        <v>1983</v>
      </c>
      <c r="E588" s="81" t="s">
        <v>1984</v>
      </c>
      <c r="F588" s="227" t="s">
        <v>1985</v>
      </c>
      <c r="G588" s="84" t="s">
        <v>39</v>
      </c>
      <c r="H588" s="202" t="str">
        <f t="shared" si="39"/>
        <v>C585</v>
      </c>
      <c r="I588" s="88" t="s">
        <v>418</v>
      </c>
      <c r="J588" s="89" t="s">
        <v>414</v>
      </c>
      <c r="K588" s="87"/>
      <c r="L588" s="86"/>
      <c r="M588" s="86"/>
      <c r="N588" s="86"/>
      <c r="O588" s="86"/>
      <c r="P588" s="86"/>
      <c r="Q588" s="86"/>
      <c r="R588" s="86"/>
      <c r="S588" s="86"/>
      <c r="T588" s="86"/>
      <c r="U588" s="86"/>
      <c r="V588" s="86"/>
      <c r="W588" s="86"/>
      <c r="X588" s="86"/>
    </row>
    <row r="589">
      <c r="A589" s="79">
        <f t="shared" si="2"/>
        <v>588</v>
      </c>
      <c r="B589" s="80" t="str">
        <f t="shared" si="4"/>
        <v>C588</v>
      </c>
      <c r="C589" s="82" t="s">
        <v>1986</v>
      </c>
      <c r="D589" s="82" t="s">
        <v>1987</v>
      </c>
      <c r="E589" s="81" t="s">
        <v>1988</v>
      </c>
      <c r="F589" s="227" t="s">
        <v>1970</v>
      </c>
      <c r="G589" s="84" t="s">
        <v>39</v>
      </c>
      <c r="H589" s="202" t="str">
        <f t="shared" si="39"/>
        <v>C585</v>
      </c>
      <c r="I589" s="88" t="s">
        <v>418</v>
      </c>
      <c r="J589" s="89" t="s">
        <v>414</v>
      </c>
      <c r="K589" s="87"/>
      <c r="L589" s="86"/>
      <c r="M589" s="86"/>
      <c r="N589" s="86"/>
      <c r="O589" s="86"/>
      <c r="P589" s="86"/>
      <c r="Q589" s="86"/>
      <c r="R589" s="86"/>
      <c r="S589" s="86"/>
      <c r="T589" s="86"/>
      <c r="U589" s="86"/>
      <c r="V589" s="86"/>
      <c r="W589" s="86"/>
      <c r="X589" s="86"/>
    </row>
    <row r="590">
      <c r="A590" s="79">
        <f t="shared" si="2"/>
        <v>589</v>
      </c>
      <c r="B590" s="80" t="str">
        <f t="shared" si="4"/>
        <v>C589</v>
      </c>
      <c r="C590" s="82" t="s">
        <v>1989</v>
      </c>
      <c r="D590" s="82" t="s">
        <v>1508</v>
      </c>
      <c r="E590" s="81" t="s">
        <v>1990</v>
      </c>
      <c r="F590" s="227" t="s">
        <v>169</v>
      </c>
      <c r="G590" s="227" t="s">
        <v>96</v>
      </c>
      <c r="H590" s="202" t="str">
        <f t="shared" si="39"/>
        <v>C585</v>
      </c>
      <c r="I590" s="88" t="s">
        <v>1991</v>
      </c>
      <c r="J590" s="89" t="s">
        <v>414</v>
      </c>
      <c r="K590" s="87"/>
      <c r="L590" s="86"/>
      <c r="M590" s="86"/>
      <c r="N590" s="86"/>
      <c r="O590" s="86"/>
      <c r="P590" s="86"/>
      <c r="Q590" s="86"/>
      <c r="R590" s="86"/>
      <c r="S590" s="86"/>
      <c r="T590" s="86"/>
      <c r="U590" s="86"/>
      <c r="V590" s="86"/>
      <c r="W590" s="86"/>
      <c r="X590" s="86"/>
    </row>
    <row r="591">
      <c r="A591" s="79">
        <f t="shared" si="2"/>
        <v>590</v>
      </c>
      <c r="B591" s="80" t="str">
        <f t="shared" si="4"/>
        <v>C590</v>
      </c>
      <c r="C591" s="82" t="s">
        <v>1992</v>
      </c>
      <c r="D591" s="82" t="s">
        <v>1993</v>
      </c>
      <c r="E591" s="81" t="s">
        <v>1994</v>
      </c>
      <c r="F591" s="81" t="s">
        <v>1995</v>
      </c>
      <c r="G591" s="235">
        <v>45658.0</v>
      </c>
      <c r="H591" s="202" t="str">
        <f t="shared" si="39"/>
        <v>C585</v>
      </c>
      <c r="I591" s="88" t="s">
        <v>418</v>
      </c>
      <c r="J591" s="89" t="s">
        <v>414</v>
      </c>
      <c r="K591" s="87"/>
      <c r="L591" s="86"/>
      <c r="M591" s="86"/>
      <c r="N591" s="86"/>
      <c r="O591" s="86"/>
      <c r="P591" s="86"/>
      <c r="Q591" s="86"/>
      <c r="R591" s="86"/>
      <c r="S591" s="86"/>
      <c r="T591" s="86"/>
      <c r="U591" s="86"/>
      <c r="V591" s="86"/>
      <c r="W591" s="86"/>
      <c r="X591" s="86"/>
    </row>
    <row r="592">
      <c r="A592" s="79">
        <f t="shared" si="2"/>
        <v>591</v>
      </c>
      <c r="B592" s="80" t="str">
        <f t="shared" si="4"/>
        <v>C591</v>
      </c>
      <c r="C592" s="82" t="s">
        <v>1996</v>
      </c>
      <c r="D592" s="82" t="s">
        <v>1997</v>
      </c>
      <c r="E592" s="81" t="s">
        <v>1998</v>
      </c>
      <c r="F592" s="81" t="s">
        <v>559</v>
      </c>
      <c r="G592" s="236" t="s">
        <v>39</v>
      </c>
      <c r="H592" s="202" t="str">
        <f t="shared" si="39"/>
        <v>C585</v>
      </c>
      <c r="I592" s="88" t="s">
        <v>418</v>
      </c>
      <c r="J592" s="82" t="s">
        <v>31</v>
      </c>
      <c r="K592" s="87"/>
      <c r="L592" s="86"/>
      <c r="M592" s="86"/>
      <c r="N592" s="86"/>
      <c r="O592" s="86"/>
      <c r="P592" s="86"/>
      <c r="Q592" s="86"/>
      <c r="R592" s="86"/>
      <c r="S592" s="86"/>
      <c r="T592" s="86"/>
      <c r="U592" s="86"/>
      <c r="V592" s="86"/>
      <c r="W592" s="86"/>
      <c r="X592" s="86"/>
    </row>
    <row r="593">
      <c r="A593" s="79">
        <f t="shared" si="2"/>
        <v>592</v>
      </c>
      <c r="B593" s="80" t="str">
        <f t="shared" si="4"/>
        <v>C592</v>
      </c>
      <c r="C593" s="82" t="s">
        <v>1967</v>
      </c>
      <c r="D593" s="82" t="s">
        <v>1999</v>
      </c>
      <c r="E593" s="81" t="s">
        <v>2000</v>
      </c>
      <c r="F593" s="81" t="s">
        <v>1674</v>
      </c>
      <c r="G593" s="236" t="s">
        <v>96</v>
      </c>
      <c r="H593" s="202" t="str">
        <f t="shared" si="39"/>
        <v>C585</v>
      </c>
      <c r="I593" s="88" t="s">
        <v>418</v>
      </c>
      <c r="J593" s="82" t="s">
        <v>31</v>
      </c>
      <c r="K593" s="87"/>
      <c r="L593" s="86"/>
      <c r="M593" s="86"/>
      <c r="N593" s="86"/>
      <c r="O593" s="86"/>
      <c r="P593" s="86"/>
      <c r="Q593" s="86"/>
      <c r="R593" s="86"/>
      <c r="S593" s="86"/>
      <c r="T593" s="86"/>
      <c r="U593" s="86"/>
      <c r="V593" s="86"/>
      <c r="W593" s="86"/>
      <c r="X593" s="86"/>
    </row>
    <row r="594">
      <c r="A594" s="79">
        <f t="shared" si="2"/>
        <v>593</v>
      </c>
      <c r="B594" s="80" t="str">
        <f t="shared" si="4"/>
        <v>C593</v>
      </c>
      <c r="C594" s="82" t="s">
        <v>2001</v>
      </c>
      <c r="D594" s="82" t="s">
        <v>2002</v>
      </c>
      <c r="E594" s="81" t="s">
        <v>2003</v>
      </c>
      <c r="F594" s="81" t="s">
        <v>1001</v>
      </c>
      <c r="G594" s="236" t="s">
        <v>96</v>
      </c>
      <c r="H594" s="202" t="str">
        <f t="shared" si="39"/>
        <v>C585</v>
      </c>
      <c r="I594" s="88" t="s">
        <v>418</v>
      </c>
      <c r="J594" s="82" t="s">
        <v>31</v>
      </c>
      <c r="K594" s="87"/>
      <c r="L594" s="86"/>
      <c r="M594" s="86"/>
      <c r="N594" s="86"/>
      <c r="O594" s="86"/>
      <c r="P594" s="86"/>
      <c r="Q594" s="86"/>
      <c r="R594" s="86"/>
      <c r="S594" s="86"/>
      <c r="T594" s="86"/>
      <c r="U594" s="86"/>
      <c r="V594" s="86"/>
      <c r="W594" s="86"/>
      <c r="X594" s="86"/>
    </row>
    <row r="595">
      <c r="A595" s="79">
        <f t="shared" si="2"/>
        <v>594</v>
      </c>
      <c r="B595" s="80" t="str">
        <f t="shared" si="4"/>
        <v>C594</v>
      </c>
      <c r="C595" s="82" t="s">
        <v>2004</v>
      </c>
      <c r="D595" s="82" t="s">
        <v>2005</v>
      </c>
      <c r="E595" s="81" t="s">
        <v>2006</v>
      </c>
      <c r="F595" s="81" t="s">
        <v>1397</v>
      </c>
      <c r="G595" s="236" t="s">
        <v>39</v>
      </c>
      <c r="H595" s="202" t="str">
        <f t="shared" si="39"/>
        <v>C585</v>
      </c>
      <c r="I595" s="88" t="s">
        <v>418</v>
      </c>
      <c r="J595" s="82" t="s">
        <v>31</v>
      </c>
      <c r="K595" s="87"/>
      <c r="L595" s="86"/>
      <c r="M595" s="86"/>
      <c r="N595" s="86"/>
      <c r="O595" s="86"/>
      <c r="P595" s="86"/>
      <c r="Q595" s="86"/>
      <c r="R595" s="86"/>
      <c r="S595" s="86"/>
      <c r="T595" s="86"/>
      <c r="U595" s="86"/>
      <c r="V595" s="86"/>
      <c r="W595" s="86"/>
      <c r="X595" s="86"/>
    </row>
    <row r="596">
      <c r="A596" s="79">
        <f t="shared" si="2"/>
        <v>595</v>
      </c>
      <c r="B596" s="80" t="str">
        <f t="shared" si="4"/>
        <v>C595</v>
      </c>
      <c r="C596" s="82" t="s">
        <v>2007</v>
      </c>
      <c r="D596" s="82" t="s">
        <v>2008</v>
      </c>
      <c r="E596" s="81" t="s">
        <v>2009</v>
      </c>
      <c r="F596" s="81" t="s">
        <v>1001</v>
      </c>
      <c r="G596" s="236" t="s">
        <v>96</v>
      </c>
      <c r="H596" s="202" t="str">
        <f t="shared" si="39"/>
        <v>C585</v>
      </c>
      <c r="I596" s="88" t="s">
        <v>418</v>
      </c>
      <c r="J596" s="82" t="s">
        <v>31</v>
      </c>
      <c r="K596" s="87"/>
      <c r="L596" s="86"/>
      <c r="M596" s="86"/>
      <c r="N596" s="86"/>
      <c r="O596" s="86"/>
      <c r="P596" s="86"/>
      <c r="Q596" s="86"/>
      <c r="R596" s="86"/>
      <c r="S596" s="86"/>
      <c r="T596" s="86"/>
      <c r="U596" s="86"/>
      <c r="V596" s="86"/>
      <c r="W596" s="86"/>
      <c r="X596" s="86"/>
    </row>
    <row r="597">
      <c r="A597" s="79">
        <f t="shared" si="2"/>
        <v>596</v>
      </c>
      <c r="B597" s="80" t="str">
        <f t="shared" si="4"/>
        <v>C596</v>
      </c>
      <c r="C597" s="82" t="s">
        <v>2010</v>
      </c>
      <c r="D597" s="82" t="s">
        <v>2011</v>
      </c>
      <c r="E597" s="81" t="s">
        <v>2012</v>
      </c>
      <c r="F597" s="81" t="s">
        <v>1596</v>
      </c>
      <c r="G597" s="236" t="s">
        <v>96</v>
      </c>
      <c r="H597" s="202" t="str">
        <f t="shared" si="39"/>
        <v>C585</v>
      </c>
      <c r="I597" s="88" t="s">
        <v>418</v>
      </c>
      <c r="J597" s="82" t="s">
        <v>31</v>
      </c>
      <c r="K597" s="87"/>
      <c r="L597" s="86"/>
      <c r="M597" s="86"/>
      <c r="N597" s="86"/>
      <c r="O597" s="86"/>
      <c r="P597" s="86"/>
      <c r="Q597" s="86"/>
      <c r="R597" s="86"/>
      <c r="S597" s="86"/>
      <c r="T597" s="86"/>
      <c r="U597" s="86"/>
      <c r="V597" s="86"/>
      <c r="W597" s="86"/>
      <c r="X597" s="86"/>
    </row>
    <row r="598">
      <c r="A598" s="79">
        <f t="shared" si="2"/>
        <v>597</v>
      </c>
      <c r="B598" s="80" t="str">
        <f t="shared" si="4"/>
        <v>C597</v>
      </c>
      <c r="C598" s="82" t="s">
        <v>2013</v>
      </c>
      <c r="D598" s="151" t="s">
        <v>2014</v>
      </c>
      <c r="E598" s="81" t="s">
        <v>2015</v>
      </c>
      <c r="F598" s="227" t="s">
        <v>304</v>
      </c>
      <c r="G598" s="84" t="s">
        <v>96</v>
      </c>
      <c r="H598" s="202" t="str">
        <f t="shared" ref="H598:H600" si="40">B$571</f>
        <v>C570</v>
      </c>
      <c r="I598" s="204" t="s">
        <v>2016</v>
      </c>
      <c r="J598" s="89" t="s">
        <v>414</v>
      </c>
      <c r="K598" s="87"/>
      <c r="L598" s="86"/>
      <c r="M598" s="86"/>
      <c r="N598" s="86"/>
      <c r="O598" s="86"/>
      <c r="P598" s="86"/>
      <c r="Q598" s="86"/>
      <c r="R598" s="86"/>
      <c r="S598" s="86"/>
      <c r="T598" s="86"/>
      <c r="U598" s="86"/>
      <c r="V598" s="86"/>
      <c r="W598" s="86"/>
      <c r="X598" s="86"/>
    </row>
    <row r="599">
      <c r="A599" s="79">
        <f t="shared" si="2"/>
        <v>598</v>
      </c>
      <c r="B599" s="80" t="str">
        <f t="shared" si="4"/>
        <v>C598</v>
      </c>
      <c r="C599" s="82" t="s">
        <v>2017</v>
      </c>
      <c r="D599" s="151" t="s">
        <v>2018</v>
      </c>
      <c r="E599" s="81" t="s">
        <v>2019</v>
      </c>
      <c r="F599" s="227" t="s">
        <v>2020</v>
      </c>
      <c r="G599" s="84" t="s">
        <v>96</v>
      </c>
      <c r="H599" s="202" t="str">
        <f t="shared" si="40"/>
        <v>C570</v>
      </c>
      <c r="I599" s="78" t="s">
        <v>2021</v>
      </c>
      <c r="J599" s="89" t="s">
        <v>414</v>
      </c>
      <c r="K599" s="87"/>
      <c r="L599" s="86"/>
      <c r="M599" s="86"/>
      <c r="N599" s="86"/>
      <c r="O599" s="86"/>
      <c r="P599" s="86"/>
      <c r="Q599" s="86"/>
      <c r="R599" s="86"/>
      <c r="S599" s="86"/>
      <c r="T599" s="86"/>
      <c r="U599" s="86"/>
      <c r="V599" s="86"/>
      <c r="W599" s="86"/>
      <c r="X599" s="86"/>
    </row>
    <row r="600">
      <c r="A600" s="79">
        <f t="shared" si="2"/>
        <v>599</v>
      </c>
      <c r="B600" s="80" t="str">
        <f t="shared" si="4"/>
        <v>C599</v>
      </c>
      <c r="C600" s="82" t="s">
        <v>2022</v>
      </c>
      <c r="D600" s="151" t="s">
        <v>2023</v>
      </c>
      <c r="E600" s="81" t="s">
        <v>2024</v>
      </c>
      <c r="F600" s="83" t="s">
        <v>740</v>
      </c>
      <c r="G600" s="84" t="s">
        <v>96</v>
      </c>
      <c r="H600" s="202" t="str">
        <f t="shared" si="40"/>
        <v>C570</v>
      </c>
      <c r="I600" s="204" t="s">
        <v>2025</v>
      </c>
      <c r="J600" s="82" t="s">
        <v>414</v>
      </c>
      <c r="K600" s="87"/>
      <c r="L600" s="86"/>
      <c r="M600" s="86"/>
      <c r="N600" s="86"/>
      <c r="O600" s="86"/>
      <c r="P600" s="86"/>
      <c r="Q600" s="86"/>
      <c r="R600" s="86"/>
      <c r="S600" s="86"/>
      <c r="T600" s="86"/>
      <c r="U600" s="86"/>
      <c r="V600" s="86"/>
      <c r="W600" s="86"/>
      <c r="X600" s="86"/>
    </row>
    <row r="601">
      <c r="A601" s="157">
        <f t="shared" si="2"/>
        <v>600</v>
      </c>
      <c r="B601" s="143" t="str">
        <f t="shared" si="4"/>
        <v>C600</v>
      </c>
      <c r="C601" s="88" t="s">
        <v>2026</v>
      </c>
      <c r="D601" s="88" t="s">
        <v>2027</v>
      </c>
      <c r="E601" s="158" t="s">
        <v>2028</v>
      </c>
      <c r="F601" s="193" t="s">
        <v>35</v>
      </c>
      <c r="G601" s="194" t="s">
        <v>96</v>
      </c>
      <c r="H601" s="149" t="str">
        <f>B$9</f>
        <v>C08</v>
      </c>
      <c r="I601" s="88" t="s">
        <v>35</v>
      </c>
      <c r="J601" s="88" t="s">
        <v>414</v>
      </c>
      <c r="K601" s="101"/>
      <c r="L601" s="115"/>
      <c r="M601" s="115"/>
      <c r="N601" s="115"/>
      <c r="O601" s="115"/>
      <c r="P601" s="115"/>
      <c r="Q601" s="115"/>
      <c r="R601" s="115"/>
      <c r="S601" s="115"/>
      <c r="T601" s="115"/>
      <c r="U601" s="115"/>
      <c r="V601" s="115"/>
      <c r="W601" s="115"/>
      <c r="X601" s="115"/>
    </row>
    <row r="602">
      <c r="A602" s="157">
        <f t="shared" si="2"/>
        <v>601</v>
      </c>
      <c r="B602" s="143" t="str">
        <f t="shared" si="4"/>
        <v>C601</v>
      </c>
      <c r="C602" s="88" t="s">
        <v>2029</v>
      </c>
      <c r="D602" s="88"/>
      <c r="E602" s="158" t="s">
        <v>30</v>
      </c>
      <c r="F602" s="237" t="s">
        <v>35</v>
      </c>
      <c r="G602" s="194" t="s">
        <v>1906</v>
      </c>
      <c r="H602" s="149" t="str">
        <f>B$601</f>
        <v>C600</v>
      </c>
      <c r="I602" s="101" t="s">
        <v>715</v>
      </c>
      <c r="J602" s="88" t="s">
        <v>414</v>
      </c>
      <c r="K602" s="101"/>
      <c r="L602" s="115"/>
      <c r="M602" s="115"/>
      <c r="N602" s="115"/>
      <c r="O602" s="115"/>
      <c r="P602" s="115"/>
      <c r="Q602" s="115"/>
      <c r="R602" s="115"/>
      <c r="S602" s="115"/>
      <c r="T602" s="115"/>
      <c r="U602" s="115"/>
      <c r="V602" s="115"/>
      <c r="W602" s="115"/>
      <c r="X602" s="115"/>
    </row>
    <row r="603">
      <c r="A603" s="157">
        <f t="shared" si="2"/>
        <v>602</v>
      </c>
      <c r="B603" s="80" t="str">
        <f t="shared" si="4"/>
        <v>C602</v>
      </c>
      <c r="C603" s="81" t="s">
        <v>2030</v>
      </c>
      <c r="D603" s="151" t="s">
        <v>2031</v>
      </c>
      <c r="E603" s="81" t="s">
        <v>2032</v>
      </c>
      <c r="F603" s="227" t="s">
        <v>549</v>
      </c>
      <c r="G603" s="84" t="s">
        <v>39</v>
      </c>
      <c r="H603" s="85" t="str">
        <f>$B602</f>
        <v>C601</v>
      </c>
      <c r="I603" s="88" t="s">
        <v>418</v>
      </c>
      <c r="J603" s="82" t="s">
        <v>414</v>
      </c>
      <c r="K603" s="87"/>
      <c r="L603" s="86"/>
      <c r="M603" s="86"/>
      <c r="N603" s="86"/>
      <c r="O603" s="86"/>
      <c r="P603" s="86"/>
      <c r="Q603" s="86"/>
      <c r="R603" s="86"/>
      <c r="S603" s="86"/>
      <c r="T603" s="86"/>
      <c r="U603" s="86"/>
      <c r="V603" s="86"/>
      <c r="W603" s="86"/>
      <c r="X603" s="86"/>
    </row>
    <row r="604">
      <c r="A604" s="157">
        <f t="shared" si="2"/>
        <v>603</v>
      </c>
      <c r="B604" s="143" t="str">
        <f t="shared" si="4"/>
        <v>C603</v>
      </c>
      <c r="C604" s="232" t="s">
        <v>2033</v>
      </c>
      <c r="D604" s="200" t="s">
        <v>2034</v>
      </c>
      <c r="E604" s="232" t="s">
        <v>30</v>
      </c>
      <c r="F604" s="238" t="s">
        <v>35</v>
      </c>
      <c r="G604" s="239" t="s">
        <v>96</v>
      </c>
      <c r="H604" s="240" t="str">
        <f>B$9</f>
        <v>C08</v>
      </c>
      <c r="I604" s="200" t="s">
        <v>418</v>
      </c>
      <c r="J604" s="241" t="s">
        <v>22</v>
      </c>
      <c r="K604" s="242"/>
      <c r="L604" s="243"/>
      <c r="M604" s="243"/>
      <c r="N604" s="243"/>
      <c r="O604" s="243"/>
      <c r="P604" s="243"/>
      <c r="Q604" s="243"/>
      <c r="R604" s="243"/>
      <c r="S604" s="243"/>
      <c r="T604" s="243"/>
      <c r="U604" s="243"/>
      <c r="V604" s="243"/>
      <c r="W604" s="243"/>
      <c r="X604" s="243"/>
    </row>
    <row r="605">
      <c r="A605" s="157">
        <f t="shared" si="2"/>
        <v>604</v>
      </c>
      <c r="B605" s="143" t="str">
        <f t="shared" si="4"/>
        <v>C604</v>
      </c>
      <c r="C605" s="232" t="s">
        <v>2035</v>
      </c>
      <c r="D605" s="215"/>
      <c r="E605" s="232" t="s">
        <v>30</v>
      </c>
      <c r="F605" s="238" t="s">
        <v>35</v>
      </c>
      <c r="G605" s="239" t="s">
        <v>1918</v>
      </c>
      <c r="H605" s="240" t="str">
        <f>B$604</f>
        <v>C603</v>
      </c>
      <c r="I605" s="200" t="s">
        <v>418</v>
      </c>
      <c r="J605" s="241" t="s">
        <v>22</v>
      </c>
      <c r="K605" s="242"/>
      <c r="L605" s="243"/>
      <c r="M605" s="243"/>
      <c r="N605" s="243"/>
      <c r="O605" s="243"/>
      <c r="P605" s="243"/>
      <c r="Q605" s="243"/>
      <c r="R605" s="243"/>
      <c r="S605" s="243"/>
      <c r="T605" s="243"/>
      <c r="U605" s="243"/>
      <c r="V605" s="243"/>
      <c r="W605" s="243"/>
      <c r="X605" s="243"/>
    </row>
    <row r="606">
      <c r="A606" s="157">
        <f t="shared" si="2"/>
        <v>605</v>
      </c>
      <c r="B606" s="80" t="str">
        <f t="shared" si="4"/>
        <v>C605</v>
      </c>
      <c r="C606" s="151" t="s">
        <v>2036</v>
      </c>
      <c r="D606" s="151" t="s">
        <v>2037</v>
      </c>
      <c r="E606" s="150" t="s">
        <v>58</v>
      </c>
      <c r="F606" s="150" t="s">
        <v>2038</v>
      </c>
      <c r="G606" s="201" t="s">
        <v>39</v>
      </c>
      <c r="H606" s="170" t="str">
        <f t="shared" ref="H606:H608" si="41">B$605</f>
        <v>C604</v>
      </c>
      <c r="I606" s="200" t="s">
        <v>418</v>
      </c>
      <c r="J606" s="241" t="s">
        <v>22</v>
      </c>
      <c r="K606" s="181"/>
      <c r="L606" s="180"/>
      <c r="M606" s="180"/>
      <c r="N606" s="180"/>
      <c r="O606" s="180"/>
      <c r="P606" s="180"/>
      <c r="Q606" s="180"/>
      <c r="R606" s="180"/>
      <c r="S606" s="180"/>
      <c r="T606" s="180"/>
      <c r="U606" s="180"/>
      <c r="V606" s="180"/>
      <c r="W606" s="180"/>
      <c r="X606" s="180"/>
    </row>
    <row r="607">
      <c r="A607" s="157">
        <f t="shared" si="2"/>
        <v>606</v>
      </c>
      <c r="B607" s="80" t="str">
        <f t="shared" si="4"/>
        <v>C606</v>
      </c>
      <c r="C607" s="151" t="s">
        <v>2039</v>
      </c>
      <c r="D607" s="151" t="s">
        <v>2040</v>
      </c>
      <c r="E607" s="152" t="s">
        <v>2041</v>
      </c>
      <c r="F607" s="150" t="s">
        <v>2042</v>
      </c>
      <c r="G607" s="199" t="s">
        <v>39</v>
      </c>
      <c r="H607" s="170" t="str">
        <f t="shared" si="41"/>
        <v>C604</v>
      </c>
      <c r="I607" s="200" t="s">
        <v>418</v>
      </c>
      <c r="J607" s="241" t="s">
        <v>22</v>
      </c>
      <c r="K607" s="181"/>
      <c r="L607" s="180"/>
      <c r="M607" s="180"/>
      <c r="N607" s="180"/>
      <c r="O607" s="180"/>
      <c r="P607" s="180"/>
      <c r="Q607" s="180"/>
      <c r="R607" s="180"/>
      <c r="S607" s="180"/>
      <c r="T607" s="180"/>
      <c r="U607" s="180"/>
      <c r="V607" s="180"/>
      <c r="W607" s="180"/>
      <c r="X607" s="180"/>
    </row>
    <row r="608">
      <c r="A608" s="157">
        <f t="shared" si="2"/>
        <v>607</v>
      </c>
      <c r="B608" s="80" t="str">
        <f t="shared" si="4"/>
        <v>C607</v>
      </c>
      <c r="C608" s="151" t="s">
        <v>2043</v>
      </c>
      <c r="D608" s="151" t="s">
        <v>2044</v>
      </c>
      <c r="E608" s="152" t="s">
        <v>2045</v>
      </c>
      <c r="F608" s="150" t="s">
        <v>2046</v>
      </c>
      <c r="G608" s="199" t="s">
        <v>39</v>
      </c>
      <c r="H608" s="170" t="str">
        <f t="shared" si="41"/>
        <v>C604</v>
      </c>
      <c r="I608" s="200" t="s">
        <v>418</v>
      </c>
      <c r="J608" s="241" t="s">
        <v>22</v>
      </c>
      <c r="K608" s="181"/>
      <c r="L608" s="180"/>
      <c r="M608" s="180"/>
      <c r="N608" s="180"/>
      <c r="O608" s="180"/>
      <c r="P608" s="180"/>
      <c r="Q608" s="180"/>
      <c r="R608" s="180"/>
      <c r="S608" s="180"/>
      <c r="T608" s="180"/>
      <c r="U608" s="180"/>
      <c r="V608" s="180"/>
      <c r="W608" s="180"/>
      <c r="X608" s="180"/>
    </row>
    <row r="609">
      <c r="A609" s="157">
        <f t="shared" si="2"/>
        <v>608</v>
      </c>
      <c r="B609" s="143" t="str">
        <f t="shared" si="4"/>
        <v>C608</v>
      </c>
      <c r="C609" s="232" t="s">
        <v>2047</v>
      </c>
      <c r="D609" s="200" t="s">
        <v>2048</v>
      </c>
      <c r="E609" s="232" t="s">
        <v>30</v>
      </c>
      <c r="F609" s="238" t="s">
        <v>35</v>
      </c>
      <c r="G609" s="239" t="s">
        <v>96</v>
      </c>
      <c r="H609" s="240" t="str">
        <f>B$9</f>
        <v>C08</v>
      </c>
      <c r="I609" s="200" t="s">
        <v>418</v>
      </c>
      <c r="J609" s="241" t="s">
        <v>22</v>
      </c>
      <c r="K609" s="242"/>
      <c r="L609" s="243"/>
      <c r="M609" s="243"/>
      <c r="N609" s="243"/>
      <c r="O609" s="243"/>
      <c r="P609" s="243"/>
      <c r="Q609" s="243"/>
      <c r="R609" s="243"/>
      <c r="S609" s="243"/>
      <c r="T609" s="243"/>
      <c r="U609" s="243"/>
      <c r="V609" s="243"/>
      <c r="W609" s="243"/>
      <c r="X609" s="243"/>
    </row>
    <row r="610">
      <c r="A610" s="157">
        <f t="shared" si="2"/>
        <v>609</v>
      </c>
      <c r="B610" s="143" t="str">
        <f t="shared" si="4"/>
        <v>C609</v>
      </c>
      <c r="C610" s="232" t="s">
        <v>2049</v>
      </c>
      <c r="D610" s="215"/>
      <c r="E610" s="232" t="s">
        <v>30</v>
      </c>
      <c r="F610" s="238" t="s">
        <v>35</v>
      </c>
      <c r="G610" s="239" t="s">
        <v>1918</v>
      </c>
      <c r="H610" s="240" t="str">
        <f>B609</f>
        <v>C608</v>
      </c>
      <c r="I610" s="200" t="s">
        <v>418</v>
      </c>
      <c r="J610" s="241" t="s">
        <v>22</v>
      </c>
      <c r="K610" s="242"/>
      <c r="L610" s="243"/>
      <c r="M610" s="243"/>
      <c r="N610" s="243"/>
      <c r="O610" s="243"/>
      <c r="P610" s="243"/>
      <c r="Q610" s="243"/>
      <c r="R610" s="243"/>
      <c r="S610" s="243"/>
      <c r="T610" s="243"/>
      <c r="U610" s="243"/>
      <c r="V610" s="243"/>
      <c r="W610" s="243"/>
      <c r="X610" s="243"/>
    </row>
    <row r="611">
      <c r="A611" s="157">
        <f t="shared" si="2"/>
        <v>610</v>
      </c>
      <c r="B611" s="80" t="str">
        <f t="shared" si="4"/>
        <v>C610</v>
      </c>
      <c r="C611" s="150" t="s">
        <v>2050</v>
      </c>
      <c r="D611" s="151" t="s">
        <v>2051</v>
      </c>
      <c r="E611" s="150" t="s">
        <v>58</v>
      </c>
      <c r="F611" s="150" t="s">
        <v>907</v>
      </c>
      <c r="G611" s="201" t="s">
        <v>39</v>
      </c>
      <c r="H611" s="170" t="str">
        <f t="shared" ref="H611:H613" si="42">B$610</f>
        <v>C609</v>
      </c>
      <c r="I611" s="151" t="s">
        <v>2052</v>
      </c>
      <c r="J611" s="197" t="s">
        <v>22</v>
      </c>
      <c r="K611" s="181"/>
      <c r="L611" s="180"/>
      <c r="M611" s="180"/>
      <c r="N611" s="180"/>
      <c r="O611" s="180"/>
      <c r="P611" s="86"/>
      <c r="Q611" s="86"/>
      <c r="R611" s="86"/>
      <c r="S611" s="86"/>
      <c r="T611" s="86"/>
      <c r="U611" s="86"/>
      <c r="V611" s="86"/>
      <c r="W611" s="86"/>
      <c r="X611" s="86"/>
    </row>
    <row r="612">
      <c r="A612" s="157">
        <f t="shared" si="2"/>
        <v>611</v>
      </c>
      <c r="B612" s="80" t="str">
        <f t="shared" si="4"/>
        <v>C611</v>
      </c>
      <c r="C612" s="150" t="s">
        <v>2053</v>
      </c>
      <c r="D612" s="151" t="s">
        <v>2054</v>
      </c>
      <c r="E612" s="152" t="s">
        <v>2055</v>
      </c>
      <c r="F612" s="150" t="s">
        <v>1571</v>
      </c>
      <c r="G612" s="201" t="s">
        <v>96</v>
      </c>
      <c r="H612" s="170" t="str">
        <f t="shared" si="42"/>
        <v>C609</v>
      </c>
      <c r="I612" s="151" t="s">
        <v>2056</v>
      </c>
      <c r="J612" s="197" t="s">
        <v>22</v>
      </c>
      <c r="K612" s="181"/>
      <c r="L612" s="180"/>
      <c r="M612" s="180"/>
      <c r="N612" s="180"/>
      <c r="O612" s="180"/>
      <c r="P612" s="86"/>
      <c r="Q612" s="86"/>
      <c r="R612" s="86"/>
      <c r="S612" s="86"/>
      <c r="T612" s="86"/>
      <c r="U612" s="86"/>
      <c r="V612" s="86"/>
      <c r="W612" s="86"/>
      <c r="X612" s="86"/>
    </row>
    <row r="613">
      <c r="A613" s="157">
        <f t="shared" si="2"/>
        <v>612</v>
      </c>
      <c r="B613" s="80" t="str">
        <f t="shared" si="4"/>
        <v>C612</v>
      </c>
      <c r="C613" s="150" t="s">
        <v>2057</v>
      </c>
      <c r="D613" s="151" t="s">
        <v>2058</v>
      </c>
      <c r="E613" s="152" t="s">
        <v>2059</v>
      </c>
      <c r="F613" s="150" t="s">
        <v>740</v>
      </c>
      <c r="G613" s="199" t="s">
        <v>39</v>
      </c>
      <c r="H613" s="170" t="str">
        <f t="shared" si="42"/>
        <v>C609</v>
      </c>
      <c r="I613" s="151" t="s">
        <v>2060</v>
      </c>
      <c r="J613" s="197" t="s">
        <v>22</v>
      </c>
      <c r="K613" s="181"/>
      <c r="L613" s="180"/>
      <c r="M613" s="180"/>
      <c r="N613" s="180"/>
      <c r="O613" s="180"/>
      <c r="P613" s="86"/>
      <c r="Q613" s="86"/>
      <c r="R613" s="86"/>
      <c r="S613" s="86"/>
      <c r="T613" s="86"/>
      <c r="U613" s="86"/>
      <c r="V613" s="86"/>
      <c r="W613" s="86"/>
      <c r="X613" s="86"/>
    </row>
    <row r="614">
      <c r="A614" s="157">
        <f t="shared" si="2"/>
        <v>613</v>
      </c>
      <c r="B614" s="143" t="str">
        <f t="shared" si="4"/>
        <v>C613</v>
      </c>
      <c r="C614" s="88" t="s">
        <v>2061</v>
      </c>
      <c r="D614" s="200" t="s">
        <v>2062</v>
      </c>
      <c r="E614" s="232" t="s">
        <v>30</v>
      </c>
      <c r="F614" s="238" t="s">
        <v>35</v>
      </c>
      <c r="G614" s="239" t="s">
        <v>96</v>
      </c>
      <c r="H614" s="240" t="str">
        <f>B$9</f>
        <v>C08</v>
      </c>
      <c r="I614" s="200" t="s">
        <v>418</v>
      </c>
      <c r="J614" s="241" t="s">
        <v>22</v>
      </c>
      <c r="K614" s="242"/>
      <c r="L614" s="243"/>
      <c r="M614" s="243"/>
      <c r="N614" s="243"/>
      <c r="O614" s="243"/>
      <c r="P614" s="115"/>
      <c r="Q614" s="115"/>
      <c r="R614" s="115"/>
      <c r="S614" s="115"/>
      <c r="T614" s="115"/>
      <c r="U614" s="115"/>
      <c r="V614" s="115"/>
      <c r="W614" s="115"/>
      <c r="X614" s="115"/>
    </row>
    <row r="615">
      <c r="A615" s="157">
        <f t="shared" si="2"/>
        <v>614</v>
      </c>
      <c r="B615" s="143" t="str">
        <f t="shared" si="4"/>
        <v>C614</v>
      </c>
      <c r="C615" s="88" t="s">
        <v>2063</v>
      </c>
      <c r="D615" s="200"/>
      <c r="E615" s="232" t="s">
        <v>30</v>
      </c>
      <c r="F615" s="238"/>
      <c r="G615" s="239" t="s">
        <v>1906</v>
      </c>
      <c r="H615" s="240" t="str">
        <f>B$614</f>
        <v>C613</v>
      </c>
      <c r="I615" s="200" t="s">
        <v>418</v>
      </c>
      <c r="J615" s="241" t="s">
        <v>22</v>
      </c>
      <c r="K615" s="242"/>
      <c r="L615" s="243"/>
      <c r="M615" s="243"/>
      <c r="N615" s="243"/>
      <c r="O615" s="243"/>
      <c r="P615" s="115"/>
      <c r="Q615" s="115"/>
      <c r="R615" s="115"/>
      <c r="S615" s="115"/>
      <c r="T615" s="115"/>
      <c r="U615" s="115"/>
      <c r="V615" s="115"/>
      <c r="W615" s="115"/>
      <c r="X615" s="115"/>
    </row>
    <row r="616">
      <c r="A616" s="157">
        <f t="shared" si="2"/>
        <v>615</v>
      </c>
      <c r="B616" s="80" t="str">
        <f t="shared" si="4"/>
        <v>C615</v>
      </c>
      <c r="C616" s="150" t="s">
        <v>2064</v>
      </c>
      <c r="D616" s="244" t="s">
        <v>2065</v>
      </c>
      <c r="E616" s="232" t="s">
        <v>58</v>
      </c>
      <c r="F616" s="150" t="s">
        <v>549</v>
      </c>
      <c r="G616" s="245" t="s">
        <v>39</v>
      </c>
      <c r="H616" s="170" t="str">
        <f>B$615</f>
        <v>C614</v>
      </c>
      <c r="I616" s="200" t="s">
        <v>418</v>
      </c>
      <c r="J616" s="197" t="s">
        <v>22</v>
      </c>
      <c r="K616" s="181"/>
      <c r="L616" s="180"/>
      <c r="M616" s="180"/>
      <c r="N616" s="180"/>
      <c r="O616" s="180"/>
      <c r="P616" s="86"/>
      <c r="Q616" s="86"/>
      <c r="R616" s="86"/>
      <c r="S616" s="86"/>
      <c r="T616" s="86"/>
      <c r="U616" s="86"/>
      <c r="V616" s="86"/>
      <c r="W616" s="86"/>
      <c r="X616" s="86"/>
    </row>
    <row r="617">
      <c r="A617" s="157">
        <f t="shared" si="2"/>
        <v>616</v>
      </c>
      <c r="B617" s="143" t="str">
        <f t="shared" si="4"/>
        <v>C616</v>
      </c>
      <c r="C617" s="200" t="s">
        <v>2066</v>
      </c>
      <c r="D617" s="200" t="s">
        <v>2067</v>
      </c>
      <c r="E617" s="215" t="s">
        <v>30</v>
      </c>
      <c r="F617" s="215" t="s">
        <v>35</v>
      </c>
      <c r="G617" s="215" t="s">
        <v>96</v>
      </c>
      <c r="H617" s="217" t="str">
        <f>B$9</f>
        <v>C08</v>
      </c>
      <c r="I617" s="200" t="s">
        <v>2068</v>
      </c>
      <c r="J617" s="200" t="s">
        <v>31</v>
      </c>
      <c r="K617" s="238"/>
      <c r="L617" s="115"/>
      <c r="M617" s="115"/>
      <c r="N617" s="115"/>
      <c r="O617" s="115"/>
      <c r="P617" s="115"/>
      <c r="Q617" s="115"/>
      <c r="R617" s="115"/>
      <c r="S617" s="115"/>
      <c r="T617" s="115"/>
      <c r="U617" s="115"/>
      <c r="V617" s="115"/>
      <c r="W617" s="115"/>
      <c r="X617" s="115"/>
    </row>
    <row r="618" ht="14.25" customHeight="1">
      <c r="A618" s="157">
        <f t="shared" si="2"/>
        <v>617</v>
      </c>
      <c r="B618" s="143" t="str">
        <f t="shared" si="4"/>
        <v>C617</v>
      </c>
      <c r="C618" s="200" t="s">
        <v>2069</v>
      </c>
      <c r="D618" s="215" t="s">
        <v>2070</v>
      </c>
      <c r="E618" s="215" t="s">
        <v>30</v>
      </c>
      <c r="F618" s="215" t="s">
        <v>35</v>
      </c>
      <c r="G618" s="215" t="s">
        <v>1906</v>
      </c>
      <c r="H618" s="217" t="str">
        <f>B$617</f>
        <v>C616</v>
      </c>
      <c r="I618" s="200" t="s">
        <v>2071</v>
      </c>
      <c r="J618" s="200" t="s">
        <v>31</v>
      </c>
      <c r="K618" s="238"/>
      <c r="L618" s="115"/>
      <c r="M618" s="115"/>
      <c r="N618" s="115"/>
      <c r="O618" s="115"/>
      <c r="P618" s="115"/>
      <c r="Q618" s="115"/>
      <c r="R618" s="115"/>
      <c r="S618" s="115"/>
      <c r="T618" s="115"/>
      <c r="U618" s="115"/>
      <c r="V618" s="115"/>
      <c r="W618" s="115"/>
      <c r="X618" s="115"/>
    </row>
    <row r="619">
      <c r="A619" s="157">
        <f t="shared" si="2"/>
        <v>618</v>
      </c>
      <c r="B619" s="80" t="str">
        <f t="shared" si="4"/>
        <v>C618</v>
      </c>
      <c r="C619" s="151" t="s">
        <v>2072</v>
      </c>
      <c r="D619" s="198" t="s">
        <v>2073</v>
      </c>
      <c r="E619" s="198" t="s">
        <v>58</v>
      </c>
      <c r="F619" s="198" t="s">
        <v>298</v>
      </c>
      <c r="G619" s="198" t="s">
        <v>39</v>
      </c>
      <c r="H619" s="219" t="str">
        <f t="shared" ref="H619:H623" si="43">B$618</f>
        <v>C617</v>
      </c>
      <c r="I619" s="151" t="s">
        <v>2074</v>
      </c>
      <c r="J619" s="151" t="s">
        <v>31</v>
      </c>
      <c r="K619" s="152"/>
      <c r="L619" s="86"/>
      <c r="M619" s="86"/>
      <c r="N619" s="86"/>
      <c r="O619" s="86"/>
      <c r="P619" s="86"/>
      <c r="Q619" s="86"/>
      <c r="R619" s="86"/>
      <c r="S619" s="86"/>
      <c r="T619" s="86"/>
      <c r="U619" s="86"/>
      <c r="V619" s="86"/>
      <c r="W619" s="86"/>
      <c r="X619" s="86"/>
    </row>
    <row r="620">
      <c r="A620" s="157">
        <f t="shared" si="2"/>
        <v>619</v>
      </c>
      <c r="B620" s="80" t="str">
        <f t="shared" si="4"/>
        <v>C619</v>
      </c>
      <c r="C620" s="151" t="s">
        <v>2075</v>
      </c>
      <c r="D620" s="198" t="s">
        <v>2076</v>
      </c>
      <c r="E620" s="198" t="s">
        <v>58</v>
      </c>
      <c r="F620" s="198" t="s">
        <v>2077</v>
      </c>
      <c r="G620" s="198" t="s">
        <v>39</v>
      </c>
      <c r="H620" s="219" t="str">
        <f t="shared" si="43"/>
        <v>C617</v>
      </c>
      <c r="I620" s="151" t="s">
        <v>2078</v>
      </c>
      <c r="J620" s="151" t="s">
        <v>31</v>
      </c>
      <c r="K620" s="152"/>
      <c r="L620" s="86"/>
      <c r="M620" s="86"/>
      <c r="N620" s="86"/>
      <c r="O620" s="86"/>
      <c r="P620" s="86"/>
      <c r="Q620" s="86"/>
      <c r="R620" s="86"/>
      <c r="S620" s="86"/>
      <c r="T620" s="86"/>
      <c r="U620" s="86"/>
      <c r="V620" s="86"/>
      <c r="W620" s="86"/>
      <c r="X620" s="86"/>
    </row>
    <row r="621">
      <c r="A621" s="157">
        <f t="shared" si="2"/>
        <v>620</v>
      </c>
      <c r="B621" s="80" t="str">
        <f t="shared" si="4"/>
        <v>C620</v>
      </c>
      <c r="C621" s="151" t="s">
        <v>2079</v>
      </c>
      <c r="D621" s="151" t="s">
        <v>2080</v>
      </c>
      <c r="E621" s="198" t="s">
        <v>58</v>
      </c>
      <c r="F621" s="198" t="s">
        <v>333</v>
      </c>
      <c r="G621" s="198" t="s">
        <v>39</v>
      </c>
      <c r="H621" s="219" t="str">
        <f t="shared" si="43"/>
        <v>C617</v>
      </c>
      <c r="I621" s="151" t="s">
        <v>2081</v>
      </c>
      <c r="J621" s="151" t="s">
        <v>31</v>
      </c>
      <c r="K621" s="152"/>
      <c r="L621" s="86"/>
      <c r="M621" s="86"/>
      <c r="N621" s="86"/>
      <c r="O621" s="86"/>
      <c r="P621" s="86"/>
      <c r="Q621" s="86"/>
      <c r="R621" s="86"/>
      <c r="S621" s="86"/>
      <c r="T621" s="86"/>
      <c r="U621" s="86"/>
      <c r="V621" s="86"/>
      <c r="W621" s="86"/>
      <c r="X621" s="86"/>
    </row>
    <row r="622">
      <c r="A622" s="157">
        <f t="shared" si="2"/>
        <v>621</v>
      </c>
      <c r="B622" s="80" t="str">
        <f t="shared" si="4"/>
        <v>C621</v>
      </c>
      <c r="C622" s="151" t="s">
        <v>2082</v>
      </c>
      <c r="D622" s="151" t="s">
        <v>2083</v>
      </c>
      <c r="E622" s="198" t="s">
        <v>58</v>
      </c>
      <c r="F622" s="198" t="s">
        <v>1436</v>
      </c>
      <c r="G622" s="198" t="s">
        <v>39</v>
      </c>
      <c r="H622" s="219" t="str">
        <f t="shared" si="43"/>
        <v>C617</v>
      </c>
      <c r="I622" s="151" t="s">
        <v>2084</v>
      </c>
      <c r="J622" s="151" t="s">
        <v>31</v>
      </c>
      <c r="K622" s="152"/>
      <c r="L622" s="86"/>
      <c r="M622" s="86"/>
      <c r="N622" s="86"/>
      <c r="O622" s="86"/>
      <c r="P622" s="86"/>
      <c r="Q622" s="86"/>
      <c r="R622" s="86"/>
      <c r="S622" s="86"/>
      <c r="T622" s="86"/>
      <c r="U622" s="86"/>
      <c r="V622" s="86"/>
      <c r="W622" s="86"/>
      <c r="X622" s="86"/>
    </row>
    <row r="623">
      <c r="A623" s="157">
        <f t="shared" si="2"/>
        <v>622</v>
      </c>
      <c r="B623" s="80" t="str">
        <f t="shared" si="4"/>
        <v>C622</v>
      </c>
      <c r="C623" s="151" t="s">
        <v>2085</v>
      </c>
      <c r="D623" s="151" t="s">
        <v>2086</v>
      </c>
      <c r="E623" s="198" t="s">
        <v>58</v>
      </c>
      <c r="F623" s="198" t="s">
        <v>1910</v>
      </c>
      <c r="G623" s="198" t="s">
        <v>39</v>
      </c>
      <c r="H623" s="219" t="str">
        <f t="shared" si="43"/>
        <v>C617</v>
      </c>
      <c r="I623" s="151" t="s">
        <v>2087</v>
      </c>
      <c r="J623" s="151" t="s">
        <v>31</v>
      </c>
      <c r="K623" s="152"/>
      <c r="L623" s="86"/>
      <c r="M623" s="86"/>
      <c r="N623" s="86"/>
      <c r="O623" s="86"/>
      <c r="P623" s="86"/>
      <c r="Q623" s="86"/>
      <c r="R623" s="86"/>
      <c r="S623" s="86"/>
      <c r="T623" s="86"/>
      <c r="U623" s="86"/>
      <c r="V623" s="86"/>
      <c r="W623" s="86"/>
      <c r="X623" s="86"/>
    </row>
    <row r="624">
      <c r="A624" s="246">
        <f t="shared" si="2"/>
        <v>623</v>
      </c>
      <c r="B624" s="247" t="str">
        <f t="shared" si="4"/>
        <v>C623</v>
      </c>
      <c r="C624" s="248" t="s">
        <v>2088</v>
      </c>
      <c r="D624" s="248" t="s">
        <v>2089</v>
      </c>
      <c r="E624" s="249" t="s">
        <v>30</v>
      </c>
      <c r="F624" s="249" t="s">
        <v>35</v>
      </c>
      <c r="G624" s="248" t="s">
        <v>96</v>
      </c>
      <c r="H624" s="250" t="str">
        <f>B$9</f>
        <v>C08</v>
      </c>
      <c r="I624" s="248" t="s">
        <v>418</v>
      </c>
      <c r="J624" s="248" t="s">
        <v>36</v>
      </c>
      <c r="K624" s="251"/>
      <c r="L624" s="252"/>
      <c r="M624" s="252"/>
      <c r="N624" s="252"/>
      <c r="O624" s="252"/>
      <c r="P624" s="252"/>
      <c r="Q624" s="252"/>
      <c r="R624" s="252"/>
      <c r="S624" s="252"/>
      <c r="T624" s="252"/>
      <c r="U624" s="252"/>
      <c r="V624" s="252"/>
      <c r="W624" s="252"/>
      <c r="X624" s="252"/>
    </row>
    <row r="625">
      <c r="A625" s="246">
        <f t="shared" si="2"/>
        <v>624</v>
      </c>
      <c r="B625" s="247" t="str">
        <f t="shared" si="4"/>
        <v>C624</v>
      </c>
      <c r="C625" s="183" t="s">
        <v>2090</v>
      </c>
      <c r="D625" s="183" t="s">
        <v>2091</v>
      </c>
      <c r="E625" s="183" t="s">
        <v>58</v>
      </c>
      <c r="F625" s="183" t="s">
        <v>927</v>
      </c>
      <c r="G625" s="253">
        <v>46023.0</v>
      </c>
      <c r="H625" s="254" t="str">
        <f t="shared" ref="H625:H626" si="44">B$624</f>
        <v>C623</v>
      </c>
      <c r="I625" s="183" t="s">
        <v>2092</v>
      </c>
      <c r="J625" s="183" t="s">
        <v>36</v>
      </c>
      <c r="K625" s="255"/>
      <c r="L625" s="140"/>
      <c r="M625" s="140"/>
      <c r="N625" s="140"/>
      <c r="O625" s="140"/>
      <c r="P625" s="140"/>
      <c r="Q625" s="140"/>
      <c r="R625" s="140"/>
      <c r="S625" s="140"/>
      <c r="T625" s="140"/>
      <c r="U625" s="140"/>
      <c r="V625" s="140"/>
      <c r="W625" s="140"/>
      <c r="X625" s="140"/>
    </row>
    <row r="626">
      <c r="A626" s="246">
        <f t="shared" si="2"/>
        <v>625</v>
      </c>
      <c r="B626" s="247" t="str">
        <f t="shared" si="4"/>
        <v>C625</v>
      </c>
      <c r="C626" s="248" t="s">
        <v>2093</v>
      </c>
      <c r="D626" s="248" t="s">
        <v>2094</v>
      </c>
      <c r="E626" s="249" t="s">
        <v>30</v>
      </c>
      <c r="F626" s="249" t="s">
        <v>35</v>
      </c>
      <c r="G626" s="256">
        <v>46023.0</v>
      </c>
      <c r="H626" s="250" t="str">
        <f t="shared" si="44"/>
        <v>C623</v>
      </c>
      <c r="I626" s="248" t="s">
        <v>418</v>
      </c>
      <c r="J626" s="248" t="s">
        <v>36</v>
      </c>
      <c r="K626" s="251"/>
      <c r="L626" s="252"/>
      <c r="M626" s="252"/>
      <c r="N626" s="252"/>
      <c r="O626" s="252"/>
      <c r="P626" s="252"/>
      <c r="Q626" s="252"/>
      <c r="R626" s="252"/>
      <c r="S626" s="252"/>
      <c r="T626" s="252"/>
      <c r="U626" s="252"/>
      <c r="V626" s="252"/>
      <c r="W626" s="252"/>
      <c r="X626" s="252"/>
    </row>
    <row r="627">
      <c r="A627" s="246">
        <f t="shared" si="2"/>
        <v>626</v>
      </c>
      <c r="B627" s="247" t="str">
        <f t="shared" si="4"/>
        <v>C626</v>
      </c>
      <c r="C627" s="248" t="s">
        <v>2095</v>
      </c>
      <c r="D627" s="248" t="s">
        <v>2096</v>
      </c>
      <c r="E627" s="249" t="s">
        <v>30</v>
      </c>
      <c r="F627" s="249" t="s">
        <v>35</v>
      </c>
      <c r="G627" s="248" t="s">
        <v>2097</v>
      </c>
      <c r="H627" s="250" t="str">
        <f>B$626</f>
        <v>C625</v>
      </c>
      <c r="I627" s="248" t="s">
        <v>418</v>
      </c>
      <c r="J627" s="248" t="s">
        <v>36</v>
      </c>
      <c r="K627" s="251"/>
      <c r="L627" s="252"/>
      <c r="M627" s="252"/>
      <c r="N627" s="252"/>
      <c r="O627" s="252"/>
      <c r="P627" s="252"/>
      <c r="Q627" s="252"/>
      <c r="R627" s="252"/>
      <c r="S627" s="252"/>
      <c r="T627" s="252"/>
      <c r="U627" s="252"/>
      <c r="V627" s="252"/>
      <c r="W627" s="252"/>
      <c r="X627" s="252"/>
    </row>
    <row r="628">
      <c r="A628" s="246">
        <f t="shared" si="2"/>
        <v>627</v>
      </c>
      <c r="B628" s="247" t="str">
        <f t="shared" si="4"/>
        <v>C627</v>
      </c>
      <c r="C628" s="183" t="s">
        <v>2098</v>
      </c>
      <c r="D628" s="183" t="s">
        <v>2099</v>
      </c>
      <c r="E628" s="183" t="s">
        <v>58</v>
      </c>
      <c r="F628" s="183" t="s">
        <v>955</v>
      </c>
      <c r="G628" s="253">
        <v>46023.0</v>
      </c>
      <c r="H628" s="254" t="str">
        <f t="shared" ref="H628:H631" si="45">B$627</f>
        <v>C626</v>
      </c>
      <c r="I628" s="183" t="s">
        <v>2100</v>
      </c>
      <c r="J628" s="183" t="s">
        <v>36</v>
      </c>
      <c r="K628" s="255"/>
      <c r="L628" s="140"/>
      <c r="M628" s="140"/>
      <c r="N628" s="140"/>
      <c r="O628" s="140"/>
      <c r="P628" s="140"/>
      <c r="Q628" s="140"/>
      <c r="R628" s="140"/>
      <c r="S628" s="140"/>
      <c r="T628" s="140"/>
      <c r="U628" s="140"/>
      <c r="V628" s="140"/>
      <c r="W628" s="140"/>
      <c r="X628" s="140"/>
    </row>
    <row r="629">
      <c r="A629" s="246">
        <f t="shared" si="2"/>
        <v>628</v>
      </c>
      <c r="B629" s="247" t="str">
        <f t="shared" si="4"/>
        <v>C628</v>
      </c>
      <c r="C629" s="183" t="s">
        <v>2101</v>
      </c>
      <c r="D629" s="183" t="s">
        <v>2102</v>
      </c>
      <c r="E629" s="183" t="s">
        <v>58</v>
      </c>
      <c r="F629" s="183" t="s">
        <v>1571</v>
      </c>
      <c r="G629" s="183" t="s">
        <v>96</v>
      </c>
      <c r="H629" s="254" t="str">
        <f t="shared" si="45"/>
        <v>C626</v>
      </c>
      <c r="I629" s="248" t="s">
        <v>418</v>
      </c>
      <c r="J629" s="183" t="s">
        <v>36</v>
      </c>
      <c r="K629" s="255"/>
      <c r="L629" s="140"/>
      <c r="M629" s="140"/>
      <c r="N629" s="140"/>
      <c r="O629" s="140"/>
      <c r="P629" s="140"/>
      <c r="Q629" s="140"/>
      <c r="R629" s="140"/>
      <c r="S629" s="140"/>
      <c r="T629" s="140"/>
      <c r="U629" s="140"/>
      <c r="V629" s="140"/>
      <c r="W629" s="140"/>
      <c r="X629" s="140"/>
    </row>
    <row r="630">
      <c r="A630" s="246">
        <f t="shared" si="2"/>
        <v>629</v>
      </c>
      <c r="B630" s="247" t="str">
        <f t="shared" si="4"/>
        <v>C629</v>
      </c>
      <c r="C630" s="183" t="s">
        <v>2103</v>
      </c>
      <c r="D630" s="183" t="s">
        <v>2104</v>
      </c>
      <c r="E630" s="183" t="s">
        <v>58</v>
      </c>
      <c r="F630" s="183" t="s">
        <v>740</v>
      </c>
      <c r="G630" s="253">
        <v>46023.0</v>
      </c>
      <c r="H630" s="254" t="str">
        <f t="shared" si="45"/>
        <v>C626</v>
      </c>
      <c r="I630" s="183" t="s">
        <v>2105</v>
      </c>
      <c r="J630" s="183" t="s">
        <v>36</v>
      </c>
      <c r="K630" s="255"/>
      <c r="L630" s="140"/>
      <c r="M630" s="140"/>
      <c r="N630" s="140"/>
      <c r="O630" s="140"/>
      <c r="P630" s="140"/>
      <c r="Q630" s="140"/>
      <c r="R630" s="140"/>
      <c r="S630" s="140"/>
      <c r="T630" s="140"/>
      <c r="U630" s="140"/>
      <c r="V630" s="140"/>
      <c r="W630" s="140"/>
      <c r="X630" s="140"/>
    </row>
    <row r="631">
      <c r="A631" s="246">
        <f t="shared" si="2"/>
        <v>630</v>
      </c>
      <c r="B631" s="247" t="str">
        <f t="shared" si="4"/>
        <v>C630</v>
      </c>
      <c r="C631" s="248" t="s">
        <v>2106</v>
      </c>
      <c r="D631" s="248" t="s">
        <v>2107</v>
      </c>
      <c r="E631" s="249" t="s">
        <v>30</v>
      </c>
      <c r="F631" s="249" t="s">
        <v>35</v>
      </c>
      <c r="G631" s="248" t="s">
        <v>96</v>
      </c>
      <c r="H631" s="250" t="str">
        <f t="shared" si="45"/>
        <v>C626</v>
      </c>
      <c r="I631" s="248" t="s">
        <v>418</v>
      </c>
      <c r="J631" s="248" t="s">
        <v>36</v>
      </c>
      <c r="K631" s="251"/>
      <c r="L631" s="252"/>
      <c r="M631" s="252"/>
      <c r="N631" s="252"/>
      <c r="O631" s="252"/>
      <c r="P631" s="252"/>
      <c r="Q631" s="252"/>
      <c r="R631" s="252"/>
      <c r="S631" s="252"/>
      <c r="T631" s="252"/>
      <c r="U631" s="252"/>
      <c r="V631" s="252"/>
      <c r="W631" s="252"/>
      <c r="X631" s="252"/>
    </row>
    <row r="632">
      <c r="A632" s="246">
        <f t="shared" si="2"/>
        <v>631</v>
      </c>
      <c r="B632" s="247" t="str">
        <f t="shared" si="4"/>
        <v>C631</v>
      </c>
      <c r="C632" s="248" t="s">
        <v>2108</v>
      </c>
      <c r="D632" s="248" t="s">
        <v>2109</v>
      </c>
      <c r="E632" s="249" t="s">
        <v>30</v>
      </c>
      <c r="F632" s="249" t="s">
        <v>35</v>
      </c>
      <c r="G632" s="248" t="s">
        <v>2097</v>
      </c>
      <c r="H632" s="250" t="str">
        <f>B$631</f>
        <v>C630</v>
      </c>
      <c r="I632" s="248" t="s">
        <v>418</v>
      </c>
      <c r="J632" s="248" t="s">
        <v>36</v>
      </c>
      <c r="K632" s="251"/>
      <c r="L632" s="252"/>
      <c r="M632" s="252"/>
      <c r="N632" s="252"/>
      <c r="O632" s="252"/>
      <c r="P632" s="252"/>
      <c r="Q632" s="252"/>
      <c r="R632" s="252"/>
      <c r="S632" s="252"/>
      <c r="T632" s="252"/>
      <c r="U632" s="252"/>
      <c r="V632" s="252"/>
      <c r="W632" s="252"/>
      <c r="X632" s="252"/>
    </row>
    <row r="633">
      <c r="A633" s="246">
        <f t="shared" si="2"/>
        <v>632</v>
      </c>
      <c r="B633" s="247" t="str">
        <f t="shared" si="4"/>
        <v>C632</v>
      </c>
      <c r="C633" s="183" t="s">
        <v>2110</v>
      </c>
      <c r="D633" s="183" t="s">
        <v>2111</v>
      </c>
      <c r="E633" s="183" t="s">
        <v>58</v>
      </c>
      <c r="F633" s="183" t="s">
        <v>1934</v>
      </c>
      <c r="G633" s="253">
        <v>46023.0</v>
      </c>
      <c r="H633" s="250" t="str">
        <f t="shared" ref="H633:H635" si="46">B$632</f>
        <v>C631</v>
      </c>
      <c r="I633" s="183" t="s">
        <v>2112</v>
      </c>
      <c r="J633" s="248" t="s">
        <v>36</v>
      </c>
      <c r="K633" s="183" t="s">
        <v>2113</v>
      </c>
      <c r="L633" s="140"/>
      <c r="M633" s="140"/>
      <c r="N633" s="140"/>
      <c r="O633" s="140"/>
      <c r="P633" s="140"/>
      <c r="Q633" s="140"/>
      <c r="R633" s="140"/>
      <c r="S633" s="140"/>
      <c r="T633" s="140"/>
      <c r="U633" s="140"/>
      <c r="V633" s="140"/>
      <c r="W633" s="140"/>
      <c r="X633" s="140"/>
    </row>
    <row r="634">
      <c r="A634" s="246">
        <f t="shared" si="2"/>
        <v>633</v>
      </c>
      <c r="B634" s="247" t="str">
        <f t="shared" si="4"/>
        <v>C633</v>
      </c>
      <c r="C634" s="183" t="s">
        <v>2114</v>
      </c>
      <c r="D634" s="183" t="s">
        <v>2115</v>
      </c>
      <c r="E634" s="183" t="s">
        <v>58</v>
      </c>
      <c r="F634" s="183" t="s">
        <v>1571</v>
      </c>
      <c r="G634" s="183" t="s">
        <v>96</v>
      </c>
      <c r="H634" s="250" t="str">
        <f t="shared" si="46"/>
        <v>C631</v>
      </c>
      <c r="I634" s="248" t="s">
        <v>2116</v>
      </c>
      <c r="J634" s="248" t="s">
        <v>36</v>
      </c>
      <c r="K634" s="255"/>
      <c r="L634" s="140"/>
      <c r="M634" s="140"/>
      <c r="N634" s="140"/>
      <c r="O634" s="140"/>
      <c r="P634" s="140"/>
      <c r="Q634" s="140"/>
      <c r="R634" s="140"/>
      <c r="S634" s="140"/>
      <c r="T634" s="140"/>
      <c r="U634" s="140"/>
      <c r="V634" s="140"/>
      <c r="W634" s="140"/>
      <c r="X634" s="140"/>
    </row>
    <row r="635">
      <c r="A635" s="246">
        <f t="shared" si="2"/>
        <v>634</v>
      </c>
      <c r="B635" s="247" t="str">
        <f t="shared" si="4"/>
        <v>C634</v>
      </c>
      <c r="C635" s="183" t="s">
        <v>2117</v>
      </c>
      <c r="D635" s="183" t="s">
        <v>2118</v>
      </c>
      <c r="E635" s="183" t="s">
        <v>58</v>
      </c>
      <c r="F635" s="183" t="s">
        <v>740</v>
      </c>
      <c r="G635" s="253">
        <v>46023.0</v>
      </c>
      <c r="H635" s="250" t="str">
        <f t="shared" si="46"/>
        <v>C631</v>
      </c>
      <c r="I635" s="248" t="s">
        <v>418</v>
      </c>
      <c r="J635" s="248" t="s">
        <v>36</v>
      </c>
      <c r="K635" s="255"/>
      <c r="L635" s="140"/>
      <c r="M635" s="140"/>
      <c r="N635" s="140"/>
      <c r="O635" s="140"/>
      <c r="P635" s="140"/>
      <c r="Q635" s="140"/>
      <c r="R635" s="140"/>
      <c r="S635" s="140"/>
      <c r="T635" s="140"/>
      <c r="U635" s="140"/>
      <c r="V635" s="140"/>
      <c r="W635" s="140"/>
      <c r="X635" s="140"/>
    </row>
    <row r="636">
      <c r="A636" s="246">
        <f t="shared" si="2"/>
        <v>635</v>
      </c>
      <c r="B636" s="247" t="str">
        <f t="shared" si="4"/>
        <v>C635</v>
      </c>
      <c r="C636" s="248" t="s">
        <v>2119</v>
      </c>
      <c r="D636" s="248" t="s">
        <v>2120</v>
      </c>
      <c r="E636" s="249" t="s">
        <v>30</v>
      </c>
      <c r="F636" s="249" t="s">
        <v>35</v>
      </c>
      <c r="G636" s="248" t="s">
        <v>96</v>
      </c>
      <c r="H636" s="250" t="str">
        <f>B$624</f>
        <v>C623</v>
      </c>
      <c r="I636" s="248" t="s">
        <v>418</v>
      </c>
      <c r="J636" s="248" t="s">
        <v>36</v>
      </c>
      <c r="K636" s="251"/>
      <c r="L636" s="252"/>
      <c r="M636" s="252"/>
      <c r="N636" s="252"/>
      <c r="O636" s="252"/>
      <c r="P636" s="252"/>
      <c r="Q636" s="252"/>
      <c r="R636" s="252"/>
      <c r="S636" s="252"/>
      <c r="T636" s="252"/>
      <c r="U636" s="252"/>
      <c r="V636" s="252"/>
      <c r="W636" s="252"/>
      <c r="X636" s="252"/>
    </row>
    <row r="637">
      <c r="A637" s="246">
        <f t="shared" si="2"/>
        <v>636</v>
      </c>
      <c r="B637" s="247" t="str">
        <f t="shared" si="4"/>
        <v>C636</v>
      </c>
      <c r="C637" s="248" t="s">
        <v>2121</v>
      </c>
      <c r="D637" s="248" t="s">
        <v>2122</v>
      </c>
      <c r="E637" s="249" t="s">
        <v>30</v>
      </c>
      <c r="F637" s="249" t="s">
        <v>35</v>
      </c>
      <c r="G637" s="256">
        <v>46296.0</v>
      </c>
      <c r="H637" s="250" t="str">
        <f>B$636</f>
        <v>C635</v>
      </c>
      <c r="I637" s="248" t="s">
        <v>418</v>
      </c>
      <c r="J637" s="248" t="s">
        <v>36</v>
      </c>
      <c r="K637" s="251"/>
      <c r="L637" s="252"/>
      <c r="M637" s="252"/>
      <c r="N637" s="252"/>
      <c r="O637" s="252"/>
      <c r="P637" s="252"/>
      <c r="Q637" s="252"/>
      <c r="R637" s="252"/>
      <c r="S637" s="252"/>
      <c r="T637" s="252"/>
      <c r="U637" s="252"/>
      <c r="V637" s="252"/>
      <c r="W637" s="252"/>
      <c r="X637" s="252"/>
    </row>
    <row r="638">
      <c r="A638" s="246">
        <f t="shared" si="2"/>
        <v>637</v>
      </c>
      <c r="B638" s="247" t="str">
        <f t="shared" si="4"/>
        <v>C637</v>
      </c>
      <c r="C638" s="183" t="s">
        <v>2123</v>
      </c>
      <c r="D638" s="183" t="s">
        <v>2124</v>
      </c>
      <c r="E638" s="183" t="s">
        <v>58</v>
      </c>
      <c r="F638" s="183" t="s">
        <v>409</v>
      </c>
      <c r="G638" s="253">
        <v>46023.0</v>
      </c>
      <c r="H638" s="250" t="str">
        <f t="shared" ref="H638:H640" si="47">B$637</f>
        <v>C636</v>
      </c>
      <c r="I638" s="183" t="s">
        <v>2125</v>
      </c>
      <c r="J638" s="248" t="s">
        <v>36</v>
      </c>
      <c r="K638" s="255"/>
      <c r="L638" s="140"/>
      <c r="M638" s="140"/>
      <c r="N638" s="140"/>
      <c r="O638" s="140"/>
      <c r="P638" s="140"/>
      <c r="Q638" s="140"/>
      <c r="R638" s="140"/>
      <c r="S638" s="140"/>
      <c r="T638" s="140"/>
      <c r="U638" s="140"/>
      <c r="V638" s="140"/>
      <c r="W638" s="140"/>
      <c r="X638" s="140"/>
    </row>
    <row r="639">
      <c r="A639" s="246">
        <f t="shared" si="2"/>
        <v>638</v>
      </c>
      <c r="B639" s="247" t="str">
        <f t="shared" si="4"/>
        <v>C638</v>
      </c>
      <c r="C639" s="183" t="s">
        <v>2126</v>
      </c>
      <c r="D639" s="183" t="s">
        <v>2127</v>
      </c>
      <c r="E639" s="183" t="s">
        <v>58</v>
      </c>
      <c r="F639" s="183" t="s">
        <v>1571</v>
      </c>
      <c r="G639" s="253">
        <v>46023.0</v>
      </c>
      <c r="H639" s="250" t="str">
        <f t="shared" si="47"/>
        <v>C636</v>
      </c>
      <c r="I639" s="248" t="s">
        <v>418</v>
      </c>
      <c r="J639" s="248" t="s">
        <v>36</v>
      </c>
      <c r="K639" s="255"/>
      <c r="L639" s="140"/>
      <c r="M639" s="140"/>
      <c r="N639" s="140"/>
      <c r="O639" s="140"/>
      <c r="P639" s="140"/>
      <c r="Q639" s="140"/>
      <c r="R639" s="140"/>
      <c r="S639" s="140"/>
      <c r="T639" s="140"/>
      <c r="U639" s="140"/>
      <c r="V639" s="140"/>
      <c r="W639" s="140"/>
      <c r="X639" s="140"/>
    </row>
    <row r="640">
      <c r="A640" s="246">
        <f t="shared" si="2"/>
        <v>639</v>
      </c>
      <c r="B640" s="247" t="str">
        <f t="shared" si="4"/>
        <v>C639</v>
      </c>
      <c r="C640" s="183" t="s">
        <v>2128</v>
      </c>
      <c r="D640" s="183" t="s">
        <v>2129</v>
      </c>
      <c r="E640" s="183" t="s">
        <v>58</v>
      </c>
      <c r="F640" s="183" t="s">
        <v>740</v>
      </c>
      <c r="G640" s="253">
        <v>46023.0</v>
      </c>
      <c r="H640" s="250" t="str">
        <f t="shared" si="47"/>
        <v>C636</v>
      </c>
      <c r="I640" s="248" t="s">
        <v>2130</v>
      </c>
      <c r="J640" s="248" t="s">
        <v>36</v>
      </c>
      <c r="K640" s="183" t="s">
        <v>2131</v>
      </c>
      <c r="L640" s="140"/>
      <c r="M640" s="140"/>
      <c r="N640" s="140"/>
      <c r="O640" s="140"/>
      <c r="P640" s="140"/>
      <c r="Q640" s="140"/>
      <c r="R640" s="140"/>
      <c r="S640" s="140"/>
      <c r="T640" s="140"/>
      <c r="U640" s="140"/>
      <c r="V640" s="140"/>
      <c r="W640" s="140"/>
      <c r="X640" s="140"/>
    </row>
    <row r="641">
      <c r="A641" s="22"/>
      <c r="B641" s="257"/>
      <c r="C641" s="258"/>
      <c r="D641" s="259"/>
      <c r="E641" s="260"/>
      <c r="F641" s="258"/>
      <c r="G641" s="258"/>
      <c r="H641" s="258"/>
      <c r="I641" s="259"/>
      <c r="J641" s="261"/>
      <c r="K641" s="26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</row>
    <row r="642">
      <c r="A642" s="22"/>
      <c r="B642" s="263"/>
      <c r="C642" s="264"/>
      <c r="D642" s="265"/>
      <c r="E642" s="266"/>
      <c r="F642" s="264"/>
      <c r="G642" s="264"/>
      <c r="H642" s="264"/>
      <c r="I642" s="265"/>
      <c r="J642" s="267"/>
      <c r="K642" s="26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</row>
    <row r="643">
      <c r="A643" s="181"/>
      <c r="B643" s="268" t="s">
        <v>2132</v>
      </c>
      <c r="C643" s="264"/>
      <c r="D643" s="265"/>
      <c r="E643" s="266"/>
      <c r="F643" s="264"/>
      <c r="G643" s="264"/>
      <c r="H643" s="264"/>
      <c r="I643" s="265"/>
      <c r="J643" s="267"/>
      <c r="K643" s="262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</row>
    <row r="644">
      <c r="A644" s="270"/>
      <c r="B644" s="271" t="s">
        <v>2133</v>
      </c>
      <c r="C644" s="264"/>
      <c r="D644" s="265"/>
      <c r="E644" s="266"/>
      <c r="F644" s="264"/>
      <c r="G644" s="264"/>
      <c r="H644" s="264"/>
      <c r="I644" s="265"/>
      <c r="J644" s="267"/>
      <c r="K644" s="262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</row>
    <row r="645">
      <c r="A645" s="272" t="s">
        <v>2134</v>
      </c>
      <c r="B645" s="273" t="s">
        <v>2135</v>
      </c>
      <c r="C645" s="264"/>
      <c r="D645" s="265"/>
      <c r="E645" s="266"/>
      <c r="F645" s="264"/>
      <c r="G645" s="264"/>
      <c r="H645" s="264"/>
      <c r="I645" s="265"/>
      <c r="J645" s="267"/>
      <c r="K645" s="262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</row>
    <row r="646">
      <c r="A646" s="274"/>
      <c r="B646" s="275"/>
      <c r="C646" s="264"/>
      <c r="D646" s="265"/>
      <c r="E646" s="266"/>
      <c r="F646" s="264"/>
      <c r="G646" s="264"/>
      <c r="H646" s="264"/>
      <c r="I646" s="265"/>
      <c r="J646" s="267"/>
      <c r="K646" s="26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</row>
    <row r="647">
      <c r="A647" s="276" t="s">
        <v>2136</v>
      </c>
      <c r="B647" s="277"/>
      <c r="C647" s="278" t="s">
        <v>2137</v>
      </c>
      <c r="D647" s="277"/>
      <c r="E647" s="266"/>
      <c r="F647" s="264"/>
      <c r="G647" s="264"/>
      <c r="H647" s="264"/>
      <c r="I647" s="265"/>
      <c r="J647" s="267"/>
      <c r="K647" s="26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</row>
    <row r="648">
      <c r="A648" s="279"/>
      <c r="B648" s="280"/>
      <c r="C648" s="279"/>
      <c r="D648" s="280"/>
      <c r="E648" s="266"/>
      <c r="F648" s="281"/>
      <c r="G648" s="281"/>
      <c r="H648" s="281"/>
      <c r="I648" s="282"/>
      <c r="J648" s="283"/>
      <c r="K648" s="26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</row>
    <row r="649">
      <c r="A649" s="279"/>
      <c r="B649" s="280"/>
      <c r="C649" s="279"/>
      <c r="D649" s="280"/>
      <c r="E649" s="284"/>
      <c r="F649" s="285"/>
      <c r="G649" s="265"/>
      <c r="H649" s="264"/>
      <c r="I649" s="265"/>
      <c r="J649" s="267"/>
      <c r="K649" s="286"/>
      <c r="L649" s="22"/>
      <c r="M649" s="22"/>
      <c r="N649" s="22"/>
      <c r="O649" s="22"/>
      <c r="P649" s="22"/>
      <c r="Q649" s="22"/>
      <c r="R649" s="22"/>
      <c r="S649" s="22"/>
      <c r="T649" s="287"/>
      <c r="U649" s="287"/>
      <c r="V649" s="287"/>
      <c r="W649" s="287"/>
      <c r="X649" s="287"/>
    </row>
    <row r="650">
      <c r="A650" s="279"/>
      <c r="B650" s="280"/>
      <c r="C650" s="279"/>
      <c r="D650" s="280"/>
      <c r="E650" s="284"/>
      <c r="F650" s="285"/>
      <c r="G650" s="265"/>
      <c r="H650" s="264"/>
      <c r="I650" s="265"/>
      <c r="J650" s="267"/>
      <c r="K650" s="286"/>
      <c r="L650" s="22"/>
      <c r="M650" s="22"/>
      <c r="N650" s="22"/>
      <c r="O650" s="22"/>
      <c r="P650" s="22"/>
      <c r="Q650" s="22"/>
      <c r="R650" s="22"/>
      <c r="S650" s="22"/>
      <c r="T650" s="287"/>
      <c r="U650" s="287"/>
      <c r="V650" s="287"/>
      <c r="W650" s="287"/>
      <c r="X650" s="287"/>
    </row>
    <row r="651">
      <c r="A651" s="279"/>
      <c r="B651" s="280"/>
      <c r="C651" s="279"/>
      <c r="D651" s="280"/>
      <c r="E651" s="284"/>
      <c r="F651" s="285"/>
      <c r="G651" s="265"/>
      <c r="H651" s="264"/>
      <c r="I651" s="265"/>
      <c r="J651" s="267"/>
      <c r="K651" s="286"/>
      <c r="L651" s="22"/>
      <c r="M651" s="22"/>
      <c r="N651" s="22"/>
      <c r="O651" s="22"/>
      <c r="P651" s="22"/>
      <c r="Q651" s="22"/>
      <c r="R651" s="22"/>
      <c r="S651" s="22"/>
      <c r="T651" s="287"/>
      <c r="U651" s="287"/>
      <c r="V651" s="287"/>
      <c r="W651" s="287"/>
      <c r="X651" s="287"/>
    </row>
    <row r="652">
      <c r="A652" s="279"/>
      <c r="B652" s="280"/>
      <c r="C652" s="279"/>
      <c r="D652" s="280"/>
      <c r="E652" s="284"/>
      <c r="F652" s="285"/>
      <c r="G652" s="265"/>
      <c r="H652" s="264"/>
      <c r="I652" s="265"/>
      <c r="J652" s="267"/>
      <c r="K652" s="286"/>
      <c r="L652" s="22"/>
      <c r="M652" s="22"/>
      <c r="N652" s="22"/>
      <c r="O652" s="22"/>
      <c r="P652" s="22"/>
      <c r="Q652" s="22"/>
      <c r="R652" s="22"/>
      <c r="S652" s="22"/>
      <c r="T652" s="287"/>
      <c r="U652" s="287"/>
      <c r="V652" s="287"/>
      <c r="W652" s="287"/>
      <c r="X652" s="287"/>
    </row>
    <row r="653">
      <c r="A653" s="279"/>
      <c r="B653" s="280"/>
      <c r="C653" s="279"/>
      <c r="D653" s="280"/>
      <c r="E653" s="284"/>
      <c r="F653" s="285"/>
      <c r="G653" s="265"/>
      <c r="H653" s="264"/>
      <c r="I653" s="265"/>
      <c r="J653" s="267"/>
      <c r="K653" s="286"/>
      <c r="L653" s="22"/>
      <c r="M653" s="22"/>
      <c r="N653" s="22"/>
      <c r="O653" s="22"/>
      <c r="P653" s="22"/>
      <c r="Q653" s="22"/>
      <c r="R653" s="22"/>
      <c r="S653" s="22"/>
      <c r="T653" s="287"/>
      <c r="U653" s="287"/>
      <c r="V653" s="287"/>
      <c r="W653" s="287"/>
      <c r="X653" s="287"/>
    </row>
    <row r="654">
      <c r="A654" s="279"/>
      <c r="B654" s="280"/>
      <c r="C654" s="279"/>
      <c r="D654" s="280"/>
      <c r="E654" s="284"/>
      <c r="F654" s="285"/>
      <c r="G654" s="265"/>
      <c r="H654" s="264"/>
      <c r="I654" s="265"/>
      <c r="J654" s="267"/>
      <c r="K654" s="286"/>
      <c r="L654" s="22"/>
      <c r="M654" s="22"/>
      <c r="N654" s="22"/>
      <c r="O654" s="22"/>
      <c r="P654" s="22"/>
      <c r="Q654" s="22"/>
      <c r="R654" s="22"/>
      <c r="S654" s="22"/>
      <c r="T654" s="287"/>
      <c r="U654" s="287"/>
      <c r="V654" s="287"/>
      <c r="W654" s="287"/>
      <c r="X654" s="287"/>
    </row>
    <row r="655">
      <c r="A655" s="279"/>
      <c r="B655" s="280"/>
      <c r="C655" s="279"/>
      <c r="D655" s="280"/>
      <c r="E655" s="284"/>
      <c r="F655" s="285"/>
      <c r="G655" s="265"/>
      <c r="H655" s="264"/>
      <c r="I655" s="265"/>
      <c r="J655" s="267"/>
      <c r="K655" s="286"/>
      <c r="L655" s="22"/>
      <c r="M655" s="22"/>
      <c r="N655" s="22"/>
      <c r="O655" s="22"/>
      <c r="P655" s="22"/>
      <c r="Q655" s="22"/>
      <c r="R655" s="22"/>
      <c r="S655" s="22"/>
      <c r="T655" s="287"/>
      <c r="U655" s="287"/>
      <c r="V655" s="287"/>
      <c r="W655" s="287"/>
      <c r="X655" s="287"/>
    </row>
    <row r="656">
      <c r="A656" s="279"/>
      <c r="B656" s="280"/>
      <c r="C656" s="279"/>
      <c r="D656" s="280"/>
      <c r="E656" s="284"/>
      <c r="F656" s="285"/>
      <c r="G656" s="265"/>
      <c r="H656" s="264"/>
      <c r="I656" s="265"/>
      <c r="J656" s="267"/>
      <c r="K656" s="286"/>
      <c r="L656" s="22"/>
      <c r="M656" s="22"/>
      <c r="N656" s="22"/>
      <c r="O656" s="22"/>
      <c r="P656" s="22"/>
      <c r="Q656" s="22"/>
      <c r="R656" s="22"/>
      <c r="S656" s="22"/>
      <c r="T656" s="287"/>
      <c r="U656" s="287"/>
      <c r="V656" s="287"/>
      <c r="W656" s="287"/>
      <c r="X656" s="287"/>
    </row>
    <row r="657">
      <c r="A657" s="279"/>
      <c r="B657" s="280"/>
      <c r="C657" s="279"/>
      <c r="D657" s="280"/>
      <c r="E657" s="284"/>
      <c r="F657" s="285"/>
      <c r="G657" s="265"/>
      <c r="H657" s="264"/>
      <c r="I657" s="265"/>
      <c r="J657" s="267"/>
      <c r="K657" s="286"/>
      <c r="L657" s="22"/>
      <c r="M657" s="22"/>
      <c r="N657" s="22"/>
      <c r="O657" s="22"/>
      <c r="P657" s="22"/>
      <c r="Q657" s="22"/>
      <c r="R657" s="22"/>
      <c r="S657" s="22"/>
      <c r="T657" s="287"/>
      <c r="U657" s="287"/>
      <c r="V657" s="287"/>
      <c r="W657" s="287"/>
      <c r="X657" s="287"/>
    </row>
    <row r="658">
      <c r="A658" s="279"/>
      <c r="B658" s="280"/>
      <c r="C658" s="279"/>
      <c r="D658" s="280"/>
      <c r="E658" s="284"/>
      <c r="F658" s="285"/>
      <c r="G658" s="265"/>
      <c r="H658" s="264"/>
      <c r="I658" s="265"/>
      <c r="J658" s="267"/>
      <c r="K658" s="286"/>
      <c r="L658" s="22"/>
      <c r="M658" s="22"/>
      <c r="N658" s="22"/>
      <c r="O658" s="22"/>
      <c r="P658" s="22"/>
      <c r="Q658" s="22"/>
      <c r="R658" s="22"/>
      <c r="S658" s="22"/>
      <c r="T658" s="287"/>
      <c r="U658" s="287"/>
      <c r="V658" s="287"/>
      <c r="W658" s="287"/>
      <c r="X658" s="287"/>
    </row>
    <row r="659">
      <c r="A659" s="279"/>
      <c r="B659" s="280"/>
      <c r="C659" s="279"/>
      <c r="D659" s="280"/>
      <c r="E659" s="284"/>
      <c r="F659" s="285"/>
      <c r="G659" s="265"/>
      <c r="H659" s="264"/>
      <c r="I659" s="265"/>
      <c r="J659" s="267"/>
      <c r="K659" s="286"/>
      <c r="L659" s="22"/>
      <c r="M659" s="22"/>
      <c r="N659" s="22"/>
      <c r="O659" s="22"/>
      <c r="P659" s="22"/>
      <c r="Q659" s="22"/>
      <c r="R659" s="22"/>
      <c r="S659" s="22"/>
      <c r="T659" s="287"/>
      <c r="U659" s="287"/>
      <c r="V659" s="287"/>
      <c r="W659" s="287"/>
      <c r="X659" s="287"/>
    </row>
    <row r="660">
      <c r="A660" s="279"/>
      <c r="B660" s="280"/>
      <c r="C660" s="279"/>
      <c r="D660" s="280"/>
      <c r="E660" s="284"/>
      <c r="F660" s="285"/>
      <c r="G660" s="265"/>
      <c r="H660" s="264"/>
      <c r="I660" s="265"/>
      <c r="J660" s="267"/>
      <c r="K660" s="286"/>
      <c r="L660" s="22"/>
      <c r="M660" s="22"/>
      <c r="N660" s="22"/>
      <c r="O660" s="22"/>
      <c r="P660" s="22"/>
      <c r="Q660" s="22"/>
      <c r="R660" s="22"/>
      <c r="S660" s="22"/>
      <c r="T660" s="287"/>
      <c r="U660" s="287"/>
      <c r="V660" s="287"/>
      <c r="W660" s="287"/>
      <c r="X660" s="287"/>
    </row>
    <row r="661">
      <c r="A661" s="279"/>
      <c r="B661" s="280"/>
      <c r="C661" s="279"/>
      <c r="D661" s="280"/>
      <c r="E661" s="284"/>
      <c r="F661" s="285"/>
      <c r="G661" s="265"/>
      <c r="H661" s="264"/>
      <c r="I661" s="265"/>
      <c r="J661" s="267"/>
      <c r="K661" s="286"/>
      <c r="L661" s="22"/>
      <c r="M661" s="22"/>
      <c r="N661" s="22"/>
      <c r="O661" s="22"/>
      <c r="P661" s="22"/>
      <c r="Q661" s="22"/>
      <c r="R661" s="22"/>
      <c r="S661" s="22"/>
      <c r="T661" s="287"/>
      <c r="U661" s="287"/>
      <c r="V661" s="287"/>
      <c r="W661" s="287"/>
      <c r="X661" s="287"/>
    </row>
    <row r="662">
      <c r="A662" s="279"/>
      <c r="B662" s="280"/>
      <c r="C662" s="279"/>
      <c r="D662" s="280"/>
      <c r="E662" s="284"/>
      <c r="F662" s="285"/>
      <c r="G662" s="265"/>
      <c r="H662" s="264"/>
      <c r="I662" s="265"/>
      <c r="J662" s="267"/>
      <c r="K662" s="286"/>
      <c r="L662" s="22"/>
      <c r="M662" s="22"/>
      <c r="N662" s="22"/>
      <c r="O662" s="22"/>
      <c r="P662" s="22"/>
      <c r="Q662" s="22"/>
      <c r="R662" s="22"/>
      <c r="S662" s="22"/>
      <c r="T662" s="287"/>
      <c r="U662" s="287"/>
      <c r="V662" s="287"/>
      <c r="W662" s="287"/>
      <c r="X662" s="287"/>
    </row>
    <row r="663">
      <c r="A663" s="279"/>
      <c r="B663" s="280"/>
      <c r="C663" s="279"/>
      <c r="D663" s="280"/>
      <c r="E663" s="284"/>
      <c r="F663" s="285"/>
      <c r="G663" s="265"/>
      <c r="H663" s="264"/>
      <c r="I663" s="265"/>
      <c r="J663" s="267"/>
      <c r="K663" s="286"/>
      <c r="L663" s="22"/>
      <c r="M663" s="22"/>
      <c r="N663" s="22"/>
      <c r="O663" s="22"/>
      <c r="P663" s="22"/>
      <c r="Q663" s="22"/>
      <c r="R663" s="22"/>
      <c r="S663" s="22"/>
      <c r="T663" s="287"/>
      <c r="U663" s="287"/>
      <c r="V663" s="287"/>
      <c r="W663" s="287"/>
      <c r="X663" s="287"/>
    </row>
    <row r="664">
      <c r="A664" s="279"/>
      <c r="B664" s="280"/>
      <c r="C664" s="279"/>
      <c r="D664" s="280"/>
      <c r="E664" s="284"/>
      <c r="F664" s="285"/>
      <c r="G664" s="265"/>
      <c r="H664" s="264"/>
      <c r="I664" s="265"/>
      <c r="J664" s="267"/>
      <c r="K664" s="286"/>
      <c r="L664" s="22"/>
      <c r="M664" s="22"/>
      <c r="N664" s="22"/>
      <c r="O664" s="22"/>
      <c r="P664" s="22"/>
      <c r="Q664" s="22"/>
      <c r="R664" s="22"/>
      <c r="S664" s="22"/>
      <c r="T664" s="287"/>
      <c r="U664" s="287"/>
      <c r="V664" s="287"/>
      <c r="W664" s="287"/>
      <c r="X664" s="287"/>
    </row>
    <row r="665">
      <c r="A665" s="279"/>
      <c r="B665" s="280"/>
      <c r="C665" s="279"/>
      <c r="D665" s="280"/>
      <c r="E665" s="284"/>
      <c r="F665" s="285"/>
      <c r="G665" s="265"/>
      <c r="H665" s="264"/>
      <c r="I665" s="265"/>
      <c r="J665" s="267"/>
      <c r="K665" s="286"/>
      <c r="L665" s="22"/>
      <c r="M665" s="22"/>
      <c r="N665" s="22"/>
      <c r="O665" s="22"/>
      <c r="P665" s="22"/>
      <c r="Q665" s="22"/>
      <c r="R665" s="22"/>
      <c r="S665" s="22"/>
      <c r="T665" s="287"/>
      <c r="U665" s="287"/>
      <c r="V665" s="287"/>
      <c r="W665" s="287"/>
      <c r="X665" s="287"/>
    </row>
    <row r="666">
      <c r="A666" s="279"/>
      <c r="B666" s="280"/>
      <c r="C666" s="279"/>
      <c r="D666" s="280"/>
      <c r="E666" s="284"/>
      <c r="F666" s="285"/>
      <c r="G666" s="265"/>
      <c r="H666" s="264"/>
      <c r="I666" s="265"/>
      <c r="J666" s="267"/>
      <c r="K666" s="286"/>
      <c r="L666" s="22"/>
      <c r="M666" s="22"/>
      <c r="N666" s="22"/>
      <c r="O666" s="22"/>
      <c r="P666" s="22"/>
      <c r="Q666" s="22"/>
      <c r="R666" s="22"/>
      <c r="S666" s="22"/>
      <c r="T666" s="287"/>
      <c r="U666" s="287"/>
      <c r="V666" s="287"/>
      <c r="W666" s="287"/>
      <c r="X666" s="287"/>
    </row>
    <row r="667">
      <c r="A667" s="279"/>
      <c r="B667" s="280"/>
      <c r="C667" s="279"/>
      <c r="D667" s="280"/>
      <c r="E667" s="284"/>
      <c r="F667" s="285"/>
      <c r="G667" s="265"/>
      <c r="H667" s="264"/>
      <c r="I667" s="265"/>
      <c r="J667" s="267"/>
      <c r="K667" s="286"/>
      <c r="L667" s="22"/>
      <c r="M667" s="22"/>
      <c r="N667" s="22"/>
      <c r="O667" s="22"/>
      <c r="P667" s="22"/>
      <c r="Q667" s="22"/>
      <c r="R667" s="22"/>
      <c r="S667" s="22"/>
      <c r="T667" s="287"/>
      <c r="U667" s="287"/>
      <c r="V667" s="287"/>
      <c r="W667" s="287"/>
      <c r="X667" s="287"/>
    </row>
    <row r="668">
      <c r="A668" s="279"/>
      <c r="B668" s="280"/>
      <c r="C668" s="279"/>
      <c r="D668" s="280"/>
      <c r="E668" s="284"/>
      <c r="F668" s="285"/>
      <c r="G668" s="265"/>
      <c r="H668" s="264"/>
      <c r="I668" s="265"/>
      <c r="J668" s="267"/>
      <c r="K668" s="286"/>
      <c r="L668" s="22"/>
      <c r="M668" s="22"/>
      <c r="N668" s="22"/>
      <c r="O668" s="22"/>
      <c r="P668" s="22"/>
      <c r="Q668" s="22"/>
      <c r="R668" s="22"/>
      <c r="S668" s="22"/>
      <c r="T668" s="287"/>
      <c r="U668" s="287"/>
      <c r="V668" s="287"/>
      <c r="W668" s="287"/>
      <c r="X668" s="287"/>
    </row>
    <row r="669">
      <c r="A669" s="279"/>
      <c r="B669" s="280"/>
      <c r="C669" s="279"/>
      <c r="D669" s="280"/>
      <c r="E669" s="284"/>
      <c r="F669" s="285"/>
      <c r="G669" s="265"/>
      <c r="H669" s="264"/>
      <c r="I669" s="265"/>
      <c r="J669" s="267"/>
      <c r="K669" s="286"/>
      <c r="L669" s="22"/>
      <c r="M669" s="22"/>
      <c r="N669" s="22"/>
      <c r="O669" s="22"/>
      <c r="P669" s="22"/>
      <c r="Q669" s="22"/>
      <c r="R669" s="22"/>
      <c r="S669" s="22"/>
      <c r="T669" s="287"/>
      <c r="U669" s="287"/>
      <c r="V669" s="287"/>
      <c r="W669" s="287"/>
      <c r="X669" s="287"/>
    </row>
    <row r="670">
      <c r="A670" s="279"/>
      <c r="B670" s="280"/>
      <c r="C670" s="279"/>
      <c r="D670" s="280"/>
      <c r="E670" s="284"/>
      <c r="F670" s="285"/>
      <c r="G670" s="265"/>
      <c r="H670" s="264"/>
      <c r="I670" s="265"/>
      <c r="J670" s="267"/>
      <c r="K670" s="286"/>
      <c r="L670" s="22"/>
      <c r="M670" s="22"/>
      <c r="N670" s="22"/>
      <c r="O670" s="22"/>
      <c r="P670" s="22"/>
      <c r="Q670" s="22"/>
      <c r="R670" s="22"/>
      <c r="S670" s="22"/>
      <c r="T670" s="287"/>
      <c r="U670" s="287"/>
      <c r="V670" s="287"/>
      <c r="W670" s="287"/>
      <c r="X670" s="287"/>
    </row>
    <row r="671">
      <c r="A671" s="279"/>
      <c r="B671" s="280"/>
      <c r="C671" s="279"/>
      <c r="D671" s="280"/>
      <c r="E671" s="284"/>
      <c r="F671" s="285"/>
      <c r="G671" s="265"/>
      <c r="H671" s="264"/>
      <c r="I671" s="265"/>
      <c r="J671" s="267"/>
      <c r="K671" s="286"/>
      <c r="L671" s="22"/>
      <c r="M671" s="22"/>
      <c r="N671" s="22"/>
      <c r="O671" s="22"/>
      <c r="P671" s="22"/>
      <c r="Q671" s="22"/>
      <c r="R671" s="22"/>
      <c r="S671" s="22"/>
      <c r="T671" s="287"/>
      <c r="U671" s="287"/>
      <c r="V671" s="287"/>
      <c r="W671" s="287"/>
      <c r="X671" s="287"/>
    </row>
    <row r="672">
      <c r="A672" s="279"/>
      <c r="B672" s="280"/>
      <c r="C672" s="279"/>
      <c r="D672" s="280"/>
      <c r="E672" s="284"/>
      <c r="F672" s="285"/>
      <c r="G672" s="265"/>
      <c r="H672" s="264"/>
      <c r="I672" s="265"/>
      <c r="J672" s="267"/>
      <c r="K672" s="286"/>
      <c r="L672" s="22"/>
      <c r="M672" s="22"/>
      <c r="N672" s="22"/>
      <c r="O672" s="22"/>
      <c r="P672" s="22"/>
      <c r="Q672" s="22"/>
      <c r="R672" s="22"/>
      <c r="S672" s="22"/>
      <c r="T672" s="287"/>
      <c r="U672" s="287"/>
      <c r="V672" s="287"/>
      <c r="W672" s="287"/>
      <c r="X672" s="287"/>
    </row>
    <row r="673">
      <c r="A673" s="279"/>
      <c r="B673" s="280"/>
      <c r="C673" s="279"/>
      <c r="D673" s="280"/>
      <c r="E673" s="284"/>
      <c r="F673" s="285"/>
      <c r="G673" s="265"/>
      <c r="H673" s="264"/>
      <c r="I673" s="265"/>
      <c r="J673" s="267"/>
      <c r="K673" s="286"/>
      <c r="L673" s="22"/>
      <c r="M673" s="22"/>
      <c r="N673" s="22"/>
      <c r="O673" s="22"/>
      <c r="P673" s="22"/>
      <c r="Q673" s="22"/>
      <c r="R673" s="22"/>
      <c r="S673" s="22"/>
      <c r="T673" s="287"/>
      <c r="U673" s="287"/>
      <c r="V673" s="287"/>
      <c r="W673" s="287"/>
      <c r="X673" s="287"/>
    </row>
    <row r="674">
      <c r="A674" s="279"/>
      <c r="B674" s="280"/>
      <c r="C674" s="279"/>
      <c r="D674" s="280"/>
      <c r="E674" s="266"/>
      <c r="F674" s="258"/>
      <c r="G674" s="258"/>
      <c r="H674" s="258"/>
      <c r="I674" s="259"/>
      <c r="J674" s="261"/>
      <c r="K674" s="26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</row>
    <row r="675">
      <c r="A675" s="279"/>
      <c r="B675" s="280"/>
      <c r="C675" s="279"/>
      <c r="D675" s="280"/>
      <c r="E675" s="266"/>
      <c r="F675" s="264"/>
      <c r="G675" s="264"/>
      <c r="H675" s="264"/>
      <c r="I675" s="265"/>
      <c r="J675" s="267"/>
      <c r="K675" s="26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</row>
    <row r="676">
      <c r="A676" s="279"/>
      <c r="B676" s="280"/>
      <c r="C676" s="279"/>
      <c r="D676" s="280"/>
      <c r="E676" s="266"/>
      <c r="F676" s="264"/>
      <c r="G676" s="264"/>
      <c r="H676" s="264"/>
      <c r="I676" s="265"/>
      <c r="J676" s="267"/>
      <c r="K676" s="26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</row>
    <row r="677">
      <c r="A677" s="279"/>
      <c r="B677" s="280"/>
      <c r="C677" s="279"/>
      <c r="D677" s="280"/>
      <c r="E677" s="266"/>
      <c r="F677" s="264"/>
      <c r="G677" s="264"/>
      <c r="H677" s="264"/>
      <c r="I677" s="265"/>
      <c r="J677" s="267"/>
      <c r="K677" s="26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</row>
    <row r="678">
      <c r="A678" s="279"/>
      <c r="B678" s="280"/>
      <c r="C678" s="279"/>
      <c r="D678" s="280"/>
      <c r="E678" s="266"/>
      <c r="F678" s="264"/>
      <c r="G678" s="264"/>
      <c r="H678" s="264"/>
      <c r="I678" s="265"/>
      <c r="J678" s="267"/>
      <c r="K678" s="26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</row>
    <row r="679">
      <c r="A679" s="279"/>
      <c r="B679" s="280"/>
      <c r="C679" s="279"/>
      <c r="D679" s="280"/>
      <c r="E679" s="266"/>
      <c r="F679" s="264"/>
      <c r="G679" s="264"/>
      <c r="H679" s="264"/>
      <c r="I679" s="265"/>
      <c r="J679" s="267"/>
      <c r="K679" s="26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</row>
    <row r="680">
      <c r="A680" s="279"/>
      <c r="B680" s="280"/>
      <c r="C680" s="279"/>
      <c r="D680" s="280"/>
      <c r="E680" s="266"/>
      <c r="F680" s="264"/>
      <c r="G680" s="264"/>
      <c r="H680" s="264"/>
      <c r="I680" s="265"/>
      <c r="J680" s="267"/>
      <c r="K680" s="26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</row>
    <row r="681">
      <c r="A681" s="279"/>
      <c r="B681" s="280"/>
      <c r="C681" s="279"/>
      <c r="D681" s="280"/>
      <c r="E681" s="266"/>
      <c r="F681" s="264"/>
      <c r="G681" s="264"/>
      <c r="H681" s="264"/>
      <c r="I681" s="265"/>
      <c r="J681" s="267"/>
      <c r="K681" s="26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</row>
    <row r="682">
      <c r="A682" s="279"/>
      <c r="B682" s="280"/>
      <c r="C682" s="279"/>
      <c r="D682" s="280"/>
      <c r="E682" s="266"/>
      <c r="F682" s="264"/>
      <c r="G682" s="264"/>
      <c r="H682" s="264"/>
      <c r="I682" s="265"/>
      <c r="J682" s="267"/>
      <c r="K682" s="26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</row>
    <row r="683">
      <c r="A683" s="279"/>
      <c r="B683" s="280"/>
      <c r="C683" s="279"/>
      <c r="D683" s="280"/>
      <c r="E683" s="266"/>
      <c r="F683" s="264"/>
      <c r="G683" s="264"/>
      <c r="H683" s="264"/>
      <c r="I683" s="265"/>
      <c r="J683" s="267"/>
      <c r="K683" s="26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</row>
    <row r="684">
      <c r="A684" s="279"/>
      <c r="B684" s="280"/>
      <c r="C684" s="279"/>
      <c r="D684" s="280"/>
      <c r="E684" s="266"/>
      <c r="F684" s="264"/>
      <c r="G684" s="264"/>
      <c r="H684" s="264"/>
      <c r="I684" s="265"/>
      <c r="J684" s="267"/>
      <c r="K684" s="26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</row>
    <row r="685">
      <c r="A685" s="279"/>
      <c r="B685" s="280"/>
      <c r="C685" s="279"/>
      <c r="D685" s="280"/>
      <c r="E685" s="266"/>
      <c r="F685" s="264"/>
      <c r="G685" s="264"/>
      <c r="H685" s="264"/>
      <c r="I685" s="265"/>
      <c r="J685" s="267"/>
      <c r="K685" s="26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</row>
    <row r="686">
      <c r="A686" s="279"/>
      <c r="B686" s="280"/>
      <c r="C686" s="279"/>
      <c r="D686" s="280"/>
      <c r="E686" s="266"/>
      <c r="F686" s="264"/>
      <c r="G686" s="264"/>
      <c r="H686" s="264"/>
      <c r="I686" s="265"/>
      <c r="J686" s="267"/>
      <c r="K686" s="26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</row>
    <row r="687">
      <c r="A687" s="279"/>
      <c r="B687" s="280"/>
      <c r="C687" s="279"/>
      <c r="D687" s="280"/>
      <c r="E687" s="266"/>
      <c r="F687" s="264"/>
      <c r="G687" s="264"/>
      <c r="H687" s="264"/>
      <c r="I687" s="265"/>
      <c r="J687" s="267"/>
      <c r="K687" s="26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</row>
    <row r="688">
      <c r="A688" s="279"/>
      <c r="B688" s="280"/>
      <c r="C688" s="279"/>
      <c r="D688" s="280"/>
      <c r="E688" s="266"/>
      <c r="F688" s="264"/>
      <c r="G688" s="264"/>
      <c r="H688" s="264"/>
      <c r="I688" s="265"/>
      <c r="J688" s="267"/>
      <c r="K688" s="26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</row>
    <row r="689">
      <c r="A689" s="279"/>
      <c r="B689" s="280"/>
      <c r="C689" s="279"/>
      <c r="D689" s="280"/>
      <c r="E689" s="266"/>
      <c r="F689" s="264"/>
      <c r="G689" s="264"/>
      <c r="H689" s="264"/>
      <c r="I689" s="265"/>
      <c r="J689" s="267"/>
      <c r="K689" s="26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</row>
    <row r="690">
      <c r="A690" s="279"/>
      <c r="B690" s="280"/>
      <c r="C690" s="279"/>
      <c r="D690" s="280"/>
      <c r="E690" s="266"/>
      <c r="F690" s="264"/>
      <c r="G690" s="264"/>
      <c r="H690" s="264"/>
      <c r="I690" s="265"/>
      <c r="J690" s="267"/>
      <c r="K690" s="26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</row>
    <row r="691">
      <c r="A691" s="279"/>
      <c r="B691" s="280"/>
      <c r="C691" s="279"/>
      <c r="D691" s="280"/>
      <c r="E691" s="266"/>
      <c r="F691" s="264"/>
      <c r="G691" s="264"/>
      <c r="H691" s="264"/>
      <c r="I691" s="265"/>
      <c r="J691" s="267"/>
      <c r="K691" s="26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</row>
    <row r="692">
      <c r="A692" s="279"/>
      <c r="B692" s="280"/>
      <c r="C692" s="279"/>
      <c r="D692" s="280"/>
      <c r="E692" s="266"/>
      <c r="F692" s="264"/>
      <c r="G692" s="264"/>
      <c r="H692" s="264"/>
      <c r="I692" s="265"/>
      <c r="J692" s="267"/>
      <c r="K692" s="26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</row>
    <row r="693">
      <c r="A693" s="279"/>
      <c r="B693" s="280"/>
      <c r="C693" s="279"/>
      <c r="D693" s="280"/>
      <c r="E693" s="266"/>
      <c r="F693" s="264"/>
      <c r="G693" s="264"/>
      <c r="H693" s="264"/>
      <c r="I693" s="265"/>
      <c r="J693" s="267"/>
      <c r="K693" s="26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</row>
    <row r="694">
      <c r="A694" s="279"/>
      <c r="B694" s="280"/>
      <c r="C694" s="279"/>
      <c r="D694" s="280"/>
      <c r="E694" s="266"/>
      <c r="F694" s="264"/>
      <c r="G694" s="264"/>
      <c r="H694" s="264"/>
      <c r="I694" s="265"/>
      <c r="J694" s="267"/>
      <c r="K694" s="26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</row>
    <row r="695">
      <c r="A695" s="279"/>
      <c r="B695" s="280"/>
      <c r="C695" s="279"/>
      <c r="D695" s="280"/>
      <c r="E695" s="266"/>
      <c r="F695" s="264"/>
      <c r="G695" s="264"/>
      <c r="H695" s="264"/>
      <c r="I695" s="265"/>
      <c r="J695" s="267"/>
      <c r="K695" s="26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</row>
    <row r="696">
      <c r="A696" s="288"/>
      <c r="B696" s="289"/>
      <c r="C696" s="288"/>
      <c r="D696" s="289"/>
      <c r="E696" s="266"/>
      <c r="F696" s="264"/>
      <c r="G696" s="264"/>
      <c r="H696" s="264"/>
      <c r="I696" s="265"/>
      <c r="J696" s="267"/>
      <c r="K696" s="26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</row>
    <row r="697">
      <c r="A697" s="257"/>
      <c r="B697" s="257"/>
      <c r="C697" s="266"/>
      <c r="D697" s="285"/>
      <c r="E697" s="266"/>
      <c r="F697" s="264"/>
      <c r="G697" s="264"/>
      <c r="H697" s="264"/>
      <c r="I697" s="265"/>
      <c r="J697" s="267"/>
      <c r="K697" s="26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</row>
    <row r="698">
      <c r="A698" s="263"/>
      <c r="B698" s="263"/>
      <c r="C698" s="266"/>
      <c r="D698" s="285"/>
      <c r="E698" s="266"/>
      <c r="F698" s="264"/>
      <c r="G698" s="264"/>
      <c r="H698" s="264"/>
      <c r="I698" s="265"/>
      <c r="J698" s="267"/>
      <c r="K698" s="26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</row>
  </sheetData>
  <autoFilter ref="$A$1:$X$698"/>
  <mergeCells count="2">
    <mergeCell ref="A647:B696"/>
    <mergeCell ref="C647:D696"/>
  </mergeCells>
  <dataValidations>
    <dataValidation type="list" allowBlank="1" showDropDown="1" sqref="E2:E270 E276 E283 E325:E575 E576:F577 E578 E579:F580 E581:G581 E582 E583:F585 E586 G586 E587:F589 E590:G591 E592:E597 E598:F599 E600:E602 E603:F603 E604:E605 E606:F608 E609:E616">
      <formula1>"E,G,CE,CG,A,V"</formula1>
    </dataValidation>
    <dataValidation type="list" allowBlank="1" showDropDown="1" sqref="G2:G155 G157:G270 G276 G283 G330 G339 G341:G403 G405:G571 F572:F575 G576:G580 G582:G585 G587:G589 G592:G616">
      <formula1>"43101.0,1-N,0-1,0-N,1-1"</formula1>
    </dataValidation>
  </dataValidations>
  <hyperlinks>
    <hyperlink r:id="rId4" ref="I13"/>
    <hyperlink r:id="rId5" ref="I72"/>
    <hyperlink r:id="rId6" ref="I101"/>
    <hyperlink r:id="rId7" ref="I165"/>
    <hyperlink r:id="rId8" ref="I170"/>
    <hyperlink r:id="rId9" ref="I250"/>
    <hyperlink r:id="rId10" ref="I338"/>
    <hyperlink r:id="rId11" ref="I397"/>
    <hyperlink r:id="rId12" ref="I431"/>
    <hyperlink r:id="rId13" ref="I506"/>
  </hyperlinks>
  <printOptions/>
  <pageMargins bottom="0.7875" footer="0.0" header="0.0" left="0.511805555555555" right="0.511805555555555" top="0.7875"/>
  <pageSetup fitToHeight="0" paperSize="9" orientation="landscape"/>
  <drawing r:id="rId14"/>
  <legacyDrawing r:id="rId1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.88"/>
    <col customWidth="1" min="2" max="2" width="3.88"/>
    <col customWidth="1" min="3" max="3" width="24.0"/>
    <col customWidth="1" min="4" max="4" width="34.75"/>
    <col customWidth="1" min="5" max="5" width="3.0"/>
    <col customWidth="1" min="6" max="6" width="6.5"/>
    <col customWidth="1" min="7" max="7" width="9.63"/>
    <col customWidth="1" min="8" max="8" width="4.75"/>
    <col customWidth="1" min="9" max="9" width="40.13"/>
    <col customWidth="1" min="10" max="10" width="11.75"/>
    <col customWidth="1" min="11" max="26" width="7.63"/>
  </cols>
  <sheetData>
    <row r="1" ht="12.75" customHeight="1">
      <c r="A1" s="3" t="s">
        <v>1</v>
      </c>
      <c r="B1" s="3" t="s">
        <v>3</v>
      </c>
      <c r="C1" s="3" t="s">
        <v>5</v>
      </c>
      <c r="D1" s="6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12.75" customHeight="1">
      <c r="A2" s="17">
        <f t="shared" ref="A2:A21" si="1">ROW()-1</f>
        <v>1</v>
      </c>
      <c r="B2" s="24" t="str">
        <f t="shared" ref="B2:B21" si="2">CONCATENATE("D",IF(A2&lt;=9,0,),A2)</f>
        <v>D01</v>
      </c>
      <c r="C2" s="26" t="s">
        <v>24</v>
      </c>
      <c r="D2" s="26" t="s">
        <v>26</v>
      </c>
      <c r="E2" s="31" t="s">
        <v>30</v>
      </c>
      <c r="F2" s="33" t="s">
        <v>35</v>
      </c>
      <c r="G2" s="35" t="s">
        <v>39</v>
      </c>
      <c r="H2" s="33" t="s">
        <v>40</v>
      </c>
      <c r="I2" s="26" t="s">
        <v>41</v>
      </c>
      <c r="J2" s="33" t="s">
        <v>42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ht="12.75" customHeight="1">
      <c r="A3" s="41">
        <f t="shared" si="1"/>
        <v>2</v>
      </c>
      <c r="B3" s="45" t="str">
        <f t="shared" si="2"/>
        <v>D02</v>
      </c>
      <c r="C3" s="48" t="s">
        <v>49</v>
      </c>
      <c r="D3" s="50" t="s">
        <v>53</v>
      </c>
      <c r="E3" s="53" t="s">
        <v>58</v>
      </c>
      <c r="F3" s="55" t="s">
        <v>60</v>
      </c>
      <c r="G3" s="56" t="s">
        <v>39</v>
      </c>
      <c r="H3" s="55" t="str">
        <f t="shared" ref="H3:H16" si="3">B$2</f>
        <v>D01</v>
      </c>
      <c r="I3" s="57" t="s">
        <v>67</v>
      </c>
      <c r="J3" s="55" t="s">
        <v>42</v>
      </c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ht="12.75" customHeight="1">
      <c r="A4" s="41">
        <f t="shared" si="1"/>
        <v>3</v>
      </c>
      <c r="B4" s="45" t="str">
        <f t="shared" si="2"/>
        <v>D03</v>
      </c>
      <c r="C4" s="48" t="s">
        <v>75</v>
      </c>
      <c r="D4" s="57" t="s">
        <v>76</v>
      </c>
      <c r="E4" s="53" t="s">
        <v>58</v>
      </c>
      <c r="F4" s="55" t="s">
        <v>78</v>
      </c>
      <c r="G4" s="56" t="s">
        <v>39</v>
      </c>
      <c r="H4" s="55" t="str">
        <f t="shared" si="3"/>
        <v>D01</v>
      </c>
      <c r="I4" s="57"/>
      <c r="J4" s="55" t="s">
        <v>42</v>
      </c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ht="12.75" customHeight="1">
      <c r="A5" s="41">
        <f t="shared" si="1"/>
        <v>4</v>
      </c>
      <c r="B5" s="45" t="str">
        <f t="shared" si="2"/>
        <v>D04</v>
      </c>
      <c r="C5" s="48" t="s">
        <v>83</v>
      </c>
      <c r="D5" s="57" t="s">
        <v>85</v>
      </c>
      <c r="E5" s="53" t="s">
        <v>30</v>
      </c>
      <c r="F5" s="55" t="s">
        <v>87</v>
      </c>
      <c r="G5" s="56" t="s">
        <v>39</v>
      </c>
      <c r="H5" s="55" t="str">
        <f t="shared" si="3"/>
        <v>D01</v>
      </c>
      <c r="I5" s="57"/>
      <c r="J5" s="55" t="s">
        <v>42</v>
      </c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ht="12.75" customHeight="1">
      <c r="A6" s="41">
        <f t="shared" si="1"/>
        <v>5</v>
      </c>
      <c r="B6" s="45" t="str">
        <f t="shared" si="2"/>
        <v>D05</v>
      </c>
      <c r="C6" s="48" t="s">
        <v>91</v>
      </c>
      <c r="D6" s="60" t="s">
        <v>92</v>
      </c>
      <c r="E6" s="45" t="s">
        <v>58</v>
      </c>
      <c r="F6" s="45" t="s">
        <v>94</v>
      </c>
      <c r="G6" s="62" t="s">
        <v>96</v>
      </c>
      <c r="H6" s="55" t="str">
        <f t="shared" si="3"/>
        <v>D01</v>
      </c>
      <c r="I6" s="57"/>
      <c r="J6" s="55" t="s">
        <v>99</v>
      </c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ht="12.75" customHeight="1">
      <c r="A7" s="41">
        <f t="shared" si="1"/>
        <v>6</v>
      </c>
      <c r="B7" s="45" t="str">
        <f t="shared" si="2"/>
        <v>D06</v>
      </c>
      <c r="C7" s="48" t="s">
        <v>105</v>
      </c>
      <c r="D7" s="57" t="s">
        <v>106</v>
      </c>
      <c r="E7" s="53" t="s">
        <v>58</v>
      </c>
      <c r="F7" s="55" t="s">
        <v>109</v>
      </c>
      <c r="G7" s="56" t="s">
        <v>96</v>
      </c>
      <c r="H7" s="55" t="str">
        <f t="shared" si="3"/>
        <v>D01</v>
      </c>
      <c r="I7" s="57"/>
      <c r="J7" s="55" t="s">
        <v>42</v>
      </c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ht="12.75" customHeight="1">
      <c r="A8" s="41">
        <f t="shared" si="1"/>
        <v>7</v>
      </c>
      <c r="B8" s="45" t="str">
        <f t="shared" si="2"/>
        <v>D07</v>
      </c>
      <c r="C8" s="48" t="s">
        <v>115</v>
      </c>
      <c r="D8" s="57" t="s">
        <v>116</v>
      </c>
      <c r="E8" s="53" t="s">
        <v>58</v>
      </c>
      <c r="F8" s="55" t="s">
        <v>118</v>
      </c>
      <c r="G8" s="56" t="s">
        <v>96</v>
      </c>
      <c r="H8" s="55" t="str">
        <f t="shared" si="3"/>
        <v>D01</v>
      </c>
      <c r="I8" s="57"/>
      <c r="J8" s="55" t="s">
        <v>42</v>
      </c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ht="12.75" customHeight="1">
      <c r="A9" s="41">
        <f t="shared" si="1"/>
        <v>8</v>
      </c>
      <c r="B9" s="45" t="str">
        <f t="shared" si="2"/>
        <v>D08</v>
      </c>
      <c r="C9" s="48" t="s">
        <v>123</v>
      </c>
      <c r="D9" s="57" t="s">
        <v>124</v>
      </c>
      <c r="E9" s="53" t="s">
        <v>58</v>
      </c>
      <c r="F9" s="55" t="s">
        <v>126</v>
      </c>
      <c r="G9" s="56" t="s">
        <v>96</v>
      </c>
      <c r="H9" s="55" t="str">
        <f t="shared" si="3"/>
        <v>D01</v>
      </c>
      <c r="I9" s="57"/>
      <c r="J9" s="55" t="s">
        <v>42</v>
      </c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ht="12.75" customHeight="1">
      <c r="A10" s="41">
        <f t="shared" si="1"/>
        <v>9</v>
      </c>
      <c r="B10" s="45" t="str">
        <f t="shared" si="2"/>
        <v>D09</v>
      </c>
      <c r="C10" s="48" t="s">
        <v>132</v>
      </c>
      <c r="D10" s="57" t="s">
        <v>133</v>
      </c>
      <c r="E10" s="53" t="s">
        <v>58</v>
      </c>
      <c r="F10" s="55" t="s">
        <v>118</v>
      </c>
      <c r="G10" s="56" t="s">
        <v>96</v>
      </c>
      <c r="H10" s="55" t="str">
        <f t="shared" si="3"/>
        <v>D01</v>
      </c>
      <c r="I10" s="57"/>
      <c r="J10" s="55" t="s">
        <v>42</v>
      </c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ht="12.75" customHeight="1">
      <c r="A11" s="41">
        <f t="shared" si="1"/>
        <v>10</v>
      </c>
      <c r="B11" s="45" t="str">
        <f t="shared" si="2"/>
        <v>D10</v>
      </c>
      <c r="C11" s="48" t="s">
        <v>140</v>
      </c>
      <c r="D11" s="57" t="s">
        <v>141</v>
      </c>
      <c r="E11" s="53" t="s">
        <v>58</v>
      </c>
      <c r="F11" s="55" t="s">
        <v>126</v>
      </c>
      <c r="G11" s="56" t="s">
        <v>96</v>
      </c>
      <c r="H11" s="55" t="str">
        <f t="shared" si="3"/>
        <v>D01</v>
      </c>
      <c r="I11" s="57"/>
      <c r="J11" s="55" t="s">
        <v>42</v>
      </c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ht="12.75" customHeight="1">
      <c r="A12" s="41">
        <f t="shared" si="1"/>
        <v>11</v>
      </c>
      <c r="B12" s="45" t="str">
        <f t="shared" si="2"/>
        <v>D11</v>
      </c>
      <c r="C12" s="48" t="s">
        <v>148</v>
      </c>
      <c r="D12" s="57" t="s">
        <v>149</v>
      </c>
      <c r="E12" s="53" t="s">
        <v>58</v>
      </c>
      <c r="F12" s="55" t="s">
        <v>118</v>
      </c>
      <c r="G12" s="56" t="s">
        <v>96</v>
      </c>
      <c r="H12" s="55" t="str">
        <f t="shared" si="3"/>
        <v>D01</v>
      </c>
      <c r="I12" s="57" t="s">
        <v>153</v>
      </c>
      <c r="J12" s="55" t="s">
        <v>42</v>
      </c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ht="12.75" customHeight="1">
      <c r="A13" s="41">
        <f t="shared" si="1"/>
        <v>12</v>
      </c>
      <c r="B13" s="45" t="str">
        <f t="shared" si="2"/>
        <v>D12</v>
      </c>
      <c r="C13" s="48" t="s">
        <v>157</v>
      </c>
      <c r="D13" s="57" t="s">
        <v>159</v>
      </c>
      <c r="E13" s="53" t="s">
        <v>58</v>
      </c>
      <c r="F13" s="55" t="s">
        <v>87</v>
      </c>
      <c r="G13" s="56" t="s">
        <v>96</v>
      </c>
      <c r="H13" s="55" t="str">
        <f t="shared" si="3"/>
        <v>D01</v>
      </c>
      <c r="I13" s="57" t="s">
        <v>153</v>
      </c>
      <c r="J13" s="55" t="s">
        <v>42</v>
      </c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ht="12.75" customHeight="1">
      <c r="A14" s="41">
        <f t="shared" si="1"/>
        <v>13</v>
      </c>
      <c r="B14" s="45" t="str">
        <f t="shared" si="2"/>
        <v>D13</v>
      </c>
      <c r="C14" s="65" t="s">
        <v>164</v>
      </c>
      <c r="D14" s="66" t="s">
        <v>167</v>
      </c>
      <c r="E14" s="53" t="s">
        <v>58</v>
      </c>
      <c r="F14" s="53" t="s">
        <v>126</v>
      </c>
      <c r="G14" s="67" t="s">
        <v>96</v>
      </c>
      <c r="H14" s="53" t="str">
        <f t="shared" si="3"/>
        <v>D01</v>
      </c>
      <c r="I14" s="68" t="s">
        <v>193</v>
      </c>
      <c r="J14" s="53" t="s">
        <v>194</v>
      </c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ht="12.75" customHeight="1">
      <c r="A15" s="41">
        <f t="shared" si="1"/>
        <v>14</v>
      </c>
      <c r="B15" s="45" t="str">
        <f t="shared" si="2"/>
        <v>D14</v>
      </c>
      <c r="C15" s="65" t="s">
        <v>197</v>
      </c>
      <c r="D15" s="66" t="s">
        <v>198</v>
      </c>
      <c r="E15" s="53" t="s">
        <v>58</v>
      </c>
      <c r="F15" s="53" t="s">
        <v>126</v>
      </c>
      <c r="G15" s="67" t="s">
        <v>96</v>
      </c>
      <c r="H15" s="53" t="str">
        <f t="shared" si="3"/>
        <v>D01</v>
      </c>
      <c r="I15" s="68"/>
      <c r="J15" s="53" t="s">
        <v>194</v>
      </c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ht="12.75" customHeight="1">
      <c r="A16" s="17">
        <f t="shared" si="1"/>
        <v>15</v>
      </c>
      <c r="B16" s="24" t="str">
        <f t="shared" si="2"/>
        <v>D15</v>
      </c>
      <c r="C16" s="69" t="s">
        <v>203</v>
      </c>
      <c r="D16" s="26" t="s">
        <v>205</v>
      </c>
      <c r="E16" s="31" t="s">
        <v>58</v>
      </c>
      <c r="F16" s="33" t="s">
        <v>35</v>
      </c>
      <c r="G16" s="35" t="s">
        <v>39</v>
      </c>
      <c r="H16" s="33" t="str">
        <f t="shared" si="3"/>
        <v>D01</v>
      </c>
      <c r="I16" s="26"/>
      <c r="J16" s="33" t="s">
        <v>42</v>
      </c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ht="12.75" customHeight="1">
      <c r="A17" s="41">
        <f t="shared" si="1"/>
        <v>16</v>
      </c>
      <c r="B17" s="45" t="str">
        <f t="shared" si="2"/>
        <v>D16</v>
      </c>
      <c r="C17" s="48" t="s">
        <v>211</v>
      </c>
      <c r="D17" s="57" t="s">
        <v>212</v>
      </c>
      <c r="E17" s="53" t="s">
        <v>58</v>
      </c>
      <c r="F17" s="55" t="s">
        <v>78</v>
      </c>
      <c r="G17" s="56" t="s">
        <v>96</v>
      </c>
      <c r="H17" s="55" t="str">
        <f t="shared" ref="H17:H18" si="4">B$16</f>
        <v>D15</v>
      </c>
      <c r="I17" s="57"/>
      <c r="J17" s="55" t="s">
        <v>42</v>
      </c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ht="12.75" customHeight="1">
      <c r="A18" s="41">
        <f t="shared" si="1"/>
        <v>17</v>
      </c>
      <c r="B18" s="45" t="str">
        <f t="shared" si="2"/>
        <v>D17</v>
      </c>
      <c r="C18" s="48" t="s">
        <v>215</v>
      </c>
      <c r="D18" s="57" t="s">
        <v>216</v>
      </c>
      <c r="E18" s="53" t="s">
        <v>58</v>
      </c>
      <c r="F18" s="55" t="s">
        <v>109</v>
      </c>
      <c r="G18" s="56" t="s">
        <v>96</v>
      </c>
      <c r="H18" s="55" t="str">
        <f t="shared" si="4"/>
        <v>D15</v>
      </c>
      <c r="I18" s="57"/>
      <c r="J18" s="55" t="s">
        <v>42</v>
      </c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ht="12.75" customHeight="1">
      <c r="A19" s="17">
        <f t="shared" si="1"/>
        <v>18</v>
      </c>
      <c r="B19" s="24" t="str">
        <f t="shared" si="2"/>
        <v>D18</v>
      </c>
      <c r="C19" s="69" t="s">
        <v>217</v>
      </c>
      <c r="D19" s="26"/>
      <c r="E19" s="31" t="s">
        <v>58</v>
      </c>
      <c r="F19" s="33" t="s">
        <v>35</v>
      </c>
      <c r="G19" s="35" t="s">
        <v>39</v>
      </c>
      <c r="H19" s="33" t="str">
        <f>B$2</f>
        <v>D01</v>
      </c>
      <c r="I19" s="26"/>
      <c r="J19" s="33" t="s">
        <v>42</v>
      </c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ht="12.75" customHeight="1">
      <c r="A20" s="41">
        <f t="shared" si="1"/>
        <v>19</v>
      </c>
      <c r="B20" s="45" t="str">
        <f t="shared" si="2"/>
        <v>D19</v>
      </c>
      <c r="C20" s="48" t="s">
        <v>220</v>
      </c>
      <c r="D20" s="57" t="s">
        <v>222</v>
      </c>
      <c r="E20" s="53" t="s">
        <v>58</v>
      </c>
      <c r="F20" s="55" t="s">
        <v>223</v>
      </c>
      <c r="G20" s="56" t="s">
        <v>39</v>
      </c>
      <c r="H20" s="55" t="str">
        <f t="shared" ref="H20:H21" si="5">B$19</f>
        <v>D18</v>
      </c>
      <c r="I20" s="57"/>
      <c r="J20" s="55" t="s">
        <v>42</v>
      </c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ht="12.75" customHeight="1">
      <c r="A21" s="41">
        <f t="shared" si="1"/>
        <v>20</v>
      </c>
      <c r="B21" s="45" t="str">
        <f t="shared" si="2"/>
        <v>D20</v>
      </c>
      <c r="C21" s="48" t="s">
        <v>227</v>
      </c>
      <c r="D21" s="57" t="s">
        <v>228</v>
      </c>
      <c r="E21" s="53" t="s">
        <v>58</v>
      </c>
      <c r="F21" s="55" t="s">
        <v>126</v>
      </c>
      <c r="G21" s="56" t="s">
        <v>39</v>
      </c>
      <c r="H21" s="55" t="str">
        <f t="shared" si="5"/>
        <v>D18</v>
      </c>
      <c r="I21" s="57"/>
      <c r="J21" s="55" t="s">
        <v>42</v>
      </c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ht="12.75" customHeight="1">
      <c r="A22" s="12"/>
      <c r="B22" s="12"/>
      <c r="C22" s="12"/>
      <c r="D22" s="12"/>
      <c r="E22" s="12"/>
      <c r="F22" s="12"/>
      <c r="G22" s="72"/>
      <c r="H22" s="12"/>
      <c r="I22" s="12"/>
      <c r="J22" s="73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ht="12.75" customHeight="1">
      <c r="A23" s="12"/>
      <c r="B23" s="12"/>
      <c r="C23" s="12"/>
      <c r="D23" s="12"/>
      <c r="E23" s="12"/>
      <c r="F23" s="12"/>
      <c r="G23" s="72"/>
      <c r="H23" s="12"/>
      <c r="I23" s="12"/>
      <c r="J23" s="73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ht="12.75" customHeight="1">
      <c r="A24" s="12"/>
      <c r="B24" s="12"/>
      <c r="C24" s="12"/>
      <c r="D24" s="12"/>
      <c r="E24" s="12"/>
      <c r="F24" s="12"/>
      <c r="G24" s="72"/>
      <c r="H24" s="12"/>
      <c r="I24" s="12"/>
      <c r="J24" s="73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ht="12.75" customHeight="1">
      <c r="A25" s="12"/>
      <c r="B25" s="12"/>
      <c r="C25" s="12"/>
      <c r="D25" s="12"/>
      <c r="E25" s="12"/>
      <c r="F25" s="12"/>
      <c r="G25" s="72"/>
      <c r="H25" s="12"/>
      <c r="I25" s="12"/>
      <c r="J25" s="73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ht="12.75" customHeight="1">
      <c r="A26" s="12"/>
      <c r="B26" s="12"/>
      <c r="C26" s="12"/>
      <c r="D26" s="12"/>
      <c r="E26" s="12"/>
      <c r="F26" s="12"/>
      <c r="G26" s="72"/>
      <c r="H26" s="12"/>
      <c r="I26" s="12"/>
      <c r="J26" s="73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ht="12.75" customHeight="1">
      <c r="A27" s="12"/>
      <c r="B27" s="12"/>
      <c r="C27" s="12"/>
      <c r="D27" s="12"/>
      <c r="E27" s="12"/>
      <c r="F27" s="12"/>
      <c r="G27" s="72"/>
      <c r="H27" s="12"/>
      <c r="I27" s="12"/>
      <c r="J27" s="73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ht="12.75" customHeight="1">
      <c r="A28" s="12"/>
      <c r="B28" s="12"/>
      <c r="C28" s="12"/>
      <c r="D28" s="12"/>
      <c r="E28" s="12"/>
      <c r="F28" s="12"/>
      <c r="G28" s="72"/>
      <c r="H28" s="12"/>
      <c r="I28" s="12"/>
      <c r="J28" s="73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ht="12.75" customHeight="1">
      <c r="A29" s="12"/>
      <c r="B29" s="12"/>
      <c r="C29" s="12"/>
      <c r="D29" s="12"/>
      <c r="E29" s="12"/>
      <c r="F29" s="12"/>
      <c r="G29" s="72"/>
      <c r="H29" s="12"/>
      <c r="I29" s="12"/>
      <c r="J29" s="73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ht="12.75" customHeight="1">
      <c r="A30" s="12"/>
      <c r="B30" s="12"/>
      <c r="C30" s="12"/>
      <c r="D30" s="12"/>
      <c r="E30" s="12"/>
      <c r="F30" s="12"/>
      <c r="G30" s="72"/>
      <c r="H30" s="12"/>
      <c r="I30" s="12"/>
      <c r="J30" s="73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ht="12.75" customHeight="1">
      <c r="A31" s="12"/>
      <c r="B31" s="12"/>
      <c r="C31" s="12"/>
      <c r="D31" s="12"/>
      <c r="E31" s="12"/>
      <c r="F31" s="12"/>
      <c r="G31" s="72"/>
      <c r="H31" s="12"/>
      <c r="I31" s="12"/>
      <c r="J31" s="73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ht="12.75" customHeight="1">
      <c r="A32" s="12"/>
      <c r="B32" s="12"/>
      <c r="C32" s="12"/>
      <c r="D32" s="12"/>
      <c r="E32" s="12"/>
      <c r="F32" s="12"/>
      <c r="G32" s="72"/>
      <c r="H32" s="12"/>
      <c r="I32" s="12"/>
      <c r="J32" s="73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ht="12.75" customHeight="1">
      <c r="A33" s="12"/>
      <c r="B33" s="12"/>
      <c r="C33" s="12"/>
      <c r="D33" s="12"/>
      <c r="E33" s="12"/>
      <c r="F33" s="12"/>
      <c r="G33" s="72"/>
      <c r="H33" s="12"/>
      <c r="I33" s="12"/>
      <c r="J33" s="73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ht="12.75" customHeight="1">
      <c r="A34" s="12"/>
      <c r="B34" s="12"/>
      <c r="C34" s="12"/>
      <c r="D34" s="12"/>
      <c r="E34" s="12"/>
      <c r="F34" s="12"/>
      <c r="G34" s="72"/>
      <c r="H34" s="12"/>
      <c r="I34" s="12"/>
      <c r="J34" s="73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ht="12.75" customHeight="1">
      <c r="A35" s="12"/>
      <c r="B35" s="12"/>
      <c r="C35" s="12"/>
      <c r="D35" s="12"/>
      <c r="E35" s="12"/>
      <c r="F35" s="12"/>
      <c r="G35" s="72"/>
      <c r="H35" s="12"/>
      <c r="I35" s="12"/>
      <c r="J35" s="73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ht="12.75" customHeight="1">
      <c r="A36" s="12"/>
      <c r="B36" s="12"/>
      <c r="C36" s="12"/>
      <c r="D36" s="12"/>
      <c r="E36" s="12"/>
      <c r="F36" s="12"/>
      <c r="G36" s="72"/>
      <c r="H36" s="12"/>
      <c r="I36" s="12"/>
      <c r="J36" s="73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ht="12.75" customHeight="1">
      <c r="A37" s="12"/>
      <c r="B37" s="12"/>
      <c r="C37" s="12"/>
      <c r="D37" s="12"/>
      <c r="E37" s="12"/>
      <c r="F37" s="12"/>
      <c r="G37" s="72"/>
      <c r="H37" s="12"/>
      <c r="I37" s="12"/>
      <c r="J37" s="73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ht="12.75" customHeight="1">
      <c r="A38" s="12"/>
      <c r="B38" s="12"/>
      <c r="C38" s="12"/>
      <c r="D38" s="12"/>
      <c r="E38" s="12"/>
      <c r="F38" s="12"/>
      <c r="G38" s="72"/>
      <c r="H38" s="12"/>
      <c r="I38" s="12"/>
      <c r="J38" s="73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ht="12.75" customHeight="1">
      <c r="A39" s="12"/>
      <c r="B39" s="12"/>
      <c r="C39" s="12"/>
      <c r="D39" s="12"/>
      <c r="E39" s="12"/>
      <c r="F39" s="12"/>
      <c r="G39" s="72"/>
      <c r="H39" s="12"/>
      <c r="I39" s="12"/>
      <c r="J39" s="73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ht="12.75" customHeight="1">
      <c r="A40" s="12"/>
      <c r="B40" s="12"/>
      <c r="C40" s="12"/>
      <c r="D40" s="12"/>
      <c r="E40" s="12"/>
      <c r="F40" s="12"/>
      <c r="G40" s="72"/>
      <c r="H40" s="12"/>
      <c r="I40" s="12"/>
      <c r="J40" s="73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ht="12.75" customHeight="1">
      <c r="A41" s="12"/>
      <c r="B41" s="12"/>
      <c r="C41" s="12"/>
      <c r="D41" s="12"/>
      <c r="E41" s="12"/>
      <c r="F41" s="12"/>
      <c r="G41" s="72"/>
      <c r="H41" s="12"/>
      <c r="I41" s="12"/>
      <c r="J41" s="73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ht="12.75" customHeight="1">
      <c r="A42" s="12"/>
      <c r="B42" s="12"/>
      <c r="C42" s="12"/>
      <c r="D42" s="12"/>
      <c r="E42" s="12"/>
      <c r="F42" s="12"/>
      <c r="G42" s="72"/>
      <c r="H42" s="12"/>
      <c r="I42" s="12"/>
      <c r="J42" s="73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ht="12.75" customHeight="1">
      <c r="A43" s="12"/>
      <c r="B43" s="12"/>
      <c r="C43" s="12"/>
      <c r="D43" s="12"/>
      <c r="E43" s="12"/>
      <c r="F43" s="12"/>
      <c r="G43" s="72"/>
      <c r="H43" s="12"/>
      <c r="I43" s="12"/>
      <c r="J43" s="73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ht="12.75" customHeight="1">
      <c r="A44" s="12"/>
      <c r="B44" s="12"/>
      <c r="C44" s="12"/>
      <c r="D44" s="12"/>
      <c r="E44" s="12"/>
      <c r="F44" s="12"/>
      <c r="G44" s="72"/>
      <c r="H44" s="12"/>
      <c r="I44" s="12"/>
      <c r="J44" s="73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ht="12.75" customHeight="1">
      <c r="A45" s="12"/>
      <c r="B45" s="12"/>
      <c r="C45" s="12"/>
      <c r="D45" s="12"/>
      <c r="E45" s="12"/>
      <c r="F45" s="12"/>
      <c r="G45" s="72"/>
      <c r="H45" s="12"/>
      <c r="I45" s="12"/>
      <c r="J45" s="73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ht="12.75" customHeight="1">
      <c r="A46" s="12"/>
      <c r="B46" s="12"/>
      <c r="C46" s="12"/>
      <c r="D46" s="12"/>
      <c r="E46" s="12"/>
      <c r="F46" s="12"/>
      <c r="G46" s="72"/>
      <c r="H46" s="12"/>
      <c r="I46" s="12"/>
      <c r="J46" s="73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ht="12.75" customHeight="1">
      <c r="A47" s="12"/>
      <c r="B47" s="12"/>
      <c r="C47" s="12"/>
      <c r="D47" s="12"/>
      <c r="E47" s="12"/>
      <c r="F47" s="12"/>
      <c r="G47" s="72"/>
      <c r="H47" s="12"/>
      <c r="I47" s="12"/>
      <c r="J47" s="73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ht="12.75" customHeight="1">
      <c r="A48" s="12"/>
      <c r="B48" s="12"/>
      <c r="C48" s="12"/>
      <c r="D48" s="12"/>
      <c r="E48" s="12"/>
      <c r="F48" s="12"/>
      <c r="G48" s="72"/>
      <c r="H48" s="12"/>
      <c r="I48" s="12"/>
      <c r="J48" s="73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ht="12.75" customHeight="1">
      <c r="A49" s="12"/>
      <c r="B49" s="12"/>
      <c r="C49" s="12"/>
      <c r="D49" s="12"/>
      <c r="E49" s="12"/>
      <c r="F49" s="12"/>
      <c r="G49" s="72"/>
      <c r="H49" s="12"/>
      <c r="I49" s="12"/>
      <c r="J49" s="73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ht="12.75" customHeight="1">
      <c r="A50" s="12"/>
      <c r="B50" s="12"/>
      <c r="C50" s="12"/>
      <c r="D50" s="12"/>
      <c r="E50" s="12"/>
      <c r="F50" s="12"/>
      <c r="G50" s="72"/>
      <c r="H50" s="12"/>
      <c r="I50" s="12"/>
      <c r="J50" s="73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ht="12.75" customHeight="1">
      <c r="A51" s="12"/>
      <c r="B51" s="12"/>
      <c r="C51" s="12"/>
      <c r="D51" s="12"/>
      <c r="E51" s="12"/>
      <c r="F51" s="12"/>
      <c r="G51" s="72"/>
      <c r="H51" s="12"/>
      <c r="I51" s="12"/>
      <c r="J51" s="73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ht="12.75" customHeight="1">
      <c r="A52" s="12"/>
      <c r="B52" s="12"/>
      <c r="C52" s="12"/>
      <c r="D52" s="12"/>
      <c r="E52" s="12"/>
      <c r="F52" s="12"/>
      <c r="G52" s="72"/>
      <c r="H52" s="12"/>
      <c r="I52" s="12"/>
      <c r="J52" s="73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ht="12.75" customHeight="1">
      <c r="A53" s="12"/>
      <c r="B53" s="12"/>
      <c r="C53" s="12"/>
      <c r="D53" s="12"/>
      <c r="E53" s="12"/>
      <c r="F53" s="12"/>
      <c r="G53" s="72"/>
      <c r="H53" s="12"/>
      <c r="I53" s="12"/>
      <c r="J53" s="73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ht="12.75" customHeight="1">
      <c r="A54" s="12"/>
      <c r="B54" s="12"/>
      <c r="C54" s="12"/>
      <c r="D54" s="12"/>
      <c r="E54" s="12"/>
      <c r="F54" s="12"/>
      <c r="G54" s="72"/>
      <c r="H54" s="12"/>
      <c r="I54" s="12"/>
      <c r="J54" s="73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ht="12.75" customHeight="1">
      <c r="A55" s="12"/>
      <c r="B55" s="12"/>
      <c r="C55" s="12"/>
      <c r="D55" s="12"/>
      <c r="E55" s="12"/>
      <c r="F55" s="12"/>
      <c r="G55" s="72"/>
      <c r="H55" s="12"/>
      <c r="I55" s="12"/>
      <c r="J55" s="73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ht="12.75" customHeight="1">
      <c r="A56" s="12"/>
      <c r="B56" s="12"/>
      <c r="C56" s="12"/>
      <c r="D56" s="12"/>
      <c r="E56" s="12"/>
      <c r="F56" s="12"/>
      <c r="G56" s="72"/>
      <c r="H56" s="12"/>
      <c r="I56" s="12"/>
      <c r="J56" s="73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ht="12.75" customHeight="1">
      <c r="A57" s="12"/>
      <c r="B57" s="12"/>
      <c r="C57" s="12"/>
      <c r="D57" s="12"/>
      <c r="E57" s="12"/>
      <c r="F57" s="12"/>
      <c r="G57" s="72"/>
      <c r="H57" s="12"/>
      <c r="I57" s="12"/>
      <c r="J57" s="73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ht="12.75" customHeight="1">
      <c r="A58" s="12"/>
      <c r="B58" s="12"/>
      <c r="C58" s="12"/>
      <c r="D58" s="12"/>
      <c r="E58" s="12"/>
      <c r="F58" s="12"/>
      <c r="G58" s="72"/>
      <c r="H58" s="12"/>
      <c r="I58" s="12"/>
      <c r="J58" s="73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ht="12.75" customHeight="1">
      <c r="A59" s="12"/>
      <c r="B59" s="12"/>
      <c r="C59" s="12"/>
      <c r="D59" s="12"/>
      <c r="E59" s="12"/>
      <c r="F59" s="12"/>
      <c r="G59" s="72"/>
      <c r="H59" s="12"/>
      <c r="I59" s="12"/>
      <c r="J59" s="73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ht="12.75" customHeight="1">
      <c r="A60" s="12"/>
      <c r="B60" s="12"/>
      <c r="C60" s="12"/>
      <c r="D60" s="12"/>
      <c r="E60" s="12"/>
      <c r="F60" s="12"/>
      <c r="G60" s="72"/>
      <c r="H60" s="12"/>
      <c r="I60" s="12"/>
      <c r="J60" s="73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ht="12.75" customHeight="1">
      <c r="A61" s="12"/>
      <c r="B61" s="12"/>
      <c r="C61" s="12"/>
      <c r="D61" s="12"/>
      <c r="E61" s="12"/>
      <c r="F61" s="12"/>
      <c r="G61" s="72"/>
      <c r="H61" s="12"/>
      <c r="I61" s="12"/>
      <c r="J61" s="73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ht="12.75" customHeight="1">
      <c r="A62" s="12"/>
      <c r="B62" s="12"/>
      <c r="C62" s="12"/>
      <c r="D62" s="12"/>
      <c r="E62" s="12"/>
      <c r="F62" s="12"/>
      <c r="G62" s="72"/>
      <c r="H62" s="12"/>
      <c r="I62" s="12"/>
      <c r="J62" s="73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ht="12.75" customHeight="1">
      <c r="A63" s="12"/>
      <c r="B63" s="12"/>
      <c r="C63" s="12"/>
      <c r="D63" s="12"/>
      <c r="E63" s="12"/>
      <c r="F63" s="12"/>
      <c r="G63" s="72"/>
      <c r="H63" s="12"/>
      <c r="I63" s="12"/>
      <c r="J63" s="73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ht="12.75" customHeight="1">
      <c r="A64" s="12"/>
      <c r="B64" s="12"/>
      <c r="C64" s="12"/>
      <c r="D64" s="12"/>
      <c r="E64" s="12"/>
      <c r="F64" s="12"/>
      <c r="G64" s="72"/>
      <c r="H64" s="12"/>
      <c r="I64" s="12"/>
      <c r="J64" s="73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ht="12.75" customHeight="1">
      <c r="A65" s="12"/>
      <c r="B65" s="12"/>
      <c r="C65" s="12"/>
      <c r="D65" s="12"/>
      <c r="E65" s="12"/>
      <c r="F65" s="12"/>
      <c r="G65" s="72"/>
      <c r="H65" s="12"/>
      <c r="I65" s="12"/>
      <c r="J65" s="73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ht="12.75" customHeight="1">
      <c r="A66" s="12"/>
      <c r="B66" s="12"/>
      <c r="C66" s="12"/>
      <c r="D66" s="12"/>
      <c r="E66" s="12"/>
      <c r="F66" s="12"/>
      <c r="G66" s="72"/>
      <c r="H66" s="12"/>
      <c r="I66" s="12"/>
      <c r="J66" s="73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ht="12.75" customHeight="1">
      <c r="A67" s="12"/>
      <c r="B67" s="12"/>
      <c r="C67" s="12"/>
      <c r="D67" s="12"/>
      <c r="E67" s="12"/>
      <c r="F67" s="12"/>
      <c r="G67" s="72"/>
      <c r="H67" s="12"/>
      <c r="I67" s="12"/>
      <c r="J67" s="73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ht="12.75" customHeight="1">
      <c r="A68" s="12"/>
      <c r="B68" s="12"/>
      <c r="C68" s="12"/>
      <c r="D68" s="12"/>
      <c r="E68" s="12"/>
      <c r="F68" s="12"/>
      <c r="G68" s="72"/>
      <c r="H68" s="12"/>
      <c r="I68" s="12"/>
      <c r="J68" s="73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ht="12.75" customHeight="1">
      <c r="A69" s="12"/>
      <c r="B69" s="12"/>
      <c r="C69" s="12"/>
      <c r="D69" s="12"/>
      <c r="E69" s="12"/>
      <c r="F69" s="12"/>
      <c r="G69" s="72"/>
      <c r="H69" s="12"/>
      <c r="I69" s="12"/>
      <c r="J69" s="73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ht="12.75" customHeight="1">
      <c r="A70" s="12"/>
      <c r="B70" s="12"/>
      <c r="C70" s="12"/>
      <c r="D70" s="12"/>
      <c r="E70" s="12"/>
      <c r="F70" s="12"/>
      <c r="G70" s="72"/>
      <c r="H70" s="12"/>
      <c r="I70" s="12"/>
      <c r="J70" s="73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ht="12.75" customHeight="1">
      <c r="A71" s="12"/>
      <c r="B71" s="12"/>
      <c r="C71" s="12"/>
      <c r="D71" s="12"/>
      <c r="E71" s="12"/>
      <c r="F71" s="12"/>
      <c r="G71" s="72"/>
      <c r="H71" s="12"/>
      <c r="I71" s="12"/>
      <c r="J71" s="73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ht="12.75" customHeight="1">
      <c r="A72" s="12"/>
      <c r="B72" s="12"/>
      <c r="C72" s="12"/>
      <c r="D72" s="12"/>
      <c r="E72" s="12"/>
      <c r="F72" s="12"/>
      <c r="G72" s="72"/>
      <c r="H72" s="12"/>
      <c r="I72" s="12"/>
      <c r="J72" s="73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ht="12.75" customHeight="1">
      <c r="A73" s="12"/>
      <c r="B73" s="12"/>
      <c r="C73" s="12"/>
      <c r="D73" s="12"/>
      <c r="E73" s="12"/>
      <c r="F73" s="12"/>
      <c r="G73" s="72"/>
      <c r="H73" s="12"/>
      <c r="I73" s="12"/>
      <c r="J73" s="73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ht="12.75" customHeight="1">
      <c r="A74" s="12"/>
      <c r="B74" s="12"/>
      <c r="C74" s="12"/>
      <c r="D74" s="12"/>
      <c r="E74" s="12"/>
      <c r="F74" s="12"/>
      <c r="G74" s="72"/>
      <c r="H74" s="12"/>
      <c r="I74" s="12"/>
      <c r="J74" s="73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ht="12.75" customHeight="1">
      <c r="A75" s="12"/>
      <c r="B75" s="12"/>
      <c r="C75" s="12"/>
      <c r="D75" s="12"/>
      <c r="E75" s="12"/>
      <c r="F75" s="12"/>
      <c r="G75" s="72"/>
      <c r="H75" s="12"/>
      <c r="I75" s="12"/>
      <c r="J75" s="73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ht="12.75" customHeight="1">
      <c r="A76" s="12"/>
      <c r="B76" s="12"/>
      <c r="C76" s="12"/>
      <c r="D76" s="12"/>
      <c r="E76" s="12"/>
      <c r="F76" s="12"/>
      <c r="G76" s="72"/>
      <c r="H76" s="12"/>
      <c r="I76" s="12"/>
      <c r="J76" s="73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ht="12.75" customHeight="1">
      <c r="A77" s="12"/>
      <c r="B77" s="12"/>
      <c r="C77" s="12"/>
      <c r="D77" s="12"/>
      <c r="E77" s="12"/>
      <c r="F77" s="12"/>
      <c r="G77" s="72"/>
      <c r="H77" s="12"/>
      <c r="I77" s="12"/>
      <c r="J77" s="73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ht="12.75" customHeight="1">
      <c r="A78" s="12"/>
      <c r="B78" s="12"/>
      <c r="C78" s="12"/>
      <c r="D78" s="12"/>
      <c r="E78" s="12"/>
      <c r="F78" s="12"/>
      <c r="G78" s="72"/>
      <c r="H78" s="12"/>
      <c r="I78" s="12"/>
      <c r="J78" s="73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ht="12.75" customHeight="1">
      <c r="A79" s="12"/>
      <c r="B79" s="12"/>
      <c r="C79" s="12"/>
      <c r="D79" s="12"/>
      <c r="E79" s="12"/>
      <c r="F79" s="12"/>
      <c r="G79" s="72"/>
      <c r="H79" s="12"/>
      <c r="I79" s="12"/>
      <c r="J79" s="73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ht="12.75" customHeight="1">
      <c r="A80" s="12"/>
      <c r="B80" s="12"/>
      <c r="C80" s="12"/>
      <c r="D80" s="12"/>
      <c r="E80" s="12"/>
      <c r="F80" s="12"/>
      <c r="G80" s="72"/>
      <c r="H80" s="12"/>
      <c r="I80" s="12"/>
      <c r="J80" s="73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ht="12.75" customHeight="1">
      <c r="A81" s="12"/>
      <c r="B81" s="12"/>
      <c r="C81" s="12"/>
      <c r="D81" s="12"/>
      <c r="E81" s="12"/>
      <c r="F81" s="12"/>
      <c r="G81" s="72"/>
      <c r="H81" s="12"/>
      <c r="I81" s="12"/>
      <c r="J81" s="73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ht="12.75" customHeight="1">
      <c r="A82" s="12"/>
      <c r="B82" s="12"/>
      <c r="C82" s="12"/>
      <c r="D82" s="12"/>
      <c r="E82" s="12"/>
      <c r="F82" s="12"/>
      <c r="G82" s="72"/>
      <c r="H82" s="12"/>
      <c r="I82" s="12"/>
      <c r="J82" s="73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ht="12.75" customHeight="1">
      <c r="A83" s="12"/>
      <c r="B83" s="12"/>
      <c r="C83" s="12"/>
      <c r="D83" s="12"/>
      <c r="E83" s="12"/>
      <c r="F83" s="12"/>
      <c r="G83" s="72"/>
      <c r="H83" s="12"/>
      <c r="I83" s="12"/>
      <c r="J83" s="73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ht="12.75" customHeight="1">
      <c r="A84" s="12"/>
      <c r="B84" s="12"/>
      <c r="C84" s="12"/>
      <c r="D84" s="12"/>
      <c r="E84" s="12"/>
      <c r="F84" s="12"/>
      <c r="G84" s="72"/>
      <c r="H84" s="12"/>
      <c r="I84" s="12"/>
      <c r="J84" s="73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ht="12.75" customHeight="1">
      <c r="A85" s="12"/>
      <c r="B85" s="12"/>
      <c r="C85" s="12"/>
      <c r="D85" s="12"/>
      <c r="E85" s="12"/>
      <c r="F85" s="12"/>
      <c r="G85" s="72"/>
      <c r="H85" s="12"/>
      <c r="I85" s="12"/>
      <c r="J85" s="73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ht="12.75" customHeight="1">
      <c r="A86" s="12"/>
      <c r="B86" s="12"/>
      <c r="C86" s="12"/>
      <c r="D86" s="12"/>
      <c r="E86" s="12"/>
      <c r="F86" s="12"/>
      <c r="G86" s="72"/>
      <c r="H86" s="12"/>
      <c r="I86" s="12"/>
      <c r="J86" s="73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ht="12.75" customHeight="1">
      <c r="A87" s="12"/>
      <c r="B87" s="12"/>
      <c r="C87" s="12"/>
      <c r="D87" s="12"/>
      <c r="E87" s="12"/>
      <c r="F87" s="12"/>
      <c r="G87" s="72"/>
      <c r="H87" s="12"/>
      <c r="I87" s="12"/>
      <c r="J87" s="73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ht="12.75" customHeight="1">
      <c r="A88" s="12"/>
      <c r="B88" s="12"/>
      <c r="C88" s="12"/>
      <c r="D88" s="12"/>
      <c r="E88" s="12"/>
      <c r="F88" s="12"/>
      <c r="G88" s="72"/>
      <c r="H88" s="12"/>
      <c r="I88" s="12"/>
      <c r="J88" s="73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ht="12.75" customHeight="1">
      <c r="A89" s="12"/>
      <c r="B89" s="12"/>
      <c r="C89" s="12"/>
      <c r="D89" s="12"/>
      <c r="E89" s="12"/>
      <c r="F89" s="12"/>
      <c r="G89" s="72"/>
      <c r="H89" s="12"/>
      <c r="I89" s="12"/>
      <c r="J89" s="73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ht="12.75" customHeight="1">
      <c r="A90" s="12"/>
      <c r="B90" s="12"/>
      <c r="C90" s="12"/>
      <c r="D90" s="12"/>
      <c r="E90" s="12"/>
      <c r="F90" s="12"/>
      <c r="G90" s="72"/>
      <c r="H90" s="12"/>
      <c r="I90" s="12"/>
      <c r="J90" s="73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ht="12.75" customHeight="1">
      <c r="A91" s="12"/>
      <c r="B91" s="12"/>
      <c r="C91" s="12"/>
      <c r="D91" s="12"/>
      <c r="E91" s="12"/>
      <c r="F91" s="12"/>
      <c r="G91" s="72"/>
      <c r="H91" s="12"/>
      <c r="I91" s="12"/>
      <c r="J91" s="73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ht="12.75" customHeight="1">
      <c r="A92" s="12"/>
      <c r="B92" s="12"/>
      <c r="C92" s="12"/>
      <c r="D92" s="12"/>
      <c r="E92" s="12"/>
      <c r="F92" s="12"/>
      <c r="G92" s="72"/>
      <c r="H92" s="12"/>
      <c r="I92" s="12"/>
      <c r="J92" s="73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ht="12.75" customHeight="1">
      <c r="A93" s="12"/>
      <c r="B93" s="12"/>
      <c r="C93" s="12"/>
      <c r="D93" s="12"/>
      <c r="E93" s="12"/>
      <c r="F93" s="12"/>
      <c r="G93" s="72"/>
      <c r="H93" s="12"/>
      <c r="I93" s="12"/>
      <c r="J93" s="73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ht="12.75" customHeight="1">
      <c r="A94" s="12"/>
      <c r="B94" s="12"/>
      <c r="C94" s="12"/>
      <c r="D94" s="12"/>
      <c r="E94" s="12"/>
      <c r="F94" s="12"/>
      <c r="G94" s="72"/>
      <c r="H94" s="12"/>
      <c r="I94" s="12"/>
      <c r="J94" s="73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ht="12.75" customHeight="1">
      <c r="A95" s="12"/>
      <c r="B95" s="12"/>
      <c r="C95" s="12"/>
      <c r="D95" s="12"/>
      <c r="E95" s="12"/>
      <c r="F95" s="12"/>
      <c r="G95" s="72"/>
      <c r="H95" s="12"/>
      <c r="I95" s="12"/>
      <c r="J95" s="73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ht="12.75" customHeight="1">
      <c r="A96" s="12"/>
      <c r="B96" s="12"/>
      <c r="C96" s="12"/>
      <c r="D96" s="12"/>
      <c r="E96" s="12"/>
      <c r="F96" s="12"/>
      <c r="G96" s="72"/>
      <c r="H96" s="12"/>
      <c r="I96" s="12"/>
      <c r="J96" s="73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ht="12.75" customHeight="1">
      <c r="A97" s="12"/>
      <c r="B97" s="12"/>
      <c r="C97" s="12"/>
      <c r="D97" s="12"/>
      <c r="E97" s="12"/>
      <c r="F97" s="12"/>
      <c r="G97" s="72"/>
      <c r="H97" s="12"/>
      <c r="I97" s="12"/>
      <c r="J97" s="73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ht="12.75" customHeight="1">
      <c r="A98" s="12"/>
      <c r="B98" s="12"/>
      <c r="C98" s="12"/>
      <c r="D98" s="12"/>
      <c r="E98" s="12"/>
      <c r="F98" s="12"/>
      <c r="G98" s="72"/>
      <c r="H98" s="12"/>
      <c r="I98" s="12"/>
      <c r="J98" s="73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ht="12.75" customHeight="1">
      <c r="A99" s="12"/>
      <c r="B99" s="12"/>
      <c r="C99" s="12"/>
      <c r="D99" s="12"/>
      <c r="E99" s="12"/>
      <c r="F99" s="12"/>
      <c r="G99" s="72"/>
      <c r="H99" s="12"/>
      <c r="I99" s="12"/>
      <c r="J99" s="73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ht="12.75" customHeight="1">
      <c r="A100" s="12"/>
      <c r="B100" s="12"/>
      <c r="C100" s="12"/>
      <c r="D100" s="12"/>
      <c r="E100" s="12"/>
      <c r="F100" s="12"/>
      <c r="G100" s="72"/>
      <c r="H100" s="12"/>
      <c r="I100" s="12"/>
      <c r="J100" s="73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ht="12.75" customHeight="1">
      <c r="A101" s="12"/>
      <c r="B101" s="12"/>
      <c r="C101" s="12"/>
      <c r="D101" s="12"/>
      <c r="E101" s="12"/>
      <c r="F101" s="12"/>
      <c r="G101" s="72"/>
      <c r="H101" s="12"/>
      <c r="I101" s="12"/>
      <c r="J101" s="73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ht="12.75" customHeight="1">
      <c r="A102" s="12"/>
      <c r="B102" s="12"/>
      <c r="C102" s="12"/>
      <c r="D102" s="12"/>
      <c r="E102" s="12"/>
      <c r="F102" s="12"/>
      <c r="G102" s="72"/>
      <c r="H102" s="12"/>
      <c r="I102" s="12"/>
      <c r="J102" s="73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ht="12.75" customHeight="1">
      <c r="A103" s="12"/>
      <c r="B103" s="12"/>
      <c r="C103" s="12"/>
      <c r="D103" s="12"/>
      <c r="E103" s="12"/>
      <c r="F103" s="12"/>
      <c r="G103" s="72"/>
      <c r="H103" s="12"/>
      <c r="I103" s="12"/>
      <c r="J103" s="73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ht="12.75" customHeight="1">
      <c r="A104" s="12"/>
      <c r="B104" s="12"/>
      <c r="C104" s="12"/>
      <c r="D104" s="12"/>
      <c r="E104" s="12"/>
      <c r="F104" s="12"/>
      <c r="G104" s="72"/>
      <c r="H104" s="12"/>
      <c r="I104" s="12"/>
      <c r="J104" s="73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ht="12.75" customHeight="1">
      <c r="A105" s="12"/>
      <c r="B105" s="12"/>
      <c r="C105" s="12"/>
      <c r="D105" s="12"/>
      <c r="E105" s="12"/>
      <c r="F105" s="12"/>
      <c r="G105" s="72"/>
      <c r="H105" s="12"/>
      <c r="I105" s="12"/>
      <c r="J105" s="73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ht="12.75" customHeight="1">
      <c r="A106" s="12"/>
      <c r="B106" s="12"/>
      <c r="C106" s="12"/>
      <c r="D106" s="12"/>
      <c r="E106" s="12"/>
      <c r="F106" s="12"/>
      <c r="G106" s="72"/>
      <c r="H106" s="12"/>
      <c r="I106" s="12"/>
      <c r="J106" s="73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ht="12.75" customHeight="1">
      <c r="A107" s="12"/>
      <c r="B107" s="12"/>
      <c r="C107" s="12"/>
      <c r="D107" s="12"/>
      <c r="E107" s="12"/>
      <c r="F107" s="12"/>
      <c r="G107" s="72"/>
      <c r="H107" s="12"/>
      <c r="I107" s="12"/>
      <c r="J107" s="73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ht="12.75" customHeight="1">
      <c r="A108" s="12"/>
      <c r="B108" s="12"/>
      <c r="C108" s="12"/>
      <c r="D108" s="12"/>
      <c r="E108" s="12"/>
      <c r="F108" s="12"/>
      <c r="G108" s="72"/>
      <c r="H108" s="12"/>
      <c r="I108" s="12"/>
      <c r="J108" s="73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ht="12.75" customHeight="1">
      <c r="A109" s="12"/>
      <c r="B109" s="12"/>
      <c r="C109" s="12"/>
      <c r="D109" s="12"/>
      <c r="E109" s="12"/>
      <c r="F109" s="12"/>
      <c r="G109" s="72"/>
      <c r="H109" s="12"/>
      <c r="I109" s="12"/>
      <c r="J109" s="73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ht="12.75" customHeight="1">
      <c r="A110" s="12"/>
      <c r="B110" s="12"/>
      <c r="C110" s="12"/>
      <c r="D110" s="12"/>
      <c r="E110" s="12"/>
      <c r="F110" s="12"/>
      <c r="G110" s="72"/>
      <c r="H110" s="12"/>
      <c r="I110" s="12"/>
      <c r="J110" s="73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ht="12.75" customHeight="1">
      <c r="A111" s="12"/>
      <c r="B111" s="12"/>
      <c r="C111" s="12"/>
      <c r="D111" s="12"/>
      <c r="E111" s="12"/>
      <c r="F111" s="12"/>
      <c r="G111" s="72"/>
      <c r="H111" s="12"/>
      <c r="I111" s="12"/>
      <c r="J111" s="73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ht="12.75" customHeight="1">
      <c r="A112" s="12"/>
      <c r="B112" s="12"/>
      <c r="C112" s="12"/>
      <c r="D112" s="12"/>
      <c r="E112" s="12"/>
      <c r="F112" s="12"/>
      <c r="G112" s="72"/>
      <c r="H112" s="12"/>
      <c r="I112" s="12"/>
      <c r="J112" s="73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ht="12.75" customHeight="1">
      <c r="A113" s="12"/>
      <c r="B113" s="12"/>
      <c r="C113" s="12"/>
      <c r="D113" s="12"/>
      <c r="E113" s="12"/>
      <c r="F113" s="12"/>
      <c r="G113" s="72"/>
      <c r="H113" s="12"/>
      <c r="I113" s="12"/>
      <c r="J113" s="73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ht="12.75" customHeight="1">
      <c r="A114" s="12"/>
      <c r="B114" s="12"/>
      <c r="C114" s="12"/>
      <c r="D114" s="12"/>
      <c r="E114" s="12"/>
      <c r="F114" s="12"/>
      <c r="G114" s="72"/>
      <c r="H114" s="12"/>
      <c r="I114" s="12"/>
      <c r="J114" s="73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ht="12.75" customHeight="1">
      <c r="A115" s="12"/>
      <c r="B115" s="12"/>
      <c r="C115" s="12"/>
      <c r="D115" s="12"/>
      <c r="E115" s="12"/>
      <c r="F115" s="12"/>
      <c r="G115" s="72"/>
      <c r="H115" s="12"/>
      <c r="I115" s="12"/>
      <c r="J115" s="73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ht="12.75" customHeight="1">
      <c r="A116" s="12"/>
      <c r="B116" s="12"/>
      <c r="C116" s="12"/>
      <c r="D116" s="12"/>
      <c r="E116" s="12"/>
      <c r="F116" s="12"/>
      <c r="G116" s="72"/>
      <c r="H116" s="12"/>
      <c r="I116" s="12"/>
      <c r="J116" s="73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ht="12.75" customHeight="1">
      <c r="A117" s="12"/>
      <c r="B117" s="12"/>
      <c r="C117" s="12"/>
      <c r="D117" s="12"/>
      <c r="E117" s="12"/>
      <c r="F117" s="12"/>
      <c r="G117" s="72"/>
      <c r="H117" s="12"/>
      <c r="I117" s="12"/>
      <c r="J117" s="73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ht="12.75" customHeight="1">
      <c r="A118" s="12"/>
      <c r="B118" s="12"/>
      <c r="C118" s="12"/>
      <c r="D118" s="12"/>
      <c r="E118" s="12"/>
      <c r="F118" s="12"/>
      <c r="G118" s="72"/>
      <c r="H118" s="12"/>
      <c r="I118" s="12"/>
      <c r="J118" s="73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ht="12.75" customHeight="1">
      <c r="A119" s="12"/>
      <c r="B119" s="12"/>
      <c r="C119" s="12"/>
      <c r="D119" s="12"/>
      <c r="E119" s="12"/>
      <c r="F119" s="12"/>
      <c r="G119" s="72"/>
      <c r="H119" s="12"/>
      <c r="I119" s="12"/>
      <c r="J119" s="73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ht="12.75" customHeight="1">
      <c r="A120" s="12"/>
      <c r="B120" s="12"/>
      <c r="C120" s="12"/>
      <c r="D120" s="12"/>
      <c r="E120" s="12"/>
      <c r="F120" s="12"/>
      <c r="G120" s="72"/>
      <c r="H120" s="12"/>
      <c r="I120" s="12"/>
      <c r="J120" s="73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ht="12.75" customHeight="1">
      <c r="A121" s="12"/>
      <c r="B121" s="12"/>
      <c r="C121" s="12"/>
      <c r="D121" s="12"/>
      <c r="E121" s="12"/>
      <c r="F121" s="12"/>
      <c r="G121" s="72"/>
      <c r="H121" s="12"/>
      <c r="I121" s="12"/>
      <c r="J121" s="73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ht="12.75" customHeight="1">
      <c r="A122" s="12"/>
      <c r="B122" s="12"/>
      <c r="C122" s="12"/>
      <c r="D122" s="12"/>
      <c r="E122" s="12"/>
      <c r="F122" s="12"/>
      <c r="G122" s="72"/>
      <c r="H122" s="12"/>
      <c r="I122" s="12"/>
      <c r="J122" s="73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ht="12.75" customHeight="1">
      <c r="A123" s="12"/>
      <c r="B123" s="12"/>
      <c r="C123" s="12"/>
      <c r="D123" s="12"/>
      <c r="E123" s="12"/>
      <c r="F123" s="12"/>
      <c r="G123" s="72"/>
      <c r="H123" s="12"/>
      <c r="I123" s="12"/>
      <c r="J123" s="73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ht="12.75" customHeight="1">
      <c r="A124" s="12"/>
      <c r="B124" s="12"/>
      <c r="C124" s="12"/>
      <c r="D124" s="12"/>
      <c r="E124" s="12"/>
      <c r="F124" s="12"/>
      <c r="G124" s="72"/>
      <c r="H124" s="12"/>
      <c r="I124" s="12"/>
      <c r="J124" s="73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ht="12.75" customHeight="1">
      <c r="A125" s="12"/>
      <c r="B125" s="12"/>
      <c r="C125" s="12"/>
      <c r="D125" s="12"/>
      <c r="E125" s="12"/>
      <c r="F125" s="12"/>
      <c r="G125" s="72"/>
      <c r="H125" s="12"/>
      <c r="I125" s="12"/>
      <c r="J125" s="73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ht="12.75" customHeight="1">
      <c r="A126" s="12"/>
      <c r="B126" s="12"/>
      <c r="C126" s="12"/>
      <c r="D126" s="12"/>
      <c r="E126" s="12"/>
      <c r="F126" s="12"/>
      <c r="G126" s="72"/>
      <c r="H126" s="12"/>
      <c r="I126" s="12"/>
      <c r="J126" s="73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ht="12.75" customHeight="1">
      <c r="A127" s="12"/>
      <c r="B127" s="12"/>
      <c r="C127" s="12"/>
      <c r="D127" s="12"/>
      <c r="E127" s="12"/>
      <c r="F127" s="12"/>
      <c r="G127" s="72"/>
      <c r="H127" s="12"/>
      <c r="I127" s="12"/>
      <c r="J127" s="73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ht="12.75" customHeight="1">
      <c r="A128" s="12"/>
      <c r="B128" s="12"/>
      <c r="C128" s="12"/>
      <c r="D128" s="12"/>
      <c r="E128" s="12"/>
      <c r="F128" s="12"/>
      <c r="G128" s="72"/>
      <c r="H128" s="12"/>
      <c r="I128" s="12"/>
      <c r="J128" s="73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ht="12.75" customHeight="1">
      <c r="A129" s="12"/>
      <c r="B129" s="12"/>
      <c r="C129" s="12"/>
      <c r="D129" s="12"/>
      <c r="E129" s="12"/>
      <c r="F129" s="12"/>
      <c r="G129" s="72"/>
      <c r="H129" s="12"/>
      <c r="I129" s="12"/>
      <c r="J129" s="73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ht="12.75" customHeight="1">
      <c r="A130" s="12"/>
      <c r="B130" s="12"/>
      <c r="C130" s="12"/>
      <c r="D130" s="12"/>
      <c r="E130" s="12"/>
      <c r="F130" s="12"/>
      <c r="G130" s="72"/>
      <c r="H130" s="12"/>
      <c r="I130" s="12"/>
      <c r="J130" s="73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ht="12.75" customHeight="1">
      <c r="A131" s="12"/>
      <c r="B131" s="12"/>
      <c r="C131" s="12"/>
      <c r="D131" s="12"/>
      <c r="E131" s="12"/>
      <c r="F131" s="12"/>
      <c r="G131" s="72"/>
      <c r="H131" s="12"/>
      <c r="I131" s="12"/>
      <c r="J131" s="73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ht="12.75" customHeight="1">
      <c r="A132" s="12"/>
      <c r="B132" s="12"/>
      <c r="C132" s="12"/>
      <c r="D132" s="12"/>
      <c r="E132" s="12"/>
      <c r="F132" s="12"/>
      <c r="G132" s="72"/>
      <c r="H132" s="12"/>
      <c r="I132" s="12"/>
      <c r="J132" s="73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ht="12.75" customHeight="1">
      <c r="A133" s="12"/>
      <c r="B133" s="12"/>
      <c r="C133" s="12"/>
      <c r="D133" s="12"/>
      <c r="E133" s="12"/>
      <c r="F133" s="12"/>
      <c r="G133" s="72"/>
      <c r="H133" s="12"/>
      <c r="I133" s="12"/>
      <c r="J133" s="73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ht="12.75" customHeight="1">
      <c r="A134" s="12"/>
      <c r="B134" s="12"/>
      <c r="C134" s="12"/>
      <c r="D134" s="12"/>
      <c r="E134" s="12"/>
      <c r="F134" s="12"/>
      <c r="G134" s="72"/>
      <c r="H134" s="12"/>
      <c r="I134" s="12"/>
      <c r="J134" s="73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ht="12.75" customHeight="1">
      <c r="A135" s="12"/>
      <c r="B135" s="12"/>
      <c r="C135" s="12"/>
      <c r="D135" s="12"/>
      <c r="E135" s="12"/>
      <c r="F135" s="12"/>
      <c r="G135" s="72"/>
      <c r="H135" s="12"/>
      <c r="I135" s="12"/>
      <c r="J135" s="73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ht="12.75" customHeight="1">
      <c r="A136" s="12"/>
      <c r="B136" s="12"/>
      <c r="C136" s="12"/>
      <c r="D136" s="12"/>
      <c r="E136" s="12"/>
      <c r="F136" s="12"/>
      <c r="G136" s="72"/>
      <c r="H136" s="12"/>
      <c r="I136" s="12"/>
      <c r="J136" s="73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ht="12.75" customHeight="1">
      <c r="A137" s="12"/>
      <c r="B137" s="12"/>
      <c r="C137" s="12"/>
      <c r="D137" s="12"/>
      <c r="E137" s="12"/>
      <c r="F137" s="12"/>
      <c r="G137" s="72"/>
      <c r="H137" s="12"/>
      <c r="I137" s="12"/>
      <c r="J137" s="73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ht="12.75" customHeight="1">
      <c r="A138" s="12"/>
      <c r="B138" s="12"/>
      <c r="C138" s="12"/>
      <c r="D138" s="12"/>
      <c r="E138" s="12"/>
      <c r="F138" s="12"/>
      <c r="G138" s="72"/>
      <c r="H138" s="12"/>
      <c r="I138" s="12"/>
      <c r="J138" s="73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ht="12.75" customHeight="1">
      <c r="A139" s="12"/>
      <c r="B139" s="12"/>
      <c r="C139" s="12"/>
      <c r="D139" s="12"/>
      <c r="E139" s="12"/>
      <c r="F139" s="12"/>
      <c r="G139" s="72"/>
      <c r="H139" s="12"/>
      <c r="I139" s="12"/>
      <c r="J139" s="73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ht="12.75" customHeight="1">
      <c r="A140" s="12"/>
      <c r="B140" s="12"/>
      <c r="C140" s="12"/>
      <c r="D140" s="12"/>
      <c r="E140" s="12"/>
      <c r="F140" s="12"/>
      <c r="G140" s="72"/>
      <c r="H140" s="12"/>
      <c r="I140" s="12"/>
      <c r="J140" s="73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ht="12.75" customHeight="1">
      <c r="A141" s="12"/>
      <c r="B141" s="12"/>
      <c r="C141" s="12"/>
      <c r="D141" s="12"/>
      <c r="E141" s="12"/>
      <c r="F141" s="12"/>
      <c r="G141" s="72"/>
      <c r="H141" s="12"/>
      <c r="I141" s="12"/>
      <c r="J141" s="73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ht="12.75" customHeight="1">
      <c r="A142" s="12"/>
      <c r="B142" s="12"/>
      <c r="C142" s="12"/>
      <c r="D142" s="12"/>
      <c r="E142" s="12"/>
      <c r="F142" s="12"/>
      <c r="G142" s="72"/>
      <c r="H142" s="12"/>
      <c r="I142" s="12"/>
      <c r="J142" s="73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ht="12.75" customHeight="1">
      <c r="A143" s="12"/>
      <c r="B143" s="12"/>
      <c r="C143" s="12"/>
      <c r="D143" s="12"/>
      <c r="E143" s="12"/>
      <c r="F143" s="12"/>
      <c r="G143" s="72"/>
      <c r="H143" s="12"/>
      <c r="I143" s="12"/>
      <c r="J143" s="73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ht="12.75" customHeight="1">
      <c r="A144" s="12"/>
      <c r="B144" s="12"/>
      <c r="C144" s="12"/>
      <c r="D144" s="12"/>
      <c r="E144" s="12"/>
      <c r="F144" s="12"/>
      <c r="G144" s="72"/>
      <c r="H144" s="12"/>
      <c r="I144" s="12"/>
      <c r="J144" s="73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ht="12.75" customHeight="1">
      <c r="A145" s="12"/>
      <c r="B145" s="12"/>
      <c r="C145" s="12"/>
      <c r="D145" s="12"/>
      <c r="E145" s="12"/>
      <c r="F145" s="12"/>
      <c r="G145" s="72"/>
      <c r="H145" s="12"/>
      <c r="I145" s="12"/>
      <c r="J145" s="73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ht="12.75" customHeight="1">
      <c r="A146" s="12"/>
      <c r="B146" s="12"/>
      <c r="C146" s="12"/>
      <c r="D146" s="12"/>
      <c r="E146" s="12"/>
      <c r="F146" s="12"/>
      <c r="G146" s="72"/>
      <c r="H146" s="12"/>
      <c r="I146" s="12"/>
      <c r="J146" s="73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ht="12.75" customHeight="1">
      <c r="A147" s="12"/>
      <c r="B147" s="12"/>
      <c r="C147" s="12"/>
      <c r="D147" s="12"/>
      <c r="E147" s="12"/>
      <c r="F147" s="12"/>
      <c r="G147" s="72"/>
      <c r="H147" s="12"/>
      <c r="I147" s="12"/>
      <c r="J147" s="73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ht="12.75" customHeight="1">
      <c r="A148" s="12"/>
      <c r="B148" s="12"/>
      <c r="C148" s="12"/>
      <c r="D148" s="12"/>
      <c r="E148" s="12"/>
      <c r="F148" s="12"/>
      <c r="G148" s="72"/>
      <c r="H148" s="12"/>
      <c r="I148" s="12"/>
      <c r="J148" s="73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ht="12.75" customHeight="1">
      <c r="A149" s="12"/>
      <c r="B149" s="12"/>
      <c r="C149" s="12"/>
      <c r="D149" s="12"/>
      <c r="E149" s="12"/>
      <c r="F149" s="12"/>
      <c r="G149" s="72"/>
      <c r="H149" s="12"/>
      <c r="I149" s="12"/>
      <c r="J149" s="73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ht="12.75" customHeight="1">
      <c r="A150" s="12"/>
      <c r="B150" s="12"/>
      <c r="C150" s="12"/>
      <c r="D150" s="12"/>
      <c r="E150" s="12"/>
      <c r="F150" s="12"/>
      <c r="G150" s="72"/>
      <c r="H150" s="12"/>
      <c r="I150" s="12"/>
      <c r="J150" s="73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ht="12.75" customHeight="1">
      <c r="A151" s="12"/>
      <c r="B151" s="12"/>
      <c r="C151" s="12"/>
      <c r="D151" s="12"/>
      <c r="E151" s="12"/>
      <c r="F151" s="12"/>
      <c r="G151" s="72"/>
      <c r="H151" s="12"/>
      <c r="I151" s="12"/>
      <c r="J151" s="73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ht="12.75" customHeight="1">
      <c r="A152" s="12"/>
      <c r="B152" s="12"/>
      <c r="C152" s="12"/>
      <c r="D152" s="12"/>
      <c r="E152" s="12"/>
      <c r="F152" s="12"/>
      <c r="G152" s="72"/>
      <c r="H152" s="12"/>
      <c r="I152" s="12"/>
      <c r="J152" s="73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ht="12.75" customHeight="1">
      <c r="A153" s="12"/>
      <c r="B153" s="12"/>
      <c r="C153" s="12"/>
      <c r="D153" s="12"/>
      <c r="E153" s="12"/>
      <c r="F153" s="12"/>
      <c r="G153" s="72"/>
      <c r="H153" s="12"/>
      <c r="I153" s="12"/>
      <c r="J153" s="73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ht="12.75" customHeight="1">
      <c r="A154" s="12"/>
      <c r="B154" s="12"/>
      <c r="C154" s="12"/>
      <c r="D154" s="12"/>
      <c r="E154" s="12"/>
      <c r="F154" s="12"/>
      <c r="G154" s="72"/>
      <c r="H154" s="12"/>
      <c r="I154" s="12"/>
      <c r="J154" s="73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ht="12.75" customHeight="1">
      <c r="A155" s="12"/>
      <c r="B155" s="12"/>
      <c r="C155" s="12"/>
      <c r="D155" s="12"/>
      <c r="E155" s="12"/>
      <c r="F155" s="12"/>
      <c r="G155" s="72"/>
      <c r="H155" s="12"/>
      <c r="I155" s="12"/>
      <c r="J155" s="73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ht="12.75" customHeight="1">
      <c r="A156" s="12"/>
      <c r="B156" s="12"/>
      <c r="C156" s="12"/>
      <c r="D156" s="12"/>
      <c r="E156" s="12"/>
      <c r="F156" s="12"/>
      <c r="G156" s="72"/>
      <c r="H156" s="12"/>
      <c r="I156" s="12"/>
      <c r="J156" s="73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ht="12.75" customHeight="1">
      <c r="A157" s="12"/>
      <c r="B157" s="12"/>
      <c r="C157" s="12"/>
      <c r="D157" s="12"/>
      <c r="E157" s="12"/>
      <c r="F157" s="12"/>
      <c r="G157" s="72"/>
      <c r="H157" s="12"/>
      <c r="I157" s="12"/>
      <c r="J157" s="73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ht="12.75" customHeight="1">
      <c r="A158" s="12"/>
      <c r="B158" s="12"/>
      <c r="C158" s="12"/>
      <c r="D158" s="12"/>
      <c r="E158" s="12"/>
      <c r="F158" s="12"/>
      <c r="G158" s="72"/>
      <c r="H158" s="12"/>
      <c r="I158" s="12"/>
      <c r="J158" s="73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ht="12.75" customHeight="1">
      <c r="A159" s="12"/>
      <c r="B159" s="12"/>
      <c r="C159" s="12"/>
      <c r="D159" s="12"/>
      <c r="E159" s="12"/>
      <c r="F159" s="12"/>
      <c r="G159" s="72"/>
      <c r="H159" s="12"/>
      <c r="I159" s="12"/>
      <c r="J159" s="73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ht="12.75" customHeight="1">
      <c r="A160" s="12"/>
      <c r="B160" s="12"/>
      <c r="C160" s="12"/>
      <c r="D160" s="12"/>
      <c r="E160" s="12"/>
      <c r="F160" s="12"/>
      <c r="G160" s="72"/>
      <c r="H160" s="12"/>
      <c r="I160" s="12"/>
      <c r="J160" s="73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ht="12.75" customHeight="1">
      <c r="A161" s="12"/>
      <c r="B161" s="12"/>
      <c r="C161" s="12"/>
      <c r="D161" s="12"/>
      <c r="E161" s="12"/>
      <c r="F161" s="12"/>
      <c r="G161" s="72"/>
      <c r="H161" s="12"/>
      <c r="I161" s="12"/>
      <c r="J161" s="73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ht="12.75" customHeight="1">
      <c r="A162" s="12"/>
      <c r="B162" s="12"/>
      <c r="C162" s="12"/>
      <c r="D162" s="12"/>
      <c r="E162" s="12"/>
      <c r="F162" s="12"/>
      <c r="G162" s="72"/>
      <c r="H162" s="12"/>
      <c r="I162" s="12"/>
      <c r="J162" s="73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ht="12.75" customHeight="1">
      <c r="A163" s="12"/>
      <c r="B163" s="12"/>
      <c r="C163" s="12"/>
      <c r="D163" s="12"/>
      <c r="E163" s="12"/>
      <c r="F163" s="12"/>
      <c r="G163" s="72"/>
      <c r="H163" s="12"/>
      <c r="I163" s="12"/>
      <c r="J163" s="73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ht="12.75" customHeight="1">
      <c r="A164" s="12"/>
      <c r="B164" s="12"/>
      <c r="C164" s="12"/>
      <c r="D164" s="12"/>
      <c r="E164" s="12"/>
      <c r="F164" s="12"/>
      <c r="G164" s="72"/>
      <c r="H164" s="12"/>
      <c r="I164" s="12"/>
      <c r="J164" s="73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ht="12.75" customHeight="1">
      <c r="A165" s="12"/>
      <c r="B165" s="12"/>
      <c r="C165" s="12"/>
      <c r="D165" s="12"/>
      <c r="E165" s="12"/>
      <c r="F165" s="12"/>
      <c r="G165" s="72"/>
      <c r="H165" s="12"/>
      <c r="I165" s="12"/>
      <c r="J165" s="73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ht="12.75" customHeight="1">
      <c r="A166" s="12"/>
      <c r="B166" s="12"/>
      <c r="C166" s="12"/>
      <c r="D166" s="12"/>
      <c r="E166" s="12"/>
      <c r="F166" s="12"/>
      <c r="G166" s="72"/>
      <c r="H166" s="12"/>
      <c r="I166" s="12"/>
      <c r="J166" s="73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ht="12.75" customHeight="1">
      <c r="A167" s="12"/>
      <c r="B167" s="12"/>
      <c r="C167" s="12"/>
      <c r="D167" s="12"/>
      <c r="E167" s="12"/>
      <c r="F167" s="12"/>
      <c r="G167" s="72"/>
      <c r="H167" s="12"/>
      <c r="I167" s="12"/>
      <c r="J167" s="73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ht="12.75" customHeight="1">
      <c r="A168" s="12"/>
      <c r="B168" s="12"/>
      <c r="C168" s="12"/>
      <c r="D168" s="12"/>
      <c r="E168" s="12"/>
      <c r="F168" s="12"/>
      <c r="G168" s="72"/>
      <c r="H168" s="12"/>
      <c r="I168" s="12"/>
      <c r="J168" s="73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ht="12.75" customHeight="1">
      <c r="A169" s="12"/>
      <c r="B169" s="12"/>
      <c r="C169" s="12"/>
      <c r="D169" s="12"/>
      <c r="E169" s="12"/>
      <c r="F169" s="12"/>
      <c r="G169" s="72"/>
      <c r="H169" s="12"/>
      <c r="I169" s="12"/>
      <c r="J169" s="73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ht="12.75" customHeight="1">
      <c r="A170" s="12"/>
      <c r="B170" s="12"/>
      <c r="C170" s="12"/>
      <c r="D170" s="12"/>
      <c r="E170" s="12"/>
      <c r="F170" s="12"/>
      <c r="G170" s="72"/>
      <c r="H170" s="12"/>
      <c r="I170" s="12"/>
      <c r="J170" s="73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ht="12.75" customHeight="1">
      <c r="A171" s="12"/>
      <c r="B171" s="12"/>
      <c r="C171" s="12"/>
      <c r="D171" s="12"/>
      <c r="E171" s="12"/>
      <c r="F171" s="12"/>
      <c r="G171" s="72"/>
      <c r="H171" s="12"/>
      <c r="I171" s="12"/>
      <c r="J171" s="73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ht="12.75" customHeight="1">
      <c r="A172" s="12"/>
      <c r="B172" s="12"/>
      <c r="C172" s="12"/>
      <c r="D172" s="12"/>
      <c r="E172" s="12"/>
      <c r="F172" s="12"/>
      <c r="G172" s="72"/>
      <c r="H172" s="12"/>
      <c r="I172" s="12"/>
      <c r="J172" s="73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ht="12.75" customHeight="1">
      <c r="A173" s="12"/>
      <c r="B173" s="12"/>
      <c r="C173" s="12"/>
      <c r="D173" s="12"/>
      <c r="E173" s="12"/>
      <c r="F173" s="12"/>
      <c r="G173" s="72"/>
      <c r="H173" s="12"/>
      <c r="I173" s="12"/>
      <c r="J173" s="73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ht="12.75" customHeight="1">
      <c r="A174" s="12"/>
      <c r="B174" s="12"/>
      <c r="C174" s="12"/>
      <c r="D174" s="12"/>
      <c r="E174" s="12"/>
      <c r="F174" s="12"/>
      <c r="G174" s="72"/>
      <c r="H174" s="12"/>
      <c r="I174" s="12"/>
      <c r="J174" s="73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ht="12.75" customHeight="1">
      <c r="A175" s="12"/>
      <c r="B175" s="12"/>
      <c r="C175" s="12"/>
      <c r="D175" s="12"/>
      <c r="E175" s="12"/>
      <c r="F175" s="12"/>
      <c r="G175" s="72"/>
      <c r="H175" s="12"/>
      <c r="I175" s="12"/>
      <c r="J175" s="73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ht="12.75" customHeight="1">
      <c r="A176" s="12"/>
      <c r="B176" s="12"/>
      <c r="C176" s="12"/>
      <c r="D176" s="12"/>
      <c r="E176" s="12"/>
      <c r="F176" s="12"/>
      <c r="G176" s="72"/>
      <c r="H176" s="12"/>
      <c r="I176" s="12"/>
      <c r="J176" s="73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ht="12.75" customHeight="1">
      <c r="A177" s="12"/>
      <c r="B177" s="12"/>
      <c r="C177" s="12"/>
      <c r="D177" s="12"/>
      <c r="E177" s="12"/>
      <c r="F177" s="12"/>
      <c r="G177" s="72"/>
      <c r="H177" s="12"/>
      <c r="I177" s="12"/>
      <c r="J177" s="73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ht="12.75" customHeight="1">
      <c r="A178" s="12"/>
      <c r="B178" s="12"/>
      <c r="C178" s="12"/>
      <c r="D178" s="12"/>
      <c r="E178" s="12"/>
      <c r="F178" s="12"/>
      <c r="G178" s="72"/>
      <c r="H178" s="12"/>
      <c r="I178" s="12"/>
      <c r="J178" s="73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ht="12.75" customHeight="1">
      <c r="A179" s="12"/>
      <c r="B179" s="12"/>
      <c r="C179" s="12"/>
      <c r="D179" s="12"/>
      <c r="E179" s="12"/>
      <c r="F179" s="12"/>
      <c r="G179" s="72"/>
      <c r="H179" s="12"/>
      <c r="I179" s="12"/>
      <c r="J179" s="73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ht="12.75" customHeight="1">
      <c r="A180" s="12"/>
      <c r="B180" s="12"/>
      <c r="C180" s="12"/>
      <c r="D180" s="12"/>
      <c r="E180" s="12"/>
      <c r="F180" s="12"/>
      <c r="G180" s="72"/>
      <c r="H180" s="12"/>
      <c r="I180" s="12"/>
      <c r="J180" s="73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ht="12.75" customHeight="1">
      <c r="A181" s="12"/>
      <c r="B181" s="12"/>
      <c r="C181" s="12"/>
      <c r="D181" s="12"/>
      <c r="E181" s="12"/>
      <c r="F181" s="12"/>
      <c r="G181" s="72"/>
      <c r="H181" s="12"/>
      <c r="I181" s="12"/>
      <c r="J181" s="73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ht="12.75" customHeight="1">
      <c r="A182" s="12"/>
      <c r="B182" s="12"/>
      <c r="C182" s="12"/>
      <c r="D182" s="12"/>
      <c r="E182" s="12"/>
      <c r="F182" s="12"/>
      <c r="G182" s="72"/>
      <c r="H182" s="12"/>
      <c r="I182" s="12"/>
      <c r="J182" s="73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ht="12.75" customHeight="1">
      <c r="A183" s="12"/>
      <c r="B183" s="12"/>
      <c r="C183" s="12"/>
      <c r="D183" s="12"/>
      <c r="E183" s="12"/>
      <c r="F183" s="12"/>
      <c r="G183" s="72"/>
      <c r="H183" s="12"/>
      <c r="I183" s="12"/>
      <c r="J183" s="73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ht="12.75" customHeight="1">
      <c r="A184" s="12"/>
      <c r="B184" s="12"/>
      <c r="C184" s="12"/>
      <c r="D184" s="12"/>
      <c r="E184" s="12"/>
      <c r="F184" s="12"/>
      <c r="G184" s="72"/>
      <c r="H184" s="12"/>
      <c r="I184" s="12"/>
      <c r="J184" s="73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ht="12.75" customHeight="1">
      <c r="A185" s="12"/>
      <c r="B185" s="12"/>
      <c r="C185" s="12"/>
      <c r="D185" s="12"/>
      <c r="E185" s="12"/>
      <c r="F185" s="12"/>
      <c r="G185" s="72"/>
      <c r="H185" s="12"/>
      <c r="I185" s="12"/>
      <c r="J185" s="73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ht="12.75" customHeight="1">
      <c r="A186" s="12"/>
      <c r="B186" s="12"/>
      <c r="C186" s="12"/>
      <c r="D186" s="12"/>
      <c r="E186" s="12"/>
      <c r="F186" s="12"/>
      <c r="G186" s="72"/>
      <c r="H186" s="12"/>
      <c r="I186" s="12"/>
      <c r="J186" s="73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ht="12.75" customHeight="1">
      <c r="A187" s="12"/>
      <c r="B187" s="12"/>
      <c r="C187" s="12"/>
      <c r="D187" s="12"/>
      <c r="E187" s="12"/>
      <c r="F187" s="12"/>
      <c r="G187" s="72"/>
      <c r="H187" s="12"/>
      <c r="I187" s="12"/>
      <c r="J187" s="73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ht="12.75" customHeight="1">
      <c r="A188" s="12"/>
      <c r="B188" s="12"/>
      <c r="C188" s="12"/>
      <c r="D188" s="12"/>
      <c r="E188" s="12"/>
      <c r="F188" s="12"/>
      <c r="G188" s="72"/>
      <c r="H188" s="12"/>
      <c r="I188" s="12"/>
      <c r="J188" s="73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ht="12.75" customHeight="1">
      <c r="A189" s="12"/>
      <c r="B189" s="12"/>
      <c r="C189" s="12"/>
      <c r="D189" s="12"/>
      <c r="E189" s="12"/>
      <c r="F189" s="12"/>
      <c r="G189" s="72"/>
      <c r="H189" s="12"/>
      <c r="I189" s="12"/>
      <c r="J189" s="73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ht="12.75" customHeight="1">
      <c r="A190" s="12"/>
      <c r="B190" s="12"/>
      <c r="C190" s="12"/>
      <c r="D190" s="12"/>
      <c r="E190" s="12"/>
      <c r="F190" s="12"/>
      <c r="G190" s="72"/>
      <c r="H190" s="12"/>
      <c r="I190" s="12"/>
      <c r="J190" s="73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ht="12.75" customHeight="1">
      <c r="A191" s="12"/>
      <c r="B191" s="12"/>
      <c r="C191" s="12"/>
      <c r="D191" s="12"/>
      <c r="E191" s="12"/>
      <c r="F191" s="12"/>
      <c r="G191" s="72"/>
      <c r="H191" s="12"/>
      <c r="I191" s="12"/>
      <c r="J191" s="73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ht="12.75" customHeight="1">
      <c r="A192" s="12"/>
      <c r="B192" s="12"/>
      <c r="C192" s="12"/>
      <c r="D192" s="12"/>
      <c r="E192" s="12"/>
      <c r="F192" s="12"/>
      <c r="G192" s="72"/>
      <c r="H192" s="12"/>
      <c r="I192" s="12"/>
      <c r="J192" s="73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ht="12.75" customHeight="1">
      <c r="A193" s="12"/>
      <c r="B193" s="12"/>
      <c r="C193" s="12"/>
      <c r="D193" s="12"/>
      <c r="E193" s="12"/>
      <c r="F193" s="12"/>
      <c r="G193" s="72"/>
      <c r="H193" s="12"/>
      <c r="I193" s="12"/>
      <c r="J193" s="73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ht="12.75" customHeight="1">
      <c r="A194" s="12"/>
      <c r="B194" s="12"/>
      <c r="C194" s="12"/>
      <c r="D194" s="12"/>
      <c r="E194" s="12"/>
      <c r="F194" s="12"/>
      <c r="G194" s="72"/>
      <c r="H194" s="12"/>
      <c r="I194" s="12"/>
      <c r="J194" s="73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ht="12.75" customHeight="1">
      <c r="A195" s="12"/>
      <c r="B195" s="12"/>
      <c r="C195" s="12"/>
      <c r="D195" s="12"/>
      <c r="E195" s="12"/>
      <c r="F195" s="12"/>
      <c r="G195" s="72"/>
      <c r="H195" s="12"/>
      <c r="I195" s="12"/>
      <c r="J195" s="73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ht="12.75" customHeight="1">
      <c r="A196" s="12"/>
      <c r="B196" s="12"/>
      <c r="C196" s="12"/>
      <c r="D196" s="12"/>
      <c r="E196" s="12"/>
      <c r="F196" s="12"/>
      <c r="G196" s="72"/>
      <c r="H196" s="12"/>
      <c r="I196" s="12"/>
      <c r="J196" s="73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ht="12.75" customHeight="1">
      <c r="A197" s="12"/>
      <c r="B197" s="12"/>
      <c r="C197" s="12"/>
      <c r="D197" s="12"/>
      <c r="E197" s="12"/>
      <c r="F197" s="12"/>
      <c r="G197" s="72"/>
      <c r="H197" s="12"/>
      <c r="I197" s="12"/>
      <c r="J197" s="73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ht="12.75" customHeight="1">
      <c r="A198" s="12"/>
      <c r="B198" s="12"/>
      <c r="C198" s="12"/>
      <c r="D198" s="12"/>
      <c r="E198" s="12"/>
      <c r="F198" s="12"/>
      <c r="G198" s="72"/>
      <c r="H198" s="12"/>
      <c r="I198" s="12"/>
      <c r="J198" s="73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ht="12.75" customHeight="1">
      <c r="A199" s="12"/>
      <c r="B199" s="12"/>
      <c r="C199" s="12"/>
      <c r="D199" s="12"/>
      <c r="E199" s="12"/>
      <c r="F199" s="12"/>
      <c r="G199" s="72"/>
      <c r="H199" s="12"/>
      <c r="I199" s="12"/>
      <c r="J199" s="73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ht="12.75" customHeight="1">
      <c r="A200" s="12"/>
      <c r="B200" s="12"/>
      <c r="C200" s="12"/>
      <c r="D200" s="12"/>
      <c r="E200" s="12"/>
      <c r="F200" s="12"/>
      <c r="G200" s="72"/>
      <c r="H200" s="12"/>
      <c r="I200" s="12"/>
      <c r="J200" s="73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ht="12.75" customHeight="1">
      <c r="A201" s="12"/>
      <c r="B201" s="12"/>
      <c r="C201" s="12"/>
      <c r="D201" s="12"/>
      <c r="E201" s="12"/>
      <c r="F201" s="12"/>
      <c r="G201" s="72"/>
      <c r="H201" s="12"/>
      <c r="I201" s="12"/>
      <c r="J201" s="73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ht="12.75" customHeight="1">
      <c r="A202" s="12"/>
      <c r="B202" s="12"/>
      <c r="C202" s="12"/>
      <c r="D202" s="12"/>
      <c r="E202" s="12"/>
      <c r="F202" s="12"/>
      <c r="G202" s="72"/>
      <c r="H202" s="12"/>
      <c r="I202" s="12"/>
      <c r="J202" s="73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ht="12.75" customHeight="1">
      <c r="A203" s="12"/>
      <c r="B203" s="12"/>
      <c r="C203" s="12"/>
      <c r="D203" s="12"/>
      <c r="E203" s="12"/>
      <c r="F203" s="12"/>
      <c r="G203" s="72"/>
      <c r="H203" s="12"/>
      <c r="I203" s="12"/>
      <c r="J203" s="73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ht="12.75" customHeight="1">
      <c r="A204" s="12"/>
      <c r="B204" s="12"/>
      <c r="C204" s="12"/>
      <c r="D204" s="12"/>
      <c r="E204" s="12"/>
      <c r="F204" s="12"/>
      <c r="G204" s="72"/>
      <c r="H204" s="12"/>
      <c r="I204" s="12"/>
      <c r="J204" s="73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ht="12.75" customHeight="1">
      <c r="A205" s="12"/>
      <c r="B205" s="12"/>
      <c r="C205" s="12"/>
      <c r="D205" s="12"/>
      <c r="E205" s="12"/>
      <c r="F205" s="12"/>
      <c r="G205" s="72"/>
      <c r="H205" s="12"/>
      <c r="I205" s="12"/>
      <c r="J205" s="73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ht="12.75" customHeight="1">
      <c r="A206" s="12"/>
      <c r="B206" s="12"/>
      <c r="C206" s="12"/>
      <c r="D206" s="12"/>
      <c r="E206" s="12"/>
      <c r="F206" s="12"/>
      <c r="G206" s="72"/>
      <c r="H206" s="12"/>
      <c r="I206" s="12"/>
      <c r="J206" s="73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ht="12.75" customHeight="1">
      <c r="A207" s="12"/>
      <c r="B207" s="12"/>
      <c r="C207" s="12"/>
      <c r="D207" s="12"/>
      <c r="E207" s="12"/>
      <c r="F207" s="12"/>
      <c r="G207" s="72"/>
      <c r="H207" s="12"/>
      <c r="I207" s="12"/>
      <c r="J207" s="73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ht="12.75" customHeight="1">
      <c r="A208" s="12"/>
      <c r="B208" s="12"/>
      <c r="C208" s="12"/>
      <c r="D208" s="12"/>
      <c r="E208" s="12"/>
      <c r="F208" s="12"/>
      <c r="G208" s="72"/>
      <c r="H208" s="12"/>
      <c r="I208" s="12"/>
      <c r="J208" s="73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ht="12.75" customHeight="1">
      <c r="A209" s="12"/>
      <c r="B209" s="12"/>
      <c r="C209" s="12"/>
      <c r="D209" s="12"/>
      <c r="E209" s="12"/>
      <c r="F209" s="12"/>
      <c r="G209" s="72"/>
      <c r="H209" s="12"/>
      <c r="I209" s="12"/>
      <c r="J209" s="73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ht="12.75" customHeight="1">
      <c r="A210" s="12"/>
      <c r="B210" s="12"/>
      <c r="C210" s="12"/>
      <c r="D210" s="12"/>
      <c r="E210" s="12"/>
      <c r="F210" s="12"/>
      <c r="G210" s="72"/>
      <c r="H210" s="12"/>
      <c r="I210" s="12"/>
      <c r="J210" s="73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ht="12.75" customHeight="1">
      <c r="A211" s="12"/>
      <c r="B211" s="12"/>
      <c r="C211" s="12"/>
      <c r="D211" s="12"/>
      <c r="E211" s="12"/>
      <c r="F211" s="12"/>
      <c r="G211" s="72"/>
      <c r="H211" s="12"/>
      <c r="I211" s="12"/>
      <c r="J211" s="73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ht="12.75" customHeight="1">
      <c r="A212" s="12"/>
      <c r="B212" s="12"/>
      <c r="C212" s="12"/>
      <c r="D212" s="12"/>
      <c r="E212" s="12"/>
      <c r="F212" s="12"/>
      <c r="G212" s="72"/>
      <c r="H212" s="12"/>
      <c r="I212" s="12"/>
      <c r="J212" s="73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ht="12.75" customHeight="1">
      <c r="A213" s="12"/>
      <c r="B213" s="12"/>
      <c r="C213" s="12"/>
      <c r="D213" s="12"/>
      <c r="E213" s="12"/>
      <c r="F213" s="12"/>
      <c r="G213" s="72"/>
      <c r="H213" s="12"/>
      <c r="I213" s="12"/>
      <c r="J213" s="73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ht="12.75" customHeight="1">
      <c r="A214" s="12"/>
      <c r="B214" s="12"/>
      <c r="C214" s="12"/>
      <c r="D214" s="12"/>
      <c r="E214" s="12"/>
      <c r="F214" s="12"/>
      <c r="G214" s="72"/>
      <c r="H214" s="12"/>
      <c r="I214" s="12"/>
      <c r="J214" s="73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ht="12.75" customHeight="1">
      <c r="A215" s="12"/>
      <c r="B215" s="12"/>
      <c r="C215" s="12"/>
      <c r="D215" s="12"/>
      <c r="E215" s="12"/>
      <c r="F215" s="12"/>
      <c r="G215" s="72"/>
      <c r="H215" s="12"/>
      <c r="I215" s="12"/>
      <c r="J215" s="73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ht="12.75" customHeight="1">
      <c r="A216" s="12"/>
      <c r="B216" s="12"/>
      <c r="C216" s="12"/>
      <c r="D216" s="12"/>
      <c r="E216" s="12"/>
      <c r="F216" s="12"/>
      <c r="G216" s="72"/>
      <c r="H216" s="12"/>
      <c r="I216" s="12"/>
      <c r="J216" s="73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ht="12.75" customHeight="1">
      <c r="A217" s="12"/>
      <c r="B217" s="12"/>
      <c r="C217" s="12"/>
      <c r="D217" s="12"/>
      <c r="E217" s="12"/>
      <c r="F217" s="12"/>
      <c r="G217" s="72"/>
      <c r="H217" s="12"/>
      <c r="I217" s="12"/>
      <c r="J217" s="73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ht="12.75" customHeight="1">
      <c r="A218" s="12"/>
      <c r="B218" s="12"/>
      <c r="C218" s="12"/>
      <c r="D218" s="12"/>
      <c r="E218" s="12"/>
      <c r="F218" s="12"/>
      <c r="G218" s="72"/>
      <c r="H218" s="12"/>
      <c r="I218" s="12"/>
      <c r="J218" s="73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ht="12.75" customHeight="1">
      <c r="A219" s="12"/>
      <c r="B219" s="12"/>
      <c r="C219" s="12"/>
      <c r="D219" s="12"/>
      <c r="E219" s="12"/>
      <c r="F219" s="12"/>
      <c r="G219" s="72"/>
      <c r="H219" s="12"/>
      <c r="I219" s="12"/>
      <c r="J219" s="73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ht="12.75" customHeight="1">
      <c r="A220" s="12"/>
      <c r="B220" s="12"/>
      <c r="C220" s="12"/>
      <c r="D220" s="12"/>
      <c r="E220" s="12"/>
      <c r="F220" s="12"/>
      <c r="G220" s="72"/>
      <c r="H220" s="12"/>
      <c r="I220" s="12"/>
      <c r="J220" s="73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ht="12.75" customHeight="1">
      <c r="A221" s="12"/>
      <c r="B221" s="12"/>
      <c r="C221" s="12"/>
      <c r="D221" s="12"/>
      <c r="E221" s="12"/>
      <c r="F221" s="12"/>
      <c r="G221" s="72"/>
      <c r="H221" s="12"/>
      <c r="I221" s="12"/>
      <c r="J221" s="73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dataValidations>
    <dataValidation type="list" allowBlank="1" showDropDown="1" sqref="G2:G21">
      <formula1>"43101.0,1-N,0-1,0-N"</formula1>
    </dataValidation>
    <dataValidation type="list" allowBlank="1" showDropDown="1" sqref="E2:E21">
      <formula1>"E,G,CE,CG,A"</formula1>
    </dataValidation>
  </dataValidations>
  <printOptions/>
  <pageMargins bottom="0.75" footer="0.0" header="0.0" left="0.25" right="0.25" top="0.75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57.13"/>
    <col customWidth="1" min="3" max="3" width="21.38"/>
    <col customWidth="1" min="4" max="4" width="18.25"/>
    <col customWidth="1" min="5" max="5" width="12.0"/>
    <col customWidth="1" min="6" max="6" width="18.25"/>
    <col customWidth="1" min="7" max="7" width="50.75"/>
    <col customWidth="1" min="8" max="8" width="21.38"/>
    <col customWidth="1" min="9" max="9" width="8.0"/>
  </cols>
  <sheetData>
    <row r="1" ht="13.5" customHeight="1">
      <c r="B1" s="1"/>
      <c r="C1" s="2"/>
      <c r="D1" s="7" t="s">
        <v>2</v>
      </c>
      <c r="E1" s="8"/>
      <c r="F1" s="8"/>
      <c r="G1" s="9"/>
      <c r="H1" s="19" t="str">
        <f>HYPERLINK("https://desenvolvedores.migrate.com.br/2018/01/03/consulta-de-naturezas-da-operacao-via-web-service/","Link consulta via WS")</f>
        <v>Link consulta via WS</v>
      </c>
      <c r="I1" s="20"/>
    </row>
    <row r="2" ht="13.5" customHeight="1">
      <c r="A2" s="7" t="s">
        <v>18</v>
      </c>
      <c r="B2" s="23"/>
      <c r="C2" s="2"/>
      <c r="D2" s="25" t="s">
        <v>21</v>
      </c>
      <c r="E2" s="8"/>
      <c r="F2" s="8"/>
      <c r="G2" s="8"/>
      <c r="H2" s="23"/>
      <c r="I2" s="20"/>
    </row>
    <row r="3" ht="13.5" customHeight="1">
      <c r="A3" s="28" t="s">
        <v>25</v>
      </c>
      <c r="B3" s="29" t="s">
        <v>6</v>
      </c>
      <c r="C3" s="2"/>
      <c r="D3" s="30" t="s">
        <v>29</v>
      </c>
      <c r="E3" s="28" t="s">
        <v>32</v>
      </c>
      <c r="F3" s="32" t="s">
        <v>34</v>
      </c>
      <c r="G3" s="34" t="s">
        <v>6</v>
      </c>
      <c r="H3" s="28" t="s">
        <v>37</v>
      </c>
      <c r="I3" s="20"/>
    </row>
    <row r="4" ht="13.5" customHeight="1">
      <c r="A4" s="36">
        <v>1.0</v>
      </c>
      <c r="B4" s="37" t="s">
        <v>43</v>
      </c>
      <c r="C4" s="38"/>
      <c r="D4" s="39" t="s">
        <v>44</v>
      </c>
      <c r="E4" s="36">
        <v>0.0</v>
      </c>
      <c r="F4" s="42">
        <v>1.0</v>
      </c>
      <c r="G4" s="44" t="s">
        <v>46</v>
      </c>
      <c r="H4" s="36">
        <v>1.0</v>
      </c>
      <c r="I4" s="20"/>
    </row>
    <row r="5" ht="13.5" customHeight="1">
      <c r="A5" s="36">
        <v>2.0</v>
      </c>
      <c r="B5" s="37" t="s">
        <v>47</v>
      </c>
      <c r="C5" s="38"/>
      <c r="D5" s="39" t="s">
        <v>44</v>
      </c>
      <c r="E5" s="36">
        <v>0.0</v>
      </c>
      <c r="F5" s="42">
        <v>2.0</v>
      </c>
      <c r="G5" s="44" t="s">
        <v>48</v>
      </c>
      <c r="H5" s="36">
        <v>4.0</v>
      </c>
      <c r="I5" s="20"/>
    </row>
    <row r="6" ht="13.5" customHeight="1">
      <c r="A6" s="36">
        <v>3.0</v>
      </c>
      <c r="B6" s="37" t="s">
        <v>50</v>
      </c>
      <c r="C6" s="38"/>
      <c r="D6" s="39" t="s">
        <v>44</v>
      </c>
      <c r="E6" s="36">
        <v>0.0</v>
      </c>
      <c r="F6" s="42">
        <v>3.0</v>
      </c>
      <c r="G6" s="44" t="s">
        <v>50</v>
      </c>
      <c r="H6" s="36">
        <v>2.0</v>
      </c>
      <c r="I6" s="20"/>
    </row>
    <row r="7" ht="13.5" customHeight="1">
      <c r="A7" s="36">
        <v>4.0</v>
      </c>
      <c r="B7" s="37" t="s">
        <v>51</v>
      </c>
      <c r="C7" s="38"/>
      <c r="D7" s="39" t="s">
        <v>44</v>
      </c>
      <c r="E7" s="36">
        <v>0.0</v>
      </c>
      <c r="F7" s="42">
        <v>4.0</v>
      </c>
      <c r="G7" s="44" t="s">
        <v>52</v>
      </c>
      <c r="H7" s="36">
        <v>3.0</v>
      </c>
      <c r="I7" s="20"/>
    </row>
    <row r="8" ht="13.5" customHeight="1">
      <c r="A8" s="36">
        <v>5.0</v>
      </c>
      <c r="B8" s="37" t="s">
        <v>54</v>
      </c>
      <c r="C8" s="38"/>
      <c r="D8" s="39" t="s">
        <v>44</v>
      </c>
      <c r="E8" s="36">
        <v>4314100.0</v>
      </c>
      <c r="F8" s="42">
        <v>64.0</v>
      </c>
      <c r="G8" s="44" t="s">
        <v>55</v>
      </c>
      <c r="H8" s="36">
        <v>69.0</v>
      </c>
      <c r="I8" s="20"/>
    </row>
    <row r="9" ht="13.5" customHeight="1">
      <c r="A9" s="36">
        <v>6.0</v>
      </c>
      <c r="B9" s="37" t="s">
        <v>57</v>
      </c>
      <c r="C9" s="38"/>
      <c r="D9" s="39" t="s">
        <v>44</v>
      </c>
      <c r="E9" s="36">
        <v>4314100.0</v>
      </c>
      <c r="F9" s="42">
        <v>69.0</v>
      </c>
      <c r="G9" s="44" t="s">
        <v>55</v>
      </c>
      <c r="H9" s="36">
        <v>69.0</v>
      </c>
      <c r="I9" s="20"/>
    </row>
    <row r="10" ht="13.5" customHeight="1">
      <c r="A10" s="36">
        <v>7.0</v>
      </c>
      <c r="B10" s="37" t="s">
        <v>59</v>
      </c>
      <c r="C10" s="38"/>
      <c r="D10" s="39" t="s">
        <v>61</v>
      </c>
      <c r="E10" s="36">
        <v>0.0</v>
      </c>
      <c r="F10" s="42">
        <v>1.0</v>
      </c>
      <c r="G10" s="44" t="s">
        <v>43</v>
      </c>
      <c r="H10" s="36">
        <v>1.0</v>
      </c>
      <c r="I10" s="20"/>
    </row>
    <row r="11" ht="13.5" customHeight="1">
      <c r="A11" s="36">
        <v>8.0</v>
      </c>
      <c r="B11" s="37" t="s">
        <v>62</v>
      </c>
      <c r="C11" s="38"/>
      <c r="D11" s="39" t="s">
        <v>61</v>
      </c>
      <c r="E11" s="36">
        <v>0.0</v>
      </c>
      <c r="F11" s="42">
        <v>2.0</v>
      </c>
      <c r="G11" s="44" t="s">
        <v>47</v>
      </c>
      <c r="H11" s="36">
        <v>2.0</v>
      </c>
      <c r="I11" s="20"/>
    </row>
    <row r="12" ht="13.5" customHeight="1">
      <c r="A12" s="36">
        <v>9.0</v>
      </c>
      <c r="B12" s="37" t="s">
        <v>63</v>
      </c>
      <c r="C12" s="38"/>
      <c r="D12" s="39" t="s">
        <v>61</v>
      </c>
      <c r="E12" s="36">
        <v>0.0</v>
      </c>
      <c r="F12" s="42">
        <v>3.0</v>
      </c>
      <c r="G12" s="44" t="s">
        <v>50</v>
      </c>
      <c r="H12" s="36">
        <v>3.0</v>
      </c>
      <c r="I12" s="20"/>
    </row>
    <row r="13" ht="13.5" customHeight="1">
      <c r="A13" s="36">
        <v>10.0</v>
      </c>
      <c r="B13" s="37" t="s">
        <v>64</v>
      </c>
      <c r="C13" s="38"/>
      <c r="D13" s="39" t="s">
        <v>61</v>
      </c>
      <c r="E13" s="36">
        <v>0.0</v>
      </c>
      <c r="F13" s="42">
        <v>4.0</v>
      </c>
      <c r="G13" s="44" t="s">
        <v>51</v>
      </c>
      <c r="H13" s="36">
        <v>4.0</v>
      </c>
      <c r="I13" s="20"/>
    </row>
    <row r="14" ht="13.5" customHeight="1">
      <c r="A14" s="36">
        <v>11.0</v>
      </c>
      <c r="B14" s="37" t="s">
        <v>65</v>
      </c>
      <c r="C14" s="38"/>
      <c r="D14" s="39" t="s">
        <v>61</v>
      </c>
      <c r="E14" s="36">
        <v>0.0</v>
      </c>
      <c r="F14" s="42">
        <v>5.0</v>
      </c>
      <c r="G14" s="44" t="s">
        <v>54</v>
      </c>
      <c r="H14" s="36">
        <v>5.0</v>
      </c>
      <c r="I14" s="20"/>
    </row>
    <row r="15" ht="13.5" customHeight="1">
      <c r="A15" s="36">
        <v>12.0</v>
      </c>
      <c r="B15" s="37" t="s">
        <v>66</v>
      </c>
      <c r="C15" s="38"/>
      <c r="D15" s="39" t="s">
        <v>61</v>
      </c>
      <c r="E15" s="36">
        <v>0.0</v>
      </c>
      <c r="F15" s="42">
        <v>6.0</v>
      </c>
      <c r="G15" s="44" t="s">
        <v>57</v>
      </c>
      <c r="H15" s="36">
        <v>6.0</v>
      </c>
      <c r="I15" s="20"/>
    </row>
    <row r="16" ht="13.5" customHeight="1">
      <c r="A16" s="36">
        <v>13.0</v>
      </c>
      <c r="B16" s="37" t="s">
        <v>68</v>
      </c>
      <c r="C16" s="38"/>
      <c r="D16" s="39" t="s">
        <v>69</v>
      </c>
      <c r="E16" s="36">
        <v>0.0</v>
      </c>
      <c r="F16" s="42">
        <v>3.0</v>
      </c>
      <c r="G16" s="44" t="s">
        <v>50</v>
      </c>
      <c r="H16" s="36">
        <v>3.0</v>
      </c>
      <c r="I16" s="20"/>
    </row>
    <row r="17" ht="13.5" customHeight="1">
      <c r="A17" s="36">
        <v>14.0</v>
      </c>
      <c r="B17" s="37" t="s">
        <v>70</v>
      </c>
      <c r="C17" s="38"/>
      <c r="D17" s="39" t="s">
        <v>69</v>
      </c>
      <c r="E17" s="36">
        <v>0.0</v>
      </c>
      <c r="F17" s="42">
        <v>4.0</v>
      </c>
      <c r="G17" s="44" t="s">
        <v>52</v>
      </c>
      <c r="H17" s="36">
        <v>5.0</v>
      </c>
      <c r="I17" s="20"/>
    </row>
    <row r="18" ht="13.5" customHeight="1">
      <c r="A18" s="36">
        <v>15.0</v>
      </c>
      <c r="B18" s="37" t="s">
        <v>71</v>
      </c>
      <c r="C18" s="38"/>
      <c r="D18" s="39" t="s">
        <v>69</v>
      </c>
      <c r="E18" s="36">
        <v>0.0</v>
      </c>
      <c r="F18" s="42">
        <v>5.0</v>
      </c>
      <c r="G18" s="44" t="s">
        <v>54</v>
      </c>
      <c r="H18" s="36">
        <v>6.0</v>
      </c>
      <c r="I18" s="20"/>
    </row>
    <row r="19" ht="13.5" customHeight="1">
      <c r="A19" s="36">
        <v>16.0</v>
      </c>
      <c r="B19" s="37" t="s">
        <v>74</v>
      </c>
      <c r="C19" s="38"/>
      <c r="D19" s="39" t="s">
        <v>69</v>
      </c>
      <c r="E19" s="36">
        <v>0.0</v>
      </c>
      <c r="F19" s="42">
        <v>6.0</v>
      </c>
      <c r="G19" s="44" t="s">
        <v>57</v>
      </c>
      <c r="H19" s="36">
        <v>7.0</v>
      </c>
      <c r="I19" s="20"/>
    </row>
    <row r="20" ht="13.5" customHeight="1">
      <c r="A20" s="36">
        <v>17.0</v>
      </c>
      <c r="B20" s="37" t="s">
        <v>77</v>
      </c>
      <c r="C20" s="38"/>
      <c r="D20" s="39" t="s">
        <v>69</v>
      </c>
      <c r="E20" s="36">
        <v>0.0</v>
      </c>
      <c r="F20" s="42">
        <v>7.0</v>
      </c>
      <c r="G20" s="44" t="s">
        <v>59</v>
      </c>
      <c r="H20" s="36">
        <v>1.0</v>
      </c>
      <c r="I20" s="20"/>
    </row>
    <row r="21" ht="15.75" customHeight="1">
      <c r="A21" s="36">
        <v>18.0</v>
      </c>
      <c r="B21" s="37" t="s">
        <v>80</v>
      </c>
      <c r="C21" s="38"/>
      <c r="D21" s="39" t="s">
        <v>69</v>
      </c>
      <c r="E21" s="36">
        <v>0.0</v>
      </c>
      <c r="F21" s="42">
        <v>8.0</v>
      </c>
      <c r="G21" s="44" t="s">
        <v>62</v>
      </c>
      <c r="H21" s="36">
        <v>2.0</v>
      </c>
      <c r="I21" s="20"/>
    </row>
    <row r="22" ht="15.75" customHeight="1">
      <c r="A22" s="36">
        <v>19.0</v>
      </c>
      <c r="B22" s="37" t="s">
        <v>82</v>
      </c>
      <c r="C22" s="38"/>
      <c r="D22" s="39" t="s">
        <v>69</v>
      </c>
      <c r="E22" s="36">
        <v>0.0</v>
      </c>
      <c r="F22" s="42">
        <v>9.0</v>
      </c>
      <c r="G22" s="44" t="s">
        <v>63</v>
      </c>
      <c r="H22" s="36">
        <v>4.0</v>
      </c>
      <c r="I22" s="20"/>
    </row>
    <row r="23" ht="15.75" customHeight="1">
      <c r="A23" s="36">
        <v>20.0</v>
      </c>
      <c r="B23" s="37" t="s">
        <v>84</v>
      </c>
      <c r="C23" s="38"/>
      <c r="D23" s="39" t="s">
        <v>86</v>
      </c>
      <c r="E23" s="36">
        <v>0.0</v>
      </c>
      <c r="F23" s="42">
        <v>3.0</v>
      </c>
      <c r="G23" s="44" t="s">
        <v>50</v>
      </c>
      <c r="H23" s="36">
        <v>3.0</v>
      </c>
      <c r="I23" s="20"/>
    </row>
    <row r="24" ht="15.75" customHeight="1">
      <c r="A24" s="36">
        <v>21.0</v>
      </c>
      <c r="B24" s="37" t="s">
        <v>88</v>
      </c>
      <c r="C24" s="38"/>
      <c r="D24" s="39" t="s">
        <v>86</v>
      </c>
      <c r="E24" s="36">
        <v>0.0</v>
      </c>
      <c r="F24" s="42">
        <v>4.0</v>
      </c>
      <c r="G24" s="44" t="s">
        <v>52</v>
      </c>
      <c r="H24" s="36">
        <v>5.0</v>
      </c>
      <c r="I24" s="20"/>
    </row>
    <row r="25" ht="15.75" customHeight="1">
      <c r="A25" s="36">
        <v>22.0</v>
      </c>
      <c r="B25" s="37" t="s">
        <v>89</v>
      </c>
      <c r="C25" s="38"/>
      <c r="D25" s="39" t="s">
        <v>86</v>
      </c>
      <c r="E25" s="36">
        <v>0.0</v>
      </c>
      <c r="F25" s="42">
        <v>5.0</v>
      </c>
      <c r="G25" s="44" t="s">
        <v>54</v>
      </c>
      <c r="H25" s="36">
        <v>6.0</v>
      </c>
      <c r="I25" s="20"/>
    </row>
    <row r="26" ht="15.75" customHeight="1">
      <c r="A26" s="36">
        <v>23.0</v>
      </c>
      <c r="B26" s="37" t="s">
        <v>90</v>
      </c>
      <c r="C26" s="38"/>
      <c r="D26" s="39" t="s">
        <v>86</v>
      </c>
      <c r="E26" s="36">
        <v>0.0</v>
      </c>
      <c r="F26" s="42">
        <v>6.0</v>
      </c>
      <c r="G26" s="44" t="s">
        <v>57</v>
      </c>
      <c r="H26" s="36">
        <v>7.0</v>
      </c>
      <c r="I26" s="20"/>
    </row>
    <row r="27" ht="15.75" customHeight="1">
      <c r="A27" s="36">
        <v>24.0</v>
      </c>
      <c r="B27" s="37" t="s">
        <v>93</v>
      </c>
      <c r="C27" s="38"/>
      <c r="D27" s="39" t="s">
        <v>86</v>
      </c>
      <c r="E27" s="36">
        <v>0.0</v>
      </c>
      <c r="F27" s="42">
        <v>7.0</v>
      </c>
      <c r="G27" s="44" t="s">
        <v>59</v>
      </c>
      <c r="H27" s="36">
        <v>1.0</v>
      </c>
      <c r="I27" s="20"/>
    </row>
    <row r="28" ht="15.75" customHeight="1">
      <c r="A28" s="36">
        <v>25.0</v>
      </c>
      <c r="B28" s="37" t="s">
        <v>95</v>
      </c>
      <c r="C28" s="38"/>
      <c r="D28" s="39" t="s">
        <v>86</v>
      </c>
      <c r="E28" s="36">
        <v>0.0</v>
      </c>
      <c r="F28" s="42">
        <v>8.0</v>
      </c>
      <c r="G28" s="44" t="s">
        <v>62</v>
      </c>
      <c r="H28" s="36">
        <v>2.0</v>
      </c>
      <c r="I28" s="20"/>
    </row>
    <row r="29" ht="15.75" customHeight="1">
      <c r="A29" s="36">
        <v>26.0</v>
      </c>
      <c r="B29" s="37" t="s">
        <v>97</v>
      </c>
      <c r="C29" s="38"/>
      <c r="D29" s="39" t="s">
        <v>86</v>
      </c>
      <c r="E29" s="36">
        <v>0.0</v>
      </c>
      <c r="F29" s="42">
        <v>9.0</v>
      </c>
      <c r="G29" s="44" t="s">
        <v>63</v>
      </c>
      <c r="H29" s="36">
        <v>4.0</v>
      </c>
      <c r="I29" s="20"/>
    </row>
    <row r="30" ht="15.75" customHeight="1">
      <c r="A30" s="36">
        <v>27.0</v>
      </c>
      <c r="B30" s="37" t="s">
        <v>101</v>
      </c>
      <c r="C30" s="38"/>
      <c r="D30" s="39" t="s">
        <v>102</v>
      </c>
      <c r="E30" s="36">
        <v>0.0</v>
      </c>
      <c r="F30" s="42">
        <v>1.0</v>
      </c>
      <c r="G30" s="44" t="s">
        <v>103</v>
      </c>
      <c r="H30" s="36">
        <v>1.0</v>
      </c>
      <c r="I30" s="20"/>
    </row>
    <row r="31" ht="15.75" customHeight="1">
      <c r="A31" s="36">
        <v>28.0</v>
      </c>
      <c r="B31" s="37" t="s">
        <v>104</v>
      </c>
      <c r="C31" s="38"/>
      <c r="D31" s="39" t="s">
        <v>102</v>
      </c>
      <c r="E31" s="36">
        <v>0.0</v>
      </c>
      <c r="F31" s="42">
        <v>12.0</v>
      </c>
      <c r="G31" s="44" t="s">
        <v>108</v>
      </c>
      <c r="H31" s="36">
        <v>2.0</v>
      </c>
      <c r="I31" s="20"/>
    </row>
    <row r="32" ht="15.75" customHeight="1">
      <c r="A32" s="36">
        <v>29.0</v>
      </c>
      <c r="B32" s="37" t="s">
        <v>110</v>
      </c>
      <c r="C32" s="38"/>
      <c r="D32" s="39" t="s">
        <v>102</v>
      </c>
      <c r="E32" s="36">
        <v>0.0</v>
      </c>
      <c r="F32" s="42">
        <v>14.0</v>
      </c>
      <c r="G32" s="44" t="s">
        <v>111</v>
      </c>
      <c r="H32" s="36">
        <v>3.0</v>
      </c>
      <c r="I32" s="20"/>
    </row>
    <row r="33" ht="15.75" customHeight="1">
      <c r="A33" s="36">
        <v>30.0</v>
      </c>
      <c r="B33" s="37" t="s">
        <v>112</v>
      </c>
      <c r="C33" s="38"/>
      <c r="D33" s="39" t="s">
        <v>102</v>
      </c>
      <c r="E33" s="36">
        <v>0.0</v>
      </c>
      <c r="F33" s="42">
        <v>16.0</v>
      </c>
      <c r="G33" s="44" t="s">
        <v>114</v>
      </c>
      <c r="H33" s="36">
        <v>5.0</v>
      </c>
      <c r="I33" s="20"/>
    </row>
    <row r="34" ht="15.75" customHeight="1">
      <c r="A34" s="36">
        <v>31.0</v>
      </c>
      <c r="B34" s="37" t="s">
        <v>117</v>
      </c>
      <c r="C34" s="38"/>
      <c r="D34" s="39" t="s">
        <v>102</v>
      </c>
      <c r="E34" s="36">
        <v>0.0</v>
      </c>
      <c r="F34" s="42">
        <v>17.0</v>
      </c>
      <c r="G34" s="44" t="s">
        <v>119</v>
      </c>
      <c r="H34" s="36">
        <v>6.0</v>
      </c>
      <c r="I34" s="20"/>
    </row>
    <row r="35" ht="15.75" customHeight="1">
      <c r="A35" s="36">
        <v>32.0</v>
      </c>
      <c r="B35" s="37" t="s">
        <v>120</v>
      </c>
      <c r="C35" s="38"/>
      <c r="D35" s="39" t="s">
        <v>102</v>
      </c>
      <c r="E35" s="36">
        <v>3527108.0</v>
      </c>
      <c r="F35" s="42">
        <v>1.0</v>
      </c>
      <c r="G35" s="44" t="s">
        <v>121</v>
      </c>
      <c r="H35" s="36">
        <v>7.0</v>
      </c>
      <c r="I35" s="20"/>
    </row>
    <row r="36" ht="15.75" customHeight="1">
      <c r="A36" s="36">
        <v>33.0</v>
      </c>
      <c r="B36" s="37" t="s">
        <v>122</v>
      </c>
      <c r="C36" s="38"/>
      <c r="D36" s="39" t="s">
        <v>102</v>
      </c>
      <c r="E36" s="36">
        <v>3527108.0</v>
      </c>
      <c r="F36" s="42">
        <v>2.0</v>
      </c>
      <c r="G36" s="44" t="s">
        <v>125</v>
      </c>
      <c r="H36" s="36">
        <v>11.0</v>
      </c>
      <c r="I36" s="20"/>
    </row>
    <row r="37" ht="15.75" customHeight="1">
      <c r="A37" s="36">
        <v>34.0</v>
      </c>
      <c r="B37" s="37" t="s">
        <v>127</v>
      </c>
      <c r="C37" s="38"/>
      <c r="D37" s="39" t="s">
        <v>102</v>
      </c>
      <c r="E37" s="36">
        <v>3527108.0</v>
      </c>
      <c r="F37" s="42">
        <v>3.0</v>
      </c>
      <c r="G37" s="44" t="s">
        <v>128</v>
      </c>
      <c r="H37" s="36">
        <v>3.0</v>
      </c>
      <c r="I37" s="20"/>
    </row>
    <row r="38" ht="15.75" customHeight="1">
      <c r="A38" s="36">
        <v>35.0</v>
      </c>
      <c r="B38" s="37" t="s">
        <v>129</v>
      </c>
      <c r="C38" s="38"/>
      <c r="D38" s="39" t="s">
        <v>102</v>
      </c>
      <c r="E38" s="36">
        <v>3527108.0</v>
      </c>
      <c r="F38" s="42">
        <v>4.0</v>
      </c>
      <c r="G38" s="44" t="s">
        <v>128</v>
      </c>
      <c r="H38" s="36">
        <v>4.0</v>
      </c>
      <c r="I38" s="20"/>
    </row>
    <row r="39" ht="15.75" customHeight="1">
      <c r="A39" s="36">
        <v>36.0</v>
      </c>
      <c r="B39" s="37" t="s">
        <v>134</v>
      </c>
      <c r="C39" s="38"/>
      <c r="D39" s="39" t="s">
        <v>102</v>
      </c>
      <c r="E39" s="36">
        <v>3527108.0</v>
      </c>
      <c r="F39" s="42">
        <v>7.0</v>
      </c>
      <c r="G39" s="44" t="s">
        <v>136</v>
      </c>
      <c r="H39" s="36">
        <v>1.0</v>
      </c>
      <c r="I39" s="20"/>
    </row>
    <row r="40" ht="15.75" customHeight="1">
      <c r="A40" s="36">
        <v>37.0</v>
      </c>
      <c r="B40" s="37" t="s">
        <v>137</v>
      </c>
      <c r="C40" s="38"/>
      <c r="D40" s="39" t="s">
        <v>102</v>
      </c>
      <c r="E40" s="36">
        <v>3527108.0</v>
      </c>
      <c r="F40" s="42">
        <v>12.0</v>
      </c>
      <c r="G40" s="44" t="s">
        <v>66</v>
      </c>
      <c r="H40" s="36">
        <v>4.0</v>
      </c>
      <c r="I40" s="20"/>
    </row>
    <row r="41" ht="15.75" customHeight="1">
      <c r="A41" s="36">
        <v>38.0</v>
      </c>
      <c r="B41" s="37" t="s">
        <v>139</v>
      </c>
      <c r="C41" s="38"/>
      <c r="D41" s="39" t="s">
        <v>102</v>
      </c>
      <c r="E41" s="36">
        <v>3527108.0</v>
      </c>
      <c r="F41" s="42">
        <v>14.0</v>
      </c>
      <c r="G41" s="44" t="s">
        <v>142</v>
      </c>
      <c r="H41" s="36">
        <v>3.0</v>
      </c>
      <c r="I41" s="20"/>
    </row>
    <row r="42" ht="15.75" customHeight="1">
      <c r="A42" s="36">
        <v>39.0</v>
      </c>
      <c r="B42" s="37" t="s">
        <v>143</v>
      </c>
      <c r="C42" s="38"/>
      <c r="D42" s="39" t="s">
        <v>102</v>
      </c>
      <c r="E42" s="36">
        <v>3527108.0</v>
      </c>
      <c r="F42" s="42">
        <v>17.0</v>
      </c>
      <c r="G42" s="44" t="s">
        <v>144</v>
      </c>
      <c r="H42" s="36">
        <v>12.0</v>
      </c>
      <c r="I42" s="20"/>
    </row>
    <row r="43" ht="15.75" customHeight="1">
      <c r="A43" s="36">
        <v>40.0</v>
      </c>
      <c r="B43" s="37" t="s">
        <v>145</v>
      </c>
      <c r="C43" s="38"/>
      <c r="D43" s="39" t="s">
        <v>102</v>
      </c>
      <c r="E43" s="36">
        <v>3527108.0</v>
      </c>
      <c r="F43" s="42">
        <v>42.0</v>
      </c>
      <c r="G43" s="44" t="s">
        <v>146</v>
      </c>
      <c r="H43" s="36">
        <v>6.0</v>
      </c>
      <c r="I43" s="20"/>
    </row>
    <row r="44" ht="15.75" customHeight="1">
      <c r="A44" s="36">
        <v>41.0</v>
      </c>
      <c r="B44" s="37" t="s">
        <v>147</v>
      </c>
      <c r="C44" s="38"/>
      <c r="D44" s="39" t="s">
        <v>102</v>
      </c>
      <c r="E44" s="36">
        <v>3553302.0</v>
      </c>
      <c r="F44" s="42">
        <v>4.0</v>
      </c>
      <c r="G44" s="44" t="s">
        <v>150</v>
      </c>
      <c r="H44" s="36">
        <v>4.0</v>
      </c>
      <c r="I44" s="20"/>
    </row>
    <row r="45" ht="15.75" customHeight="1">
      <c r="A45" s="36">
        <v>42.0</v>
      </c>
      <c r="B45" s="37" t="s">
        <v>146</v>
      </c>
      <c r="C45" s="38"/>
      <c r="D45" s="39" t="s">
        <v>102</v>
      </c>
      <c r="E45" s="36">
        <v>3553302.0</v>
      </c>
      <c r="F45" s="42">
        <v>7.0</v>
      </c>
      <c r="G45" s="44" t="s">
        <v>136</v>
      </c>
      <c r="H45" s="36">
        <v>1.0</v>
      </c>
      <c r="I45" s="20"/>
    </row>
    <row r="46" ht="15.75" customHeight="1">
      <c r="A46" s="36">
        <v>43.0</v>
      </c>
      <c r="B46" s="37" t="s">
        <v>155</v>
      </c>
      <c r="C46" s="38"/>
      <c r="D46" s="39" t="s">
        <v>102</v>
      </c>
      <c r="E46" s="36">
        <v>3553302.0</v>
      </c>
      <c r="F46" s="42">
        <v>12.0</v>
      </c>
      <c r="G46" s="44" t="s">
        <v>66</v>
      </c>
      <c r="H46" s="36">
        <v>3.0</v>
      </c>
      <c r="I46" s="20"/>
    </row>
    <row r="47" ht="15.75" customHeight="1">
      <c r="A47" s="36">
        <v>51.0</v>
      </c>
      <c r="B47" s="37" t="s">
        <v>156</v>
      </c>
      <c r="C47" s="38"/>
      <c r="D47" s="39" t="s">
        <v>102</v>
      </c>
      <c r="E47" s="36">
        <v>3553302.0</v>
      </c>
      <c r="F47" s="42">
        <v>14.0</v>
      </c>
      <c r="G47" s="44" t="s">
        <v>142</v>
      </c>
      <c r="H47" s="36">
        <v>2.0</v>
      </c>
      <c r="I47" s="20"/>
    </row>
    <row r="48" ht="15.75" customHeight="1">
      <c r="A48" s="36">
        <v>52.0</v>
      </c>
      <c r="B48" s="37" t="s">
        <v>160</v>
      </c>
      <c r="C48" s="38"/>
      <c r="D48" s="39" t="s">
        <v>102</v>
      </c>
      <c r="E48" s="36">
        <v>3553302.0</v>
      </c>
      <c r="F48" s="42">
        <v>17.0</v>
      </c>
      <c r="G48" s="44" t="s">
        <v>161</v>
      </c>
      <c r="H48" s="36">
        <v>5.0</v>
      </c>
      <c r="I48" s="20"/>
    </row>
    <row r="49" ht="15.75" customHeight="1">
      <c r="A49" s="36">
        <v>58.0</v>
      </c>
      <c r="B49" s="37" t="s">
        <v>162</v>
      </c>
      <c r="C49" s="38"/>
      <c r="D49" s="39" t="s">
        <v>163</v>
      </c>
      <c r="E49" s="36">
        <v>0.0</v>
      </c>
      <c r="F49" s="42">
        <v>3.0</v>
      </c>
      <c r="G49" s="44" t="s">
        <v>50</v>
      </c>
      <c r="H49" s="36">
        <v>3.0</v>
      </c>
      <c r="I49" s="20"/>
    </row>
    <row r="50" ht="15.75" customHeight="1">
      <c r="A50" s="36">
        <v>59.0</v>
      </c>
      <c r="B50" s="37" t="s">
        <v>166</v>
      </c>
      <c r="C50" s="38"/>
      <c r="D50" s="39" t="s">
        <v>163</v>
      </c>
      <c r="E50" s="36">
        <v>0.0</v>
      </c>
      <c r="F50" s="42">
        <v>4.0</v>
      </c>
      <c r="G50" s="44" t="s">
        <v>52</v>
      </c>
      <c r="H50" s="36">
        <v>5.0</v>
      </c>
      <c r="I50" s="20"/>
    </row>
    <row r="51" ht="15.75" customHeight="1">
      <c r="A51" s="36">
        <v>61.0</v>
      </c>
      <c r="B51" s="37" t="s">
        <v>170</v>
      </c>
      <c r="C51" s="38"/>
      <c r="D51" s="39" t="s">
        <v>163</v>
      </c>
      <c r="E51" s="36">
        <v>0.0</v>
      </c>
      <c r="F51" s="42">
        <v>5.0</v>
      </c>
      <c r="G51" s="44" t="s">
        <v>54</v>
      </c>
      <c r="H51" s="36">
        <v>6.0</v>
      </c>
      <c r="I51" s="20"/>
    </row>
    <row r="52" ht="15.75" customHeight="1">
      <c r="A52" s="36">
        <v>62.0</v>
      </c>
      <c r="B52" s="37" t="s">
        <v>172</v>
      </c>
      <c r="C52" s="38"/>
      <c r="D52" s="39" t="s">
        <v>163</v>
      </c>
      <c r="E52" s="36">
        <v>0.0</v>
      </c>
      <c r="F52" s="42">
        <v>6.0</v>
      </c>
      <c r="G52" s="44" t="s">
        <v>57</v>
      </c>
      <c r="H52" s="36">
        <v>7.0</v>
      </c>
      <c r="I52" s="20"/>
    </row>
    <row r="53" ht="15.75" customHeight="1">
      <c r="A53" s="36">
        <v>63.0</v>
      </c>
      <c r="B53" s="37" t="s">
        <v>173</v>
      </c>
      <c r="C53" s="38"/>
      <c r="D53" s="39" t="s">
        <v>163</v>
      </c>
      <c r="E53" s="36">
        <v>0.0</v>
      </c>
      <c r="F53" s="42">
        <v>7.0</v>
      </c>
      <c r="G53" s="44" t="s">
        <v>59</v>
      </c>
      <c r="H53" s="36">
        <v>1.0</v>
      </c>
      <c r="I53" s="20"/>
    </row>
    <row r="54" ht="15.75" customHeight="1">
      <c r="A54" s="36">
        <v>64.0</v>
      </c>
      <c r="B54" s="37" t="s">
        <v>174</v>
      </c>
      <c r="C54" s="38"/>
      <c r="D54" s="39" t="s">
        <v>163</v>
      </c>
      <c r="E54" s="36">
        <v>0.0</v>
      </c>
      <c r="F54" s="42">
        <v>8.0</v>
      </c>
      <c r="G54" s="44" t="s">
        <v>62</v>
      </c>
      <c r="H54" s="36">
        <v>2.0</v>
      </c>
      <c r="I54" s="20"/>
    </row>
    <row r="55" ht="15.75" customHeight="1">
      <c r="A55" s="36">
        <v>68.0</v>
      </c>
      <c r="B55" s="37" t="s">
        <v>175</v>
      </c>
      <c r="C55" s="38"/>
      <c r="D55" s="39" t="s">
        <v>163</v>
      </c>
      <c r="E55" s="36">
        <v>0.0</v>
      </c>
      <c r="F55" s="42">
        <v>9.0</v>
      </c>
      <c r="G55" s="44" t="s">
        <v>63</v>
      </c>
      <c r="H55" s="36">
        <v>4.0</v>
      </c>
      <c r="I55" s="20"/>
    </row>
    <row r="56" ht="15.75" customHeight="1">
      <c r="A56" s="36">
        <v>69.0</v>
      </c>
      <c r="B56" s="37" t="s">
        <v>176</v>
      </c>
      <c r="C56" s="38"/>
      <c r="D56" s="39" t="s">
        <v>177</v>
      </c>
      <c r="E56" s="36">
        <v>0.0</v>
      </c>
      <c r="F56" s="42">
        <v>1.0</v>
      </c>
      <c r="G56" s="44" t="s">
        <v>43</v>
      </c>
      <c r="H56" s="36">
        <v>1.0</v>
      </c>
      <c r="I56" s="20"/>
    </row>
    <row r="57" ht="15.75" customHeight="1">
      <c r="A57" s="36">
        <v>78.0</v>
      </c>
      <c r="B57" s="37" t="s">
        <v>180</v>
      </c>
      <c r="C57" s="38"/>
      <c r="D57" s="39" t="s">
        <v>177</v>
      </c>
      <c r="E57" s="36">
        <v>0.0</v>
      </c>
      <c r="F57" s="42">
        <v>2.0</v>
      </c>
      <c r="G57" s="44" t="s">
        <v>47</v>
      </c>
      <c r="H57" s="36">
        <v>2.0</v>
      </c>
      <c r="I57" s="20"/>
    </row>
    <row r="58" ht="15.75" customHeight="1">
      <c r="A58" s="36">
        <v>511.0</v>
      </c>
      <c r="B58" s="37" t="s">
        <v>182</v>
      </c>
      <c r="C58" s="38"/>
      <c r="D58" s="39" t="s">
        <v>177</v>
      </c>
      <c r="E58" s="36">
        <v>0.0</v>
      </c>
      <c r="F58" s="42">
        <v>3.0</v>
      </c>
      <c r="G58" s="44" t="s">
        <v>50</v>
      </c>
      <c r="H58" s="36">
        <v>3.0</v>
      </c>
      <c r="I58" s="20"/>
    </row>
    <row r="59" ht="15.75" customHeight="1">
      <c r="A59" s="36">
        <v>512.0</v>
      </c>
      <c r="B59" s="37" t="s">
        <v>184</v>
      </c>
      <c r="C59" s="38"/>
      <c r="D59" s="39" t="s">
        <v>177</v>
      </c>
      <c r="E59" s="36">
        <v>0.0</v>
      </c>
      <c r="F59" s="42">
        <v>4.0</v>
      </c>
      <c r="G59" s="44" t="s">
        <v>51</v>
      </c>
      <c r="H59" s="36">
        <v>4.0</v>
      </c>
      <c r="I59" s="20"/>
    </row>
    <row r="60" ht="15.75" customHeight="1">
      <c r="A60" s="36">
        <v>521.0</v>
      </c>
      <c r="B60" s="37" t="s">
        <v>185</v>
      </c>
      <c r="C60" s="38"/>
      <c r="D60" s="39" t="s">
        <v>177</v>
      </c>
      <c r="E60" s="36">
        <v>0.0</v>
      </c>
      <c r="F60" s="42">
        <v>5.0</v>
      </c>
      <c r="G60" s="44" t="s">
        <v>54</v>
      </c>
      <c r="H60" s="36">
        <v>5.0</v>
      </c>
      <c r="I60" s="20"/>
    </row>
    <row r="61" ht="15.75" customHeight="1">
      <c r="A61" s="36">
        <v>522.0</v>
      </c>
      <c r="B61" s="37" t="s">
        <v>186</v>
      </c>
      <c r="C61" s="38"/>
      <c r="D61" s="39" t="s">
        <v>177</v>
      </c>
      <c r="E61" s="36">
        <v>0.0</v>
      </c>
      <c r="F61" s="42">
        <v>6.0</v>
      </c>
      <c r="G61" s="44" t="s">
        <v>57</v>
      </c>
      <c r="H61" s="36">
        <v>6.0</v>
      </c>
      <c r="I61" s="20"/>
    </row>
    <row r="62" ht="15.75" customHeight="1">
      <c r="A62" s="36">
        <v>611.0</v>
      </c>
      <c r="B62" s="37" t="s">
        <v>187</v>
      </c>
      <c r="C62" s="38"/>
      <c r="D62" s="39" t="s">
        <v>177</v>
      </c>
      <c r="E62" s="36">
        <v>0.0</v>
      </c>
      <c r="F62" s="42">
        <v>8.0</v>
      </c>
      <c r="G62" s="44" t="s">
        <v>62</v>
      </c>
      <c r="H62" s="36">
        <v>7.0</v>
      </c>
      <c r="I62" s="20"/>
    </row>
    <row r="63" ht="15.75" customHeight="1">
      <c r="A63" s="36">
        <v>612.0</v>
      </c>
      <c r="B63" s="37" t="s">
        <v>189</v>
      </c>
      <c r="C63" s="38"/>
      <c r="D63" s="39" t="s">
        <v>177</v>
      </c>
      <c r="E63" s="36">
        <v>0.0</v>
      </c>
      <c r="F63" s="42">
        <v>11.0</v>
      </c>
      <c r="G63" s="44" t="s">
        <v>65</v>
      </c>
      <c r="H63" s="36">
        <v>8.0</v>
      </c>
      <c r="I63" s="20"/>
    </row>
    <row r="64" ht="15.75" customHeight="1">
      <c r="A64" s="36">
        <v>621.0</v>
      </c>
      <c r="B64" s="37" t="s">
        <v>191</v>
      </c>
      <c r="C64" s="38"/>
      <c r="D64" s="39" t="s">
        <v>192</v>
      </c>
      <c r="E64" s="36">
        <v>0.0</v>
      </c>
      <c r="F64" s="42">
        <v>1.0</v>
      </c>
      <c r="G64" s="44" t="s">
        <v>43</v>
      </c>
      <c r="H64" s="36">
        <v>1.0</v>
      </c>
      <c r="I64" s="20"/>
    </row>
    <row r="65" ht="15.75" customHeight="1">
      <c r="A65" s="36">
        <v>622.0</v>
      </c>
      <c r="B65" s="37" t="s">
        <v>195</v>
      </c>
      <c r="C65" s="38"/>
      <c r="D65" s="39" t="s">
        <v>192</v>
      </c>
      <c r="E65" s="36">
        <v>0.0</v>
      </c>
      <c r="F65" s="42">
        <v>2.0</v>
      </c>
      <c r="G65" s="44" t="s">
        <v>47</v>
      </c>
      <c r="H65" s="36">
        <v>2.0</v>
      </c>
      <c r="I65" s="20"/>
    </row>
    <row r="66" ht="15.75" customHeight="1">
      <c r="A66" s="36">
        <v>911.0</v>
      </c>
      <c r="B66" s="37" t="s">
        <v>196</v>
      </c>
      <c r="C66" s="38"/>
      <c r="D66" s="39" t="s">
        <v>192</v>
      </c>
      <c r="E66" s="36">
        <v>0.0</v>
      </c>
      <c r="F66" s="42">
        <v>3.0</v>
      </c>
      <c r="G66" s="44" t="s">
        <v>50</v>
      </c>
      <c r="H66" s="36">
        <v>3.0</v>
      </c>
      <c r="I66" s="20"/>
    </row>
    <row r="67" ht="15.75" customHeight="1">
      <c r="A67" s="36">
        <v>912.0</v>
      </c>
      <c r="B67" s="37" t="s">
        <v>199</v>
      </c>
      <c r="C67" s="38"/>
      <c r="D67" s="39" t="s">
        <v>192</v>
      </c>
      <c r="E67" s="36">
        <v>0.0</v>
      </c>
      <c r="F67" s="42">
        <v>4.0</v>
      </c>
      <c r="G67" s="44" t="s">
        <v>51</v>
      </c>
      <c r="H67" s="36">
        <v>4.0</v>
      </c>
      <c r="I67" s="20"/>
    </row>
    <row r="68" ht="15.75" customHeight="1">
      <c r="A68" s="36">
        <v>501.0</v>
      </c>
      <c r="B68" s="37" t="s">
        <v>200</v>
      </c>
      <c r="C68" s="38"/>
      <c r="D68" s="39" t="s">
        <v>192</v>
      </c>
      <c r="E68" s="36">
        <v>0.0</v>
      </c>
      <c r="F68" s="42">
        <v>5.0</v>
      </c>
      <c r="G68" s="44" t="s">
        <v>54</v>
      </c>
      <c r="H68" s="36">
        <v>5.0</v>
      </c>
      <c r="I68" s="20"/>
    </row>
    <row r="69" ht="15.75" customHeight="1">
      <c r="A69" s="36">
        <v>502.0</v>
      </c>
      <c r="B69" s="37" t="s">
        <v>201</v>
      </c>
      <c r="C69" s="38"/>
      <c r="D69" s="39" t="s">
        <v>192</v>
      </c>
      <c r="E69" s="36">
        <v>0.0</v>
      </c>
      <c r="F69" s="42">
        <v>6.0</v>
      </c>
      <c r="G69" s="44" t="s">
        <v>57</v>
      </c>
      <c r="H69" s="36">
        <v>6.0</v>
      </c>
      <c r="I69" s="20"/>
    </row>
    <row r="70" ht="15.75" customHeight="1">
      <c r="A70" s="36">
        <v>551.0</v>
      </c>
      <c r="B70" s="37" t="s">
        <v>202</v>
      </c>
      <c r="C70" s="38"/>
      <c r="D70" s="39" t="s">
        <v>192</v>
      </c>
      <c r="E70" s="36">
        <v>0.0</v>
      </c>
      <c r="F70" s="42">
        <v>8.0</v>
      </c>
      <c r="G70" s="44" t="s">
        <v>62</v>
      </c>
      <c r="H70" s="36">
        <v>7.0</v>
      </c>
      <c r="I70" s="20"/>
    </row>
    <row r="71" ht="15.75" customHeight="1">
      <c r="A71" s="36">
        <v>601.0</v>
      </c>
      <c r="B71" s="37" t="s">
        <v>204</v>
      </c>
      <c r="C71" s="38"/>
      <c r="D71" s="39" t="s">
        <v>192</v>
      </c>
      <c r="E71" s="36">
        <v>0.0</v>
      </c>
      <c r="F71" s="42">
        <v>11.0</v>
      </c>
      <c r="G71" s="44" t="s">
        <v>65</v>
      </c>
      <c r="H71" s="36">
        <v>8.0</v>
      </c>
      <c r="I71" s="20"/>
    </row>
    <row r="72" ht="15.75" customHeight="1">
      <c r="A72" s="36">
        <v>701.0</v>
      </c>
      <c r="B72" s="37" t="s">
        <v>206</v>
      </c>
      <c r="C72" s="38"/>
      <c r="D72" s="39" t="s">
        <v>207</v>
      </c>
      <c r="E72" s="36">
        <v>0.0</v>
      </c>
      <c r="F72" s="42">
        <v>3.0</v>
      </c>
      <c r="G72" s="44" t="s">
        <v>50</v>
      </c>
      <c r="H72" s="36">
        <v>3.0</v>
      </c>
      <c r="I72" s="20"/>
    </row>
    <row r="73" ht="15.75" customHeight="1">
      <c r="A73" s="70"/>
      <c r="B73" s="1"/>
      <c r="C73" s="38"/>
      <c r="D73" s="39" t="s">
        <v>207</v>
      </c>
      <c r="E73" s="36">
        <v>0.0</v>
      </c>
      <c r="F73" s="42">
        <v>4.0</v>
      </c>
      <c r="G73" s="44" t="s">
        <v>52</v>
      </c>
      <c r="H73" s="36">
        <v>5.0</v>
      </c>
      <c r="I73" s="20"/>
    </row>
    <row r="74" ht="15.75" customHeight="1">
      <c r="A74" s="70"/>
      <c r="B74" s="1"/>
      <c r="C74" s="38"/>
      <c r="D74" s="39" t="s">
        <v>207</v>
      </c>
      <c r="E74" s="36">
        <v>0.0</v>
      </c>
      <c r="F74" s="42">
        <v>5.0</v>
      </c>
      <c r="G74" s="44" t="s">
        <v>54</v>
      </c>
      <c r="H74" s="36">
        <v>6.0</v>
      </c>
      <c r="I74" s="20"/>
    </row>
    <row r="75" ht="15.75" customHeight="1">
      <c r="A75" s="70"/>
      <c r="B75" s="1"/>
      <c r="C75" s="38"/>
      <c r="D75" s="39" t="s">
        <v>207</v>
      </c>
      <c r="E75" s="36">
        <v>0.0</v>
      </c>
      <c r="F75" s="42">
        <v>6.0</v>
      </c>
      <c r="G75" s="44" t="s">
        <v>213</v>
      </c>
      <c r="H75" s="36">
        <v>7.0</v>
      </c>
      <c r="I75" s="20"/>
    </row>
    <row r="76" ht="15.75" customHeight="1">
      <c r="A76" s="70"/>
      <c r="B76" s="1"/>
      <c r="C76" s="38"/>
      <c r="D76" s="39" t="s">
        <v>207</v>
      </c>
      <c r="E76" s="36">
        <v>0.0</v>
      </c>
      <c r="F76" s="42">
        <v>7.0</v>
      </c>
      <c r="G76" s="44" t="s">
        <v>59</v>
      </c>
      <c r="H76" s="36">
        <v>1.0</v>
      </c>
      <c r="I76" s="20"/>
    </row>
    <row r="77" ht="15.75" customHeight="1">
      <c r="A77" s="70"/>
      <c r="B77" s="1"/>
      <c r="C77" s="38"/>
      <c r="D77" s="39" t="s">
        <v>207</v>
      </c>
      <c r="E77" s="36">
        <v>0.0</v>
      </c>
      <c r="F77" s="42">
        <v>8.0</v>
      </c>
      <c r="G77" s="44" t="s">
        <v>225</v>
      </c>
      <c r="H77" s="36">
        <v>2.0</v>
      </c>
      <c r="I77" s="20"/>
    </row>
    <row r="78" ht="15.75" customHeight="1">
      <c r="A78" s="70"/>
      <c r="B78" s="1"/>
      <c r="C78" s="38"/>
      <c r="D78" s="39" t="s">
        <v>207</v>
      </c>
      <c r="E78" s="36">
        <v>0.0</v>
      </c>
      <c r="F78" s="42">
        <v>9.0</v>
      </c>
      <c r="G78" s="44" t="s">
        <v>63</v>
      </c>
      <c r="H78" s="36">
        <v>4.0</v>
      </c>
      <c r="I78" s="20"/>
    </row>
    <row r="79" ht="15.75" customHeight="1">
      <c r="A79" s="70"/>
      <c r="B79" s="1"/>
      <c r="C79" s="38"/>
      <c r="D79" s="39" t="s">
        <v>226</v>
      </c>
      <c r="E79" s="36">
        <v>0.0</v>
      </c>
      <c r="F79" s="42">
        <v>1.0</v>
      </c>
      <c r="G79" s="44" t="s">
        <v>43</v>
      </c>
      <c r="H79" s="36">
        <v>1.0</v>
      </c>
      <c r="I79" s="20"/>
    </row>
    <row r="80" ht="15.75" customHeight="1">
      <c r="A80" s="70"/>
      <c r="B80" s="1"/>
      <c r="C80" s="38"/>
      <c r="D80" s="39" t="s">
        <v>226</v>
      </c>
      <c r="E80" s="36">
        <v>0.0</v>
      </c>
      <c r="F80" s="42">
        <v>2.0</v>
      </c>
      <c r="G80" s="44" t="s">
        <v>47</v>
      </c>
      <c r="H80" s="36">
        <v>2.0</v>
      </c>
      <c r="I80" s="20"/>
    </row>
    <row r="81" ht="15.75" customHeight="1">
      <c r="A81" s="70"/>
      <c r="B81" s="1"/>
      <c r="C81" s="38"/>
      <c r="D81" s="39" t="s">
        <v>226</v>
      </c>
      <c r="E81" s="36">
        <v>0.0</v>
      </c>
      <c r="F81" s="42">
        <v>3.0</v>
      </c>
      <c r="G81" s="44" t="s">
        <v>50</v>
      </c>
      <c r="H81" s="36">
        <v>3.0</v>
      </c>
      <c r="I81" s="20"/>
    </row>
    <row r="82" ht="15.75" customHeight="1">
      <c r="A82" s="70"/>
      <c r="B82" s="1"/>
      <c r="C82" s="38"/>
      <c r="D82" s="39" t="s">
        <v>226</v>
      </c>
      <c r="E82" s="36">
        <v>0.0</v>
      </c>
      <c r="F82" s="42">
        <v>4.0</v>
      </c>
      <c r="G82" s="44" t="s">
        <v>51</v>
      </c>
      <c r="H82" s="36">
        <v>4.0</v>
      </c>
      <c r="I82" s="20"/>
    </row>
    <row r="83" ht="15.75" customHeight="1">
      <c r="A83" s="70"/>
      <c r="B83" s="1"/>
      <c r="C83" s="38"/>
      <c r="D83" s="39" t="s">
        <v>226</v>
      </c>
      <c r="E83" s="36">
        <v>0.0</v>
      </c>
      <c r="F83" s="42">
        <v>5.0</v>
      </c>
      <c r="G83" s="44" t="s">
        <v>54</v>
      </c>
      <c r="H83" s="36">
        <v>5.0</v>
      </c>
      <c r="I83" s="20"/>
    </row>
    <row r="84" ht="15.75" customHeight="1">
      <c r="A84" s="70"/>
      <c r="B84" s="1"/>
      <c r="C84" s="38"/>
      <c r="D84" s="39" t="s">
        <v>226</v>
      </c>
      <c r="E84" s="36">
        <v>0.0</v>
      </c>
      <c r="F84" s="42">
        <v>6.0</v>
      </c>
      <c r="G84" s="44" t="s">
        <v>57</v>
      </c>
      <c r="H84" s="36">
        <v>6.0</v>
      </c>
      <c r="I84" s="20"/>
    </row>
    <row r="85" ht="15.75" customHeight="1">
      <c r="A85" s="70"/>
      <c r="B85" s="1"/>
      <c r="C85" s="38"/>
      <c r="D85" s="39" t="s">
        <v>232</v>
      </c>
      <c r="E85" s="36">
        <v>0.0</v>
      </c>
      <c r="F85" s="42">
        <v>1.0</v>
      </c>
      <c r="G85" s="44" t="s">
        <v>43</v>
      </c>
      <c r="H85" s="36">
        <v>1.0</v>
      </c>
      <c r="I85" s="20"/>
    </row>
    <row r="86" ht="15.75" customHeight="1">
      <c r="A86" s="70"/>
      <c r="B86" s="1"/>
      <c r="C86" s="38"/>
      <c r="D86" s="39" t="s">
        <v>232</v>
      </c>
      <c r="E86" s="36">
        <v>0.0</v>
      </c>
      <c r="F86" s="42">
        <v>2.0</v>
      </c>
      <c r="G86" s="44" t="s">
        <v>47</v>
      </c>
      <c r="H86" s="36">
        <v>2.0</v>
      </c>
      <c r="I86" s="20"/>
    </row>
    <row r="87" ht="15.75" customHeight="1">
      <c r="A87" s="70"/>
      <c r="B87" s="1"/>
      <c r="C87" s="38"/>
      <c r="D87" s="39" t="s">
        <v>232</v>
      </c>
      <c r="E87" s="36">
        <v>0.0</v>
      </c>
      <c r="F87" s="42">
        <v>3.0</v>
      </c>
      <c r="G87" s="44" t="s">
        <v>50</v>
      </c>
      <c r="H87" s="36">
        <v>3.0</v>
      </c>
      <c r="I87" s="20"/>
    </row>
    <row r="88" ht="15.75" customHeight="1">
      <c r="A88" s="70"/>
      <c r="B88" s="1"/>
      <c r="C88" s="38"/>
      <c r="D88" s="39" t="s">
        <v>232</v>
      </c>
      <c r="E88" s="36">
        <v>0.0</v>
      </c>
      <c r="F88" s="42">
        <v>4.0</v>
      </c>
      <c r="G88" s="44" t="s">
        <v>51</v>
      </c>
      <c r="H88" s="36">
        <v>5.0</v>
      </c>
      <c r="I88" s="20"/>
    </row>
    <row r="89" ht="15.75" customHeight="1">
      <c r="A89" s="70"/>
      <c r="B89" s="1"/>
      <c r="C89" s="38"/>
      <c r="D89" s="39" t="s">
        <v>234</v>
      </c>
      <c r="E89" s="36">
        <v>0.0</v>
      </c>
      <c r="F89" s="42">
        <v>1.0</v>
      </c>
      <c r="G89" s="44" t="s">
        <v>235</v>
      </c>
      <c r="H89" s="36">
        <v>1.0</v>
      </c>
      <c r="I89" s="20"/>
    </row>
    <row r="90" ht="15.75" customHeight="1">
      <c r="A90" s="70"/>
      <c r="B90" s="1"/>
      <c r="C90" s="38"/>
      <c r="D90" s="39" t="s">
        <v>234</v>
      </c>
      <c r="E90" s="36">
        <v>0.0</v>
      </c>
      <c r="F90" s="42">
        <v>2.0</v>
      </c>
      <c r="G90" s="44" t="s">
        <v>236</v>
      </c>
      <c r="H90" s="36">
        <v>4.0</v>
      </c>
      <c r="I90" s="20"/>
    </row>
    <row r="91" ht="15.75" customHeight="1">
      <c r="A91" s="70"/>
      <c r="B91" s="1"/>
      <c r="C91" s="38"/>
      <c r="D91" s="39" t="s">
        <v>234</v>
      </c>
      <c r="E91" s="36">
        <v>0.0</v>
      </c>
      <c r="F91" s="42">
        <v>18.0</v>
      </c>
      <c r="G91" s="44" t="s">
        <v>237</v>
      </c>
      <c r="H91" s="36">
        <v>2.0</v>
      </c>
      <c r="I91" s="20"/>
    </row>
    <row r="92" ht="15.75" customHeight="1">
      <c r="A92" s="70"/>
      <c r="B92" s="1"/>
      <c r="C92" s="38"/>
      <c r="D92" s="39" t="s">
        <v>234</v>
      </c>
      <c r="E92" s="36">
        <v>0.0</v>
      </c>
      <c r="F92" s="42">
        <v>19.0</v>
      </c>
      <c r="G92" s="44" t="s">
        <v>82</v>
      </c>
      <c r="H92" s="36">
        <v>3.0</v>
      </c>
      <c r="I92" s="20"/>
    </row>
    <row r="93" ht="15.75" customHeight="1">
      <c r="A93" s="70"/>
      <c r="B93" s="1"/>
      <c r="C93" s="38"/>
      <c r="D93" s="39" t="s">
        <v>239</v>
      </c>
      <c r="E93" s="36">
        <v>0.0</v>
      </c>
      <c r="F93" s="42">
        <v>3.0</v>
      </c>
      <c r="G93" s="44" t="s">
        <v>50</v>
      </c>
      <c r="H93" s="36">
        <v>3.0</v>
      </c>
      <c r="I93" s="20"/>
    </row>
    <row r="94" ht="15.75" customHeight="1">
      <c r="A94" s="70"/>
      <c r="B94" s="1"/>
      <c r="C94" s="38"/>
      <c r="D94" s="39" t="s">
        <v>239</v>
      </c>
      <c r="E94" s="36">
        <v>0.0</v>
      </c>
      <c r="F94" s="42">
        <v>4.0</v>
      </c>
      <c r="G94" s="44" t="s">
        <v>52</v>
      </c>
      <c r="H94" s="36">
        <v>5.0</v>
      </c>
      <c r="I94" s="20"/>
    </row>
    <row r="95" ht="15.75" customHeight="1">
      <c r="A95" s="70"/>
      <c r="B95" s="1"/>
      <c r="C95" s="38"/>
      <c r="D95" s="39" t="s">
        <v>239</v>
      </c>
      <c r="E95" s="36">
        <v>0.0</v>
      </c>
      <c r="F95" s="42">
        <v>5.0</v>
      </c>
      <c r="G95" s="44" t="s">
        <v>54</v>
      </c>
      <c r="H95" s="36">
        <v>6.0</v>
      </c>
      <c r="I95" s="20"/>
    </row>
    <row r="96" ht="15.75" customHeight="1">
      <c r="A96" s="70"/>
      <c r="B96" s="1"/>
      <c r="C96" s="38"/>
      <c r="D96" s="39" t="s">
        <v>239</v>
      </c>
      <c r="E96" s="36">
        <v>0.0</v>
      </c>
      <c r="F96" s="42">
        <v>6.0</v>
      </c>
      <c r="G96" s="44" t="s">
        <v>57</v>
      </c>
      <c r="H96" s="36">
        <v>7.0</v>
      </c>
      <c r="I96" s="20"/>
    </row>
    <row r="97" ht="15.75" customHeight="1">
      <c r="A97" s="70"/>
      <c r="B97" s="1"/>
      <c r="C97" s="38"/>
      <c r="D97" s="39" t="s">
        <v>239</v>
      </c>
      <c r="E97" s="36">
        <v>0.0</v>
      </c>
      <c r="F97" s="42">
        <v>7.0</v>
      </c>
      <c r="G97" s="44" t="s">
        <v>59</v>
      </c>
      <c r="H97" s="36">
        <v>1.0</v>
      </c>
      <c r="I97" s="20"/>
    </row>
    <row r="98" ht="15.75" customHeight="1">
      <c r="A98" s="70"/>
      <c r="B98" s="1"/>
      <c r="C98" s="38"/>
      <c r="D98" s="39" t="s">
        <v>239</v>
      </c>
      <c r="E98" s="36">
        <v>0.0</v>
      </c>
      <c r="F98" s="42">
        <v>8.0</v>
      </c>
      <c r="G98" s="44" t="s">
        <v>62</v>
      </c>
      <c r="H98" s="36">
        <v>2.0</v>
      </c>
      <c r="I98" s="20"/>
    </row>
    <row r="99" ht="15.75" customHeight="1">
      <c r="A99" s="70"/>
      <c r="B99" s="1"/>
      <c r="C99" s="38"/>
      <c r="D99" s="39" t="s">
        <v>239</v>
      </c>
      <c r="E99" s="36">
        <v>0.0</v>
      </c>
      <c r="F99" s="42">
        <v>9.0</v>
      </c>
      <c r="G99" s="44" t="s">
        <v>63</v>
      </c>
      <c r="H99" s="36">
        <v>4.0</v>
      </c>
      <c r="I99" s="20"/>
    </row>
    <row r="100" ht="15.75" customHeight="1">
      <c r="A100" s="70"/>
      <c r="B100" s="1"/>
      <c r="C100" s="38"/>
      <c r="D100" s="39" t="s">
        <v>241</v>
      </c>
      <c r="E100" s="36">
        <v>0.0</v>
      </c>
      <c r="F100" s="42">
        <v>1.0</v>
      </c>
      <c r="G100" s="44" t="s">
        <v>136</v>
      </c>
      <c r="H100" s="36">
        <v>1.0</v>
      </c>
      <c r="I100" s="20"/>
    </row>
    <row r="101" ht="15.75" customHeight="1">
      <c r="A101" s="70"/>
      <c r="B101" s="1"/>
      <c r="C101" s="38"/>
      <c r="D101" s="39" t="s">
        <v>241</v>
      </c>
      <c r="E101" s="36">
        <v>0.0</v>
      </c>
      <c r="F101" s="42">
        <v>12.0</v>
      </c>
      <c r="G101" s="44" t="s">
        <v>66</v>
      </c>
      <c r="H101" s="36">
        <v>4.0</v>
      </c>
      <c r="I101" s="20"/>
    </row>
    <row r="102" ht="15.75" customHeight="1">
      <c r="A102" s="70"/>
      <c r="B102" s="1"/>
      <c r="C102" s="38"/>
      <c r="D102" s="39" t="s">
        <v>241</v>
      </c>
      <c r="E102" s="36">
        <v>0.0</v>
      </c>
      <c r="F102" s="42">
        <v>15.0</v>
      </c>
      <c r="G102" s="44" t="s">
        <v>242</v>
      </c>
      <c r="H102" s="36">
        <v>3.0</v>
      </c>
      <c r="I102" s="20"/>
    </row>
    <row r="103" ht="15.75" customHeight="1">
      <c r="A103" s="70"/>
      <c r="B103" s="1"/>
      <c r="C103" s="38"/>
      <c r="D103" s="39" t="s">
        <v>241</v>
      </c>
      <c r="E103" s="36">
        <v>0.0</v>
      </c>
      <c r="F103" s="42">
        <v>17.0</v>
      </c>
      <c r="G103" s="44" t="s">
        <v>243</v>
      </c>
      <c r="H103" s="36">
        <v>6.0</v>
      </c>
      <c r="I103" s="20"/>
    </row>
    <row r="104" ht="15.75" customHeight="1">
      <c r="A104" s="70"/>
      <c r="B104" s="1"/>
      <c r="C104" s="38"/>
      <c r="D104" s="39" t="s">
        <v>241</v>
      </c>
      <c r="E104" s="36">
        <v>0.0</v>
      </c>
      <c r="F104" s="42">
        <v>502.0</v>
      </c>
      <c r="G104" s="44" t="s">
        <v>244</v>
      </c>
      <c r="H104" s="36">
        <v>7.0</v>
      </c>
      <c r="I104" s="20"/>
    </row>
    <row r="105" ht="15.75" customHeight="1">
      <c r="A105" s="70"/>
      <c r="B105" s="1"/>
      <c r="C105" s="38"/>
      <c r="D105" s="39" t="s">
        <v>245</v>
      </c>
      <c r="E105" s="36">
        <v>0.0</v>
      </c>
      <c r="F105" s="42">
        <v>1.0</v>
      </c>
      <c r="G105" s="44" t="s">
        <v>246</v>
      </c>
      <c r="H105" s="36">
        <v>1.0</v>
      </c>
      <c r="I105" s="20"/>
    </row>
    <row r="106" ht="15.75" customHeight="1">
      <c r="A106" s="70"/>
      <c r="B106" s="1"/>
      <c r="C106" s="38"/>
      <c r="D106" s="39" t="s">
        <v>245</v>
      </c>
      <c r="E106" s="36">
        <v>0.0</v>
      </c>
      <c r="F106" s="42">
        <v>3.0</v>
      </c>
      <c r="G106" s="44" t="s">
        <v>247</v>
      </c>
      <c r="H106" s="36">
        <v>2.0</v>
      </c>
      <c r="I106" s="20"/>
    </row>
    <row r="107" ht="15.75" customHeight="1">
      <c r="A107" s="70"/>
      <c r="B107" s="1"/>
      <c r="C107" s="38"/>
      <c r="D107" s="39" t="s">
        <v>245</v>
      </c>
      <c r="E107" s="36">
        <v>0.0</v>
      </c>
      <c r="F107" s="42">
        <v>5.0</v>
      </c>
      <c r="G107" s="44" t="s">
        <v>248</v>
      </c>
      <c r="H107" s="36">
        <v>3.0</v>
      </c>
      <c r="I107" s="20"/>
    </row>
    <row r="108" ht="15.75" customHeight="1">
      <c r="A108" s="70"/>
      <c r="B108" s="1"/>
      <c r="C108" s="38"/>
      <c r="D108" s="39" t="s">
        <v>245</v>
      </c>
      <c r="E108" s="36">
        <v>0.0</v>
      </c>
      <c r="F108" s="42">
        <v>6.0</v>
      </c>
      <c r="G108" s="44" t="s">
        <v>248</v>
      </c>
      <c r="H108" s="36">
        <v>3.0</v>
      </c>
      <c r="I108" s="20"/>
    </row>
    <row r="109" ht="15.75" customHeight="1">
      <c r="A109" s="70"/>
      <c r="B109" s="1"/>
      <c r="C109" s="38"/>
      <c r="D109" s="39" t="s">
        <v>245</v>
      </c>
      <c r="E109" s="36">
        <v>0.0</v>
      </c>
      <c r="F109" s="42">
        <v>10.0</v>
      </c>
      <c r="G109" s="44" t="s">
        <v>249</v>
      </c>
      <c r="H109" s="36">
        <v>5.0</v>
      </c>
      <c r="I109" s="20"/>
    </row>
    <row r="110" ht="15.75" customHeight="1">
      <c r="A110" s="70"/>
      <c r="B110" s="1"/>
      <c r="C110" s="38"/>
      <c r="D110" s="39" t="s">
        <v>245</v>
      </c>
      <c r="E110" s="36">
        <v>0.0</v>
      </c>
      <c r="F110" s="42">
        <v>12.0</v>
      </c>
      <c r="G110" s="44" t="s">
        <v>66</v>
      </c>
      <c r="H110" s="36">
        <v>4.0</v>
      </c>
      <c r="I110" s="20"/>
    </row>
    <row r="111" ht="15.75" customHeight="1">
      <c r="A111" s="70"/>
      <c r="B111" s="1"/>
      <c r="C111" s="38"/>
      <c r="D111" s="39" t="s">
        <v>245</v>
      </c>
      <c r="E111" s="36">
        <v>0.0</v>
      </c>
      <c r="F111" s="42">
        <v>13.0</v>
      </c>
      <c r="G111" s="44" t="s">
        <v>68</v>
      </c>
      <c r="H111" s="36">
        <v>6.0</v>
      </c>
      <c r="I111" s="20"/>
    </row>
    <row r="112" ht="15.75" customHeight="1">
      <c r="A112" s="70"/>
      <c r="B112" s="1"/>
      <c r="C112" s="38"/>
      <c r="D112" s="39" t="s">
        <v>250</v>
      </c>
      <c r="E112" s="36">
        <v>0.0</v>
      </c>
      <c r="F112" s="42">
        <v>2.0</v>
      </c>
      <c r="G112" s="44" t="s">
        <v>251</v>
      </c>
      <c r="H112" s="36">
        <v>0.0</v>
      </c>
      <c r="I112" s="20"/>
    </row>
    <row r="113" ht="15.75" customHeight="1">
      <c r="A113" s="70"/>
      <c r="B113" s="1"/>
      <c r="C113" s="38"/>
      <c r="D113" s="39" t="s">
        <v>250</v>
      </c>
      <c r="E113" s="36">
        <v>0.0</v>
      </c>
      <c r="F113" s="42">
        <v>7.0</v>
      </c>
      <c r="G113" s="44" t="s">
        <v>252</v>
      </c>
      <c r="H113" s="36">
        <v>2.0</v>
      </c>
      <c r="I113" s="20"/>
    </row>
    <row r="114" ht="15.75" customHeight="1">
      <c r="A114" s="70"/>
      <c r="B114" s="1"/>
      <c r="C114" s="38"/>
      <c r="D114" s="39" t="s">
        <v>250</v>
      </c>
      <c r="E114" s="36">
        <v>0.0</v>
      </c>
      <c r="F114" s="42">
        <v>12.0</v>
      </c>
      <c r="G114" s="44" t="s">
        <v>66</v>
      </c>
      <c r="H114" s="36">
        <v>3.0</v>
      </c>
      <c r="I114" s="20"/>
    </row>
    <row r="115" ht="15.75" customHeight="1">
      <c r="A115" s="70"/>
      <c r="B115" s="1"/>
      <c r="C115" s="38"/>
      <c r="D115" s="39" t="s">
        <v>250</v>
      </c>
      <c r="E115" s="36">
        <v>0.0</v>
      </c>
      <c r="F115" s="42">
        <v>15.0</v>
      </c>
      <c r="G115" s="44" t="s">
        <v>253</v>
      </c>
      <c r="H115" s="36">
        <v>1.0</v>
      </c>
      <c r="I115" s="20"/>
    </row>
    <row r="116" ht="15.75" customHeight="1">
      <c r="A116" s="70"/>
      <c r="B116" s="75"/>
      <c r="C116" s="38"/>
      <c r="D116" s="39" t="s">
        <v>250</v>
      </c>
      <c r="E116" s="36">
        <v>0.0</v>
      </c>
      <c r="F116" s="42">
        <v>17.0</v>
      </c>
      <c r="G116" s="44" t="s">
        <v>254</v>
      </c>
      <c r="H116" s="36">
        <v>3.0</v>
      </c>
      <c r="I116" s="20"/>
    </row>
    <row r="117" ht="15.75" customHeight="1">
      <c r="A117" s="70"/>
      <c r="B117" s="75"/>
      <c r="C117" s="38"/>
      <c r="D117" s="39" t="s">
        <v>255</v>
      </c>
      <c r="E117" s="36">
        <v>0.0</v>
      </c>
      <c r="F117" s="42">
        <v>3.0</v>
      </c>
      <c r="G117" s="44" t="s">
        <v>50</v>
      </c>
      <c r="H117" s="36">
        <v>3.0</v>
      </c>
      <c r="I117" s="20"/>
    </row>
    <row r="118" ht="15.75" customHeight="1">
      <c r="A118" s="70"/>
      <c r="B118" s="75"/>
      <c r="C118" s="38"/>
      <c r="D118" s="39" t="s">
        <v>255</v>
      </c>
      <c r="E118" s="36">
        <v>0.0</v>
      </c>
      <c r="F118" s="42">
        <v>4.0</v>
      </c>
      <c r="G118" s="44" t="s">
        <v>52</v>
      </c>
      <c r="H118" s="36">
        <v>5.0</v>
      </c>
      <c r="I118" s="20"/>
    </row>
    <row r="119" ht="15.75" customHeight="1">
      <c r="A119" s="70"/>
      <c r="B119" s="75"/>
      <c r="C119" s="38"/>
      <c r="D119" s="39" t="s">
        <v>255</v>
      </c>
      <c r="E119" s="36">
        <v>0.0</v>
      </c>
      <c r="F119" s="42">
        <v>5.0</v>
      </c>
      <c r="G119" s="44" t="s">
        <v>54</v>
      </c>
      <c r="H119" s="36">
        <v>6.0</v>
      </c>
      <c r="I119" s="20"/>
    </row>
    <row r="120" ht="15.75" customHeight="1">
      <c r="A120" s="70"/>
      <c r="B120" s="75"/>
      <c r="C120" s="38"/>
      <c r="D120" s="39" t="s">
        <v>255</v>
      </c>
      <c r="E120" s="36">
        <v>0.0</v>
      </c>
      <c r="F120" s="42">
        <v>6.0</v>
      </c>
      <c r="G120" s="44" t="s">
        <v>57</v>
      </c>
      <c r="H120" s="36">
        <v>7.0</v>
      </c>
      <c r="I120" s="20"/>
    </row>
    <row r="121" ht="15.75" customHeight="1">
      <c r="A121" s="70"/>
      <c r="B121" s="75"/>
      <c r="C121" s="38"/>
      <c r="D121" s="39" t="s">
        <v>255</v>
      </c>
      <c r="E121" s="36">
        <v>0.0</v>
      </c>
      <c r="F121" s="42">
        <v>7.0</v>
      </c>
      <c r="G121" s="44" t="s">
        <v>59</v>
      </c>
      <c r="H121" s="36">
        <v>1.0</v>
      </c>
      <c r="I121" s="20"/>
    </row>
    <row r="122" ht="15.75" customHeight="1">
      <c r="A122" s="70"/>
      <c r="B122" s="75"/>
      <c r="C122" s="38"/>
      <c r="D122" s="39" t="s">
        <v>255</v>
      </c>
      <c r="E122" s="36">
        <v>0.0</v>
      </c>
      <c r="F122" s="42">
        <v>8.0</v>
      </c>
      <c r="G122" s="44" t="s">
        <v>62</v>
      </c>
      <c r="H122" s="36">
        <v>2.0</v>
      </c>
      <c r="I122" s="20"/>
    </row>
    <row r="123" ht="15.75" customHeight="1">
      <c r="A123" s="70"/>
      <c r="B123" s="75"/>
      <c r="C123" s="38"/>
      <c r="D123" s="39" t="s">
        <v>255</v>
      </c>
      <c r="E123" s="36">
        <v>0.0</v>
      </c>
      <c r="F123" s="42">
        <v>9.0</v>
      </c>
      <c r="G123" s="44" t="s">
        <v>63</v>
      </c>
      <c r="H123" s="36">
        <v>4.0</v>
      </c>
      <c r="I123" s="20"/>
    </row>
    <row r="124" ht="15.75" customHeight="1">
      <c r="A124" s="70"/>
      <c r="B124" s="75"/>
      <c r="C124" s="38"/>
      <c r="D124" s="39" t="s">
        <v>257</v>
      </c>
      <c r="E124" s="36">
        <v>0.0</v>
      </c>
      <c r="F124" s="42">
        <v>1.0</v>
      </c>
      <c r="G124" s="44" t="s">
        <v>258</v>
      </c>
      <c r="H124" s="36">
        <v>1.0</v>
      </c>
      <c r="I124" s="20"/>
    </row>
    <row r="125" ht="15.75" customHeight="1">
      <c r="A125" s="70"/>
      <c r="B125" s="75"/>
      <c r="C125" s="38"/>
      <c r="D125" s="39" t="s">
        <v>257</v>
      </c>
      <c r="E125" s="36">
        <v>0.0</v>
      </c>
      <c r="F125" s="42">
        <v>3.0</v>
      </c>
      <c r="G125" s="44" t="s">
        <v>259</v>
      </c>
      <c r="H125" s="36">
        <v>6.0</v>
      </c>
      <c r="I125" s="20"/>
    </row>
    <row r="126" ht="15.75" customHeight="1">
      <c r="A126" s="70"/>
      <c r="B126" s="75"/>
      <c r="C126" s="38"/>
      <c r="D126" s="39" t="s">
        <v>257</v>
      </c>
      <c r="E126" s="36">
        <v>0.0</v>
      </c>
      <c r="F126" s="42">
        <v>4.0</v>
      </c>
      <c r="G126" s="44" t="s">
        <v>51</v>
      </c>
      <c r="H126" s="36">
        <v>9.0</v>
      </c>
      <c r="I126" s="20"/>
    </row>
    <row r="127" ht="15.75" customHeight="1">
      <c r="A127" s="70"/>
      <c r="B127" s="75"/>
      <c r="C127" s="38"/>
      <c r="D127" s="39" t="s">
        <v>257</v>
      </c>
      <c r="E127" s="36">
        <v>0.0</v>
      </c>
      <c r="F127" s="42">
        <v>5.0</v>
      </c>
      <c r="G127" s="44" t="s">
        <v>54</v>
      </c>
      <c r="H127" s="36">
        <v>2.0</v>
      </c>
      <c r="I127" s="20"/>
    </row>
    <row r="128" ht="15.75" customHeight="1">
      <c r="A128" s="70"/>
      <c r="B128" s="75"/>
      <c r="C128" s="38"/>
      <c r="D128" s="39" t="s">
        <v>257</v>
      </c>
      <c r="E128" s="36">
        <v>0.0</v>
      </c>
      <c r="F128" s="42">
        <v>6.0</v>
      </c>
      <c r="G128" s="44" t="s">
        <v>213</v>
      </c>
      <c r="H128" s="36">
        <v>3.0</v>
      </c>
      <c r="I128" s="20"/>
    </row>
    <row r="129" ht="15.75" customHeight="1">
      <c r="A129" s="70"/>
      <c r="B129" s="75"/>
      <c r="C129" s="38"/>
      <c r="D129" s="39" t="s">
        <v>257</v>
      </c>
      <c r="E129" s="36">
        <v>0.0</v>
      </c>
      <c r="F129" s="42">
        <v>8.0</v>
      </c>
      <c r="G129" s="44" t="s">
        <v>262</v>
      </c>
      <c r="H129" s="36">
        <v>7.0</v>
      </c>
      <c r="I129" s="20"/>
    </row>
    <row r="130" ht="15.75" customHeight="1">
      <c r="A130" s="70"/>
      <c r="B130" s="75"/>
      <c r="C130" s="38"/>
      <c r="D130" s="39" t="s">
        <v>257</v>
      </c>
      <c r="E130" s="36">
        <v>0.0</v>
      </c>
      <c r="F130" s="42">
        <v>12.0</v>
      </c>
      <c r="G130" s="44" t="s">
        <v>264</v>
      </c>
      <c r="H130" s="36">
        <v>5.0</v>
      </c>
      <c r="I130" s="20"/>
    </row>
    <row r="131" ht="15.75" customHeight="1">
      <c r="A131" s="70"/>
      <c r="B131" s="75"/>
      <c r="C131" s="38"/>
      <c r="D131" s="39" t="s">
        <v>257</v>
      </c>
      <c r="E131" s="36">
        <v>0.0</v>
      </c>
      <c r="F131" s="42">
        <v>17.0</v>
      </c>
      <c r="G131" s="44" t="s">
        <v>265</v>
      </c>
      <c r="H131" s="36">
        <v>8.0</v>
      </c>
      <c r="I131" s="20"/>
    </row>
    <row r="132" ht="15.75" customHeight="1">
      <c r="A132" s="70"/>
      <c r="B132" s="75"/>
      <c r="C132" s="38"/>
      <c r="D132" s="39" t="s">
        <v>266</v>
      </c>
      <c r="E132" s="36">
        <v>0.0</v>
      </c>
      <c r="F132" s="42">
        <v>1.0</v>
      </c>
      <c r="G132" s="44" t="s">
        <v>43</v>
      </c>
      <c r="H132" s="36">
        <v>1.0</v>
      </c>
      <c r="I132" s="20"/>
    </row>
    <row r="133" ht="15.75" customHeight="1">
      <c r="A133" s="70"/>
      <c r="B133" s="75"/>
      <c r="C133" s="38"/>
      <c r="D133" s="39" t="s">
        <v>266</v>
      </c>
      <c r="E133" s="36">
        <v>0.0</v>
      </c>
      <c r="F133" s="42">
        <v>2.0</v>
      </c>
      <c r="G133" s="44" t="s">
        <v>47</v>
      </c>
      <c r="H133" s="36">
        <v>2.0</v>
      </c>
      <c r="I133" s="20"/>
    </row>
    <row r="134" ht="15.75" customHeight="1">
      <c r="A134" s="70"/>
      <c r="B134" s="75"/>
      <c r="C134" s="38"/>
      <c r="D134" s="39" t="s">
        <v>266</v>
      </c>
      <c r="E134" s="36">
        <v>0.0</v>
      </c>
      <c r="F134" s="42">
        <v>3.0</v>
      </c>
      <c r="G134" s="44" t="s">
        <v>50</v>
      </c>
      <c r="H134" s="36">
        <v>3.0</v>
      </c>
      <c r="I134" s="20"/>
    </row>
    <row r="135" ht="15.75" customHeight="1">
      <c r="A135" s="70"/>
      <c r="B135" s="75"/>
      <c r="C135" s="38"/>
      <c r="D135" s="39" t="s">
        <v>266</v>
      </c>
      <c r="E135" s="36">
        <v>0.0</v>
      </c>
      <c r="F135" s="42">
        <v>4.0</v>
      </c>
      <c r="G135" s="44" t="s">
        <v>51</v>
      </c>
      <c r="H135" s="36">
        <v>4.0</v>
      </c>
      <c r="I135" s="20"/>
    </row>
    <row r="136" ht="15.75" customHeight="1">
      <c r="A136" s="70"/>
      <c r="B136" s="75"/>
      <c r="C136" s="38"/>
      <c r="D136" s="39" t="s">
        <v>266</v>
      </c>
      <c r="E136" s="36">
        <v>0.0</v>
      </c>
      <c r="F136" s="42">
        <v>5.0</v>
      </c>
      <c r="G136" s="44" t="s">
        <v>54</v>
      </c>
      <c r="H136" s="36">
        <v>5.0</v>
      </c>
      <c r="I136" s="20"/>
    </row>
    <row r="137" ht="15.75" customHeight="1">
      <c r="A137" s="70"/>
      <c r="B137" s="75"/>
      <c r="C137" s="38"/>
      <c r="D137" s="39" t="s">
        <v>266</v>
      </c>
      <c r="E137" s="36">
        <v>0.0</v>
      </c>
      <c r="F137" s="42">
        <v>6.0</v>
      </c>
      <c r="G137" s="44" t="s">
        <v>57</v>
      </c>
      <c r="H137" s="36">
        <v>6.0</v>
      </c>
      <c r="I137" s="20"/>
    </row>
    <row r="138" ht="15.75" customHeight="1">
      <c r="A138" s="70"/>
      <c r="B138" s="75"/>
      <c r="C138" s="38"/>
      <c r="D138" s="39" t="s">
        <v>267</v>
      </c>
      <c r="E138" s="36">
        <v>0.0</v>
      </c>
      <c r="F138" s="42">
        <v>1.0</v>
      </c>
      <c r="G138" s="44" t="s">
        <v>268</v>
      </c>
      <c r="H138" s="36" t="s">
        <v>269</v>
      </c>
      <c r="I138" s="20"/>
    </row>
    <row r="139" ht="15.75" customHeight="1">
      <c r="A139" s="70"/>
      <c r="B139" s="75"/>
      <c r="C139" s="38"/>
      <c r="D139" s="39" t="s">
        <v>267</v>
      </c>
      <c r="E139" s="36">
        <v>0.0</v>
      </c>
      <c r="F139" s="42">
        <v>2.0</v>
      </c>
      <c r="G139" s="44" t="s">
        <v>272</v>
      </c>
      <c r="H139" s="36" t="s">
        <v>273</v>
      </c>
      <c r="I139" s="20"/>
    </row>
    <row r="140" ht="15.75" customHeight="1">
      <c r="A140" s="70"/>
      <c r="B140" s="75"/>
      <c r="C140" s="38"/>
      <c r="D140" s="39" t="s">
        <v>267</v>
      </c>
      <c r="E140" s="36">
        <v>0.0</v>
      </c>
      <c r="F140" s="42">
        <v>3.0</v>
      </c>
      <c r="G140" s="44" t="s">
        <v>50</v>
      </c>
      <c r="H140" s="36" t="s">
        <v>275</v>
      </c>
      <c r="I140" s="20"/>
    </row>
    <row r="141" ht="15.75" customHeight="1">
      <c r="A141" s="70"/>
      <c r="B141" s="75"/>
      <c r="C141" s="38"/>
      <c r="D141" s="39" t="s">
        <v>267</v>
      </c>
      <c r="E141" s="36">
        <v>0.0</v>
      </c>
      <c r="F141" s="42">
        <v>4.0</v>
      </c>
      <c r="G141" s="44" t="s">
        <v>51</v>
      </c>
      <c r="H141" s="36" t="s">
        <v>275</v>
      </c>
      <c r="I141" s="20"/>
    </row>
    <row r="142" ht="15.75" customHeight="1">
      <c r="A142" s="70"/>
      <c r="B142" s="75"/>
      <c r="C142" s="38"/>
      <c r="D142" s="39" t="s">
        <v>277</v>
      </c>
      <c r="E142" s="36">
        <v>0.0</v>
      </c>
      <c r="F142" s="42">
        <v>3.0</v>
      </c>
      <c r="G142" s="44" t="s">
        <v>50</v>
      </c>
      <c r="H142" s="36">
        <v>3.0</v>
      </c>
      <c r="I142" s="20"/>
    </row>
    <row r="143" ht="15.75" customHeight="1">
      <c r="A143" s="70"/>
      <c r="B143" s="75"/>
      <c r="C143" s="38"/>
      <c r="D143" s="39" t="s">
        <v>277</v>
      </c>
      <c r="E143" s="36">
        <v>0.0</v>
      </c>
      <c r="F143" s="42">
        <v>4.0</v>
      </c>
      <c r="G143" s="44" t="s">
        <v>52</v>
      </c>
      <c r="H143" s="36">
        <v>5.0</v>
      </c>
      <c r="I143" s="20"/>
    </row>
    <row r="144" ht="15.75" customHeight="1">
      <c r="A144" s="70"/>
      <c r="B144" s="75"/>
      <c r="C144" s="38"/>
      <c r="D144" s="39" t="s">
        <v>277</v>
      </c>
      <c r="E144" s="36">
        <v>0.0</v>
      </c>
      <c r="F144" s="42">
        <v>5.0</v>
      </c>
      <c r="G144" s="44" t="s">
        <v>54</v>
      </c>
      <c r="H144" s="36">
        <v>6.0</v>
      </c>
      <c r="I144" s="20"/>
    </row>
    <row r="145" ht="15.75" customHeight="1">
      <c r="A145" s="70"/>
      <c r="B145" s="75"/>
      <c r="C145" s="38"/>
      <c r="D145" s="39" t="s">
        <v>277</v>
      </c>
      <c r="E145" s="36">
        <v>0.0</v>
      </c>
      <c r="F145" s="42">
        <v>6.0</v>
      </c>
      <c r="G145" s="44" t="s">
        <v>57</v>
      </c>
      <c r="H145" s="36">
        <v>7.0</v>
      </c>
      <c r="I145" s="20"/>
    </row>
    <row r="146" ht="15.75" customHeight="1">
      <c r="A146" s="70"/>
      <c r="B146" s="75"/>
      <c r="C146" s="38"/>
      <c r="D146" s="39" t="s">
        <v>277</v>
      </c>
      <c r="E146" s="36">
        <v>0.0</v>
      </c>
      <c r="F146" s="42">
        <v>7.0</v>
      </c>
      <c r="G146" s="44" t="s">
        <v>59</v>
      </c>
      <c r="H146" s="36">
        <v>1.0</v>
      </c>
      <c r="I146" s="20"/>
    </row>
    <row r="147" ht="15.75" customHeight="1">
      <c r="A147" s="70"/>
      <c r="B147" s="75"/>
      <c r="C147" s="38"/>
      <c r="D147" s="39" t="s">
        <v>277</v>
      </c>
      <c r="E147" s="36">
        <v>0.0</v>
      </c>
      <c r="F147" s="42">
        <v>8.0</v>
      </c>
      <c r="G147" s="44" t="s">
        <v>62</v>
      </c>
      <c r="H147" s="36">
        <v>2.0</v>
      </c>
      <c r="I147" s="20"/>
    </row>
    <row r="148" ht="15.75" customHeight="1">
      <c r="A148" s="70"/>
      <c r="B148" s="75"/>
      <c r="C148" s="38"/>
      <c r="D148" s="39" t="s">
        <v>277</v>
      </c>
      <c r="E148" s="36">
        <v>0.0</v>
      </c>
      <c r="F148" s="42">
        <v>9.0</v>
      </c>
      <c r="G148" s="44" t="s">
        <v>63</v>
      </c>
      <c r="H148" s="36">
        <v>4.0</v>
      </c>
      <c r="I148" s="20"/>
    </row>
    <row r="149" ht="15.75" customHeight="1">
      <c r="A149" s="70"/>
      <c r="B149" s="75"/>
      <c r="C149" s="38"/>
      <c r="D149" s="39" t="s">
        <v>280</v>
      </c>
      <c r="E149" s="36">
        <v>0.0</v>
      </c>
      <c r="F149" s="42">
        <v>1.0</v>
      </c>
      <c r="G149" s="44" t="s">
        <v>43</v>
      </c>
      <c r="H149" s="36" t="s">
        <v>269</v>
      </c>
      <c r="I149" s="20"/>
    </row>
    <row r="150" ht="15.75" customHeight="1">
      <c r="A150" s="70"/>
      <c r="B150" s="75"/>
      <c r="C150" s="38"/>
      <c r="D150" s="39" t="s">
        <v>280</v>
      </c>
      <c r="E150" s="36">
        <v>0.0</v>
      </c>
      <c r="F150" s="42">
        <v>2.0</v>
      </c>
      <c r="G150" s="44" t="s">
        <v>47</v>
      </c>
      <c r="H150" s="36" t="s">
        <v>58</v>
      </c>
      <c r="I150" s="20"/>
    </row>
    <row r="151" ht="15.75" customHeight="1">
      <c r="A151" s="70"/>
      <c r="B151" s="75"/>
      <c r="C151" s="38"/>
      <c r="D151" s="39" t="s">
        <v>280</v>
      </c>
      <c r="E151" s="36">
        <v>0.0</v>
      </c>
      <c r="F151" s="42">
        <v>3.0</v>
      </c>
      <c r="G151" s="44" t="s">
        <v>50</v>
      </c>
      <c r="H151" s="36" t="s">
        <v>281</v>
      </c>
      <c r="I151" s="20"/>
    </row>
    <row r="152" ht="15.75" customHeight="1">
      <c r="A152" s="70"/>
      <c r="B152" s="75"/>
      <c r="C152" s="38"/>
      <c r="D152" s="39" t="s">
        <v>280</v>
      </c>
      <c r="E152" s="36">
        <v>0.0</v>
      </c>
      <c r="F152" s="42">
        <v>4.0</v>
      </c>
      <c r="G152" s="44" t="s">
        <v>51</v>
      </c>
      <c r="H152" s="36" t="s">
        <v>282</v>
      </c>
      <c r="I152" s="20"/>
    </row>
    <row r="153" ht="15.75" customHeight="1">
      <c r="A153" s="70"/>
      <c r="B153" s="75"/>
      <c r="C153" s="38"/>
      <c r="D153" s="39" t="s">
        <v>280</v>
      </c>
      <c r="E153" s="36">
        <v>0.0</v>
      </c>
      <c r="F153" s="42">
        <v>5.0</v>
      </c>
      <c r="G153" s="44" t="s">
        <v>54</v>
      </c>
      <c r="H153" s="36" t="s">
        <v>283</v>
      </c>
      <c r="I153" s="20"/>
    </row>
    <row r="154" ht="15.75" customHeight="1">
      <c r="A154" s="70"/>
      <c r="B154" s="75"/>
      <c r="C154" s="38"/>
      <c r="D154" s="39" t="s">
        <v>280</v>
      </c>
      <c r="E154" s="36">
        <v>0.0</v>
      </c>
      <c r="F154" s="42">
        <v>6.0</v>
      </c>
      <c r="G154" s="44" t="s">
        <v>57</v>
      </c>
      <c r="H154" s="36" t="s">
        <v>283</v>
      </c>
      <c r="I154" s="20"/>
    </row>
    <row r="155" ht="15.75" customHeight="1">
      <c r="A155" s="70"/>
      <c r="B155" s="75"/>
      <c r="C155" s="38"/>
      <c r="D155" s="39" t="s">
        <v>280</v>
      </c>
      <c r="E155" s="36">
        <v>0.0</v>
      </c>
      <c r="F155" s="42">
        <v>10.0</v>
      </c>
      <c r="G155" s="44" t="s">
        <v>286</v>
      </c>
      <c r="H155" s="36" t="s">
        <v>30</v>
      </c>
      <c r="I155" s="20"/>
    </row>
    <row r="156" ht="15.75" customHeight="1">
      <c r="A156" s="70"/>
      <c r="B156" s="75"/>
      <c r="C156" s="38"/>
      <c r="D156" s="39" t="s">
        <v>280</v>
      </c>
      <c r="E156" s="36">
        <v>0.0</v>
      </c>
      <c r="F156" s="42">
        <v>12.0</v>
      </c>
      <c r="G156" s="44" t="s">
        <v>287</v>
      </c>
      <c r="H156" s="36" t="s">
        <v>288</v>
      </c>
      <c r="I156" s="20"/>
    </row>
    <row r="157" ht="15.75" customHeight="1">
      <c r="A157" s="70"/>
      <c r="B157" s="75"/>
      <c r="C157" s="38"/>
      <c r="D157" s="39" t="s">
        <v>280</v>
      </c>
      <c r="E157" s="36">
        <v>0.0</v>
      </c>
      <c r="F157" s="42">
        <v>17.0</v>
      </c>
      <c r="G157" s="44" t="s">
        <v>289</v>
      </c>
      <c r="H157" s="36" t="s">
        <v>290</v>
      </c>
      <c r="I157" s="20"/>
    </row>
    <row r="158" ht="15.75" customHeight="1">
      <c r="A158" s="70"/>
      <c r="B158" s="75"/>
      <c r="C158" s="38"/>
      <c r="D158" s="39" t="s">
        <v>291</v>
      </c>
      <c r="E158" s="36">
        <v>0.0</v>
      </c>
      <c r="F158" s="42">
        <v>1.0</v>
      </c>
      <c r="G158" s="44" t="s">
        <v>43</v>
      </c>
      <c r="H158" s="36">
        <v>1.0</v>
      </c>
      <c r="I158" s="20"/>
    </row>
    <row r="159" ht="15.75" customHeight="1">
      <c r="A159" s="70"/>
      <c r="B159" s="75"/>
      <c r="C159" s="38"/>
      <c r="D159" s="39" t="s">
        <v>291</v>
      </c>
      <c r="E159" s="36">
        <v>0.0</v>
      </c>
      <c r="F159" s="42">
        <v>2.0</v>
      </c>
      <c r="G159" s="44" t="s">
        <v>47</v>
      </c>
      <c r="H159" s="36">
        <v>2.0</v>
      </c>
      <c r="I159" s="20"/>
    </row>
    <row r="160" ht="15.75" customHeight="1">
      <c r="A160" s="70"/>
      <c r="B160" s="75"/>
      <c r="C160" s="38"/>
      <c r="D160" s="39" t="s">
        <v>291</v>
      </c>
      <c r="E160" s="36">
        <v>0.0</v>
      </c>
      <c r="F160" s="42">
        <v>3.0</v>
      </c>
      <c r="G160" s="44" t="s">
        <v>50</v>
      </c>
      <c r="H160" s="36">
        <v>3.0</v>
      </c>
      <c r="I160" s="20"/>
    </row>
    <row r="161" ht="15.75" customHeight="1">
      <c r="A161" s="70"/>
      <c r="B161" s="75"/>
      <c r="C161" s="38"/>
      <c r="D161" s="39" t="s">
        <v>291</v>
      </c>
      <c r="E161" s="36">
        <v>0.0</v>
      </c>
      <c r="F161" s="42">
        <v>4.0</v>
      </c>
      <c r="G161" s="44" t="s">
        <v>51</v>
      </c>
      <c r="H161" s="36">
        <v>4.0</v>
      </c>
      <c r="I161" s="20"/>
    </row>
    <row r="162" ht="15.75" customHeight="1">
      <c r="A162" s="70"/>
      <c r="B162" s="75"/>
      <c r="C162" s="38"/>
      <c r="D162" s="39" t="s">
        <v>291</v>
      </c>
      <c r="E162" s="36">
        <v>0.0</v>
      </c>
      <c r="F162" s="42">
        <v>5.0</v>
      </c>
      <c r="G162" s="44" t="s">
        <v>54</v>
      </c>
      <c r="H162" s="36">
        <v>5.0</v>
      </c>
      <c r="I162" s="20"/>
    </row>
    <row r="163" ht="15.75" customHeight="1">
      <c r="A163" s="70"/>
      <c r="B163" s="75"/>
      <c r="C163" s="38"/>
      <c r="D163" s="39" t="s">
        <v>291</v>
      </c>
      <c r="E163" s="36">
        <v>0.0</v>
      </c>
      <c r="F163" s="42">
        <v>6.0</v>
      </c>
      <c r="G163" s="44" t="s">
        <v>57</v>
      </c>
      <c r="H163" s="36">
        <v>6.0</v>
      </c>
      <c r="I163" s="20"/>
    </row>
    <row r="164" ht="15.75" customHeight="1">
      <c r="A164" s="70"/>
      <c r="B164" s="75"/>
      <c r="C164" s="38"/>
      <c r="D164" s="39" t="s">
        <v>295</v>
      </c>
      <c r="E164" s="36">
        <v>0.0</v>
      </c>
      <c r="F164" s="42">
        <v>3.0</v>
      </c>
      <c r="G164" s="44" t="s">
        <v>50</v>
      </c>
      <c r="H164" s="36">
        <v>3.0</v>
      </c>
      <c r="I164" s="20"/>
    </row>
    <row r="165" ht="15.75" customHeight="1">
      <c r="A165" s="70"/>
      <c r="B165" s="75"/>
      <c r="C165" s="38"/>
      <c r="D165" s="39" t="s">
        <v>295</v>
      </c>
      <c r="E165" s="36">
        <v>0.0</v>
      </c>
      <c r="F165" s="42">
        <v>4.0</v>
      </c>
      <c r="G165" s="44" t="s">
        <v>52</v>
      </c>
      <c r="H165" s="36">
        <v>5.0</v>
      </c>
      <c r="I165" s="20"/>
    </row>
    <row r="166" ht="15.75" customHeight="1">
      <c r="A166" s="70"/>
      <c r="B166" s="75"/>
      <c r="C166" s="38"/>
      <c r="D166" s="39" t="s">
        <v>295</v>
      </c>
      <c r="E166" s="36">
        <v>0.0</v>
      </c>
      <c r="F166" s="42">
        <v>5.0</v>
      </c>
      <c r="G166" s="44" t="s">
        <v>54</v>
      </c>
      <c r="H166" s="36">
        <v>6.0</v>
      </c>
      <c r="I166" s="20"/>
    </row>
    <row r="167" ht="15.75" customHeight="1">
      <c r="A167" s="70"/>
      <c r="B167" s="75"/>
      <c r="C167" s="38"/>
      <c r="D167" s="39" t="s">
        <v>295</v>
      </c>
      <c r="E167" s="36">
        <v>0.0</v>
      </c>
      <c r="F167" s="42">
        <v>6.0</v>
      </c>
      <c r="G167" s="44" t="s">
        <v>57</v>
      </c>
      <c r="H167" s="36">
        <v>7.0</v>
      </c>
      <c r="I167" s="20"/>
    </row>
    <row r="168" ht="15.75" customHeight="1">
      <c r="A168" s="70"/>
      <c r="B168" s="75"/>
      <c r="C168" s="38"/>
      <c r="D168" s="39" t="s">
        <v>295</v>
      </c>
      <c r="E168" s="36">
        <v>0.0</v>
      </c>
      <c r="F168" s="42">
        <v>7.0</v>
      </c>
      <c r="G168" s="44" t="s">
        <v>59</v>
      </c>
      <c r="H168" s="36">
        <v>1.0</v>
      </c>
      <c r="I168" s="20"/>
    </row>
    <row r="169" ht="15.75" customHeight="1">
      <c r="A169" s="70"/>
      <c r="B169" s="75"/>
      <c r="C169" s="38"/>
      <c r="D169" s="39" t="s">
        <v>295</v>
      </c>
      <c r="E169" s="36">
        <v>0.0</v>
      </c>
      <c r="F169" s="42">
        <v>8.0</v>
      </c>
      <c r="G169" s="44" t="s">
        <v>62</v>
      </c>
      <c r="H169" s="36">
        <v>2.0</v>
      </c>
      <c r="I169" s="20"/>
    </row>
    <row r="170" ht="15.75" customHeight="1">
      <c r="A170" s="70"/>
      <c r="B170" s="75"/>
      <c r="C170" s="38"/>
      <c r="D170" s="39" t="s">
        <v>295</v>
      </c>
      <c r="E170" s="36">
        <v>0.0</v>
      </c>
      <c r="F170" s="42">
        <v>9.0</v>
      </c>
      <c r="G170" s="44" t="s">
        <v>63</v>
      </c>
      <c r="H170" s="36">
        <v>4.0</v>
      </c>
      <c r="I170" s="20"/>
    </row>
    <row r="171" ht="15.75" customHeight="1">
      <c r="A171" s="70"/>
      <c r="B171" s="75"/>
      <c r="C171" s="38"/>
      <c r="D171" s="39" t="s">
        <v>301</v>
      </c>
      <c r="E171" s="36">
        <v>0.0</v>
      </c>
      <c r="F171" s="42">
        <v>1.0</v>
      </c>
      <c r="G171" s="44" t="s">
        <v>43</v>
      </c>
      <c r="H171" s="36">
        <v>1.0</v>
      </c>
      <c r="I171" s="20"/>
    </row>
    <row r="172" ht="15.75" customHeight="1">
      <c r="A172" s="70"/>
      <c r="B172" s="75"/>
      <c r="C172" s="38"/>
      <c r="D172" s="39" t="s">
        <v>301</v>
      </c>
      <c r="E172" s="36">
        <v>0.0</v>
      </c>
      <c r="F172" s="42">
        <v>2.0</v>
      </c>
      <c r="G172" s="44" t="s">
        <v>47</v>
      </c>
      <c r="H172" s="36">
        <v>2.0</v>
      </c>
      <c r="I172" s="20"/>
    </row>
    <row r="173" ht="15.75" customHeight="1">
      <c r="A173" s="70"/>
      <c r="B173" s="75"/>
      <c r="C173" s="38"/>
      <c r="D173" s="39" t="s">
        <v>301</v>
      </c>
      <c r="E173" s="36">
        <v>0.0</v>
      </c>
      <c r="F173" s="42">
        <v>3.0</v>
      </c>
      <c r="G173" s="44" t="s">
        <v>50</v>
      </c>
      <c r="H173" s="36">
        <v>3.0</v>
      </c>
      <c r="I173" s="20"/>
    </row>
    <row r="174" ht="15.75" customHeight="1">
      <c r="A174" s="70"/>
      <c r="B174" s="75"/>
      <c r="C174" s="38"/>
      <c r="D174" s="39" t="s">
        <v>301</v>
      </c>
      <c r="E174" s="36">
        <v>0.0</v>
      </c>
      <c r="F174" s="42">
        <v>4.0</v>
      </c>
      <c r="G174" s="44" t="s">
        <v>51</v>
      </c>
      <c r="H174" s="36">
        <v>4.0</v>
      </c>
      <c r="I174" s="20"/>
    </row>
    <row r="175" ht="15.75" customHeight="1">
      <c r="A175" s="70"/>
      <c r="B175" s="75"/>
      <c r="C175" s="38"/>
      <c r="D175" s="39" t="s">
        <v>301</v>
      </c>
      <c r="E175" s="36">
        <v>0.0</v>
      </c>
      <c r="F175" s="42">
        <v>5.0</v>
      </c>
      <c r="G175" s="44" t="s">
        <v>54</v>
      </c>
      <c r="H175" s="36">
        <v>5.0</v>
      </c>
      <c r="I175" s="20"/>
    </row>
    <row r="176" ht="15.75" customHeight="1">
      <c r="A176" s="70"/>
      <c r="B176" s="75"/>
      <c r="C176" s="38"/>
      <c r="D176" s="39" t="s">
        <v>301</v>
      </c>
      <c r="E176" s="36">
        <v>0.0</v>
      </c>
      <c r="F176" s="42">
        <v>6.0</v>
      </c>
      <c r="G176" s="44" t="s">
        <v>213</v>
      </c>
      <c r="H176" s="36">
        <v>6.0</v>
      </c>
      <c r="I176" s="20"/>
    </row>
    <row r="177" ht="15.75" customHeight="1">
      <c r="A177" s="70"/>
      <c r="B177" s="75"/>
      <c r="C177" s="38"/>
      <c r="D177" s="39" t="s">
        <v>305</v>
      </c>
      <c r="E177" s="36">
        <v>0.0</v>
      </c>
      <c r="F177" s="42">
        <v>3.0</v>
      </c>
      <c r="G177" s="44" t="s">
        <v>50</v>
      </c>
      <c r="H177" s="36">
        <v>3.0</v>
      </c>
      <c r="I177" s="20"/>
    </row>
    <row r="178" ht="15.75" customHeight="1">
      <c r="A178" s="70"/>
      <c r="B178" s="75"/>
      <c r="C178" s="38"/>
      <c r="D178" s="39" t="s">
        <v>305</v>
      </c>
      <c r="E178" s="36">
        <v>0.0</v>
      </c>
      <c r="F178" s="42">
        <v>4.0</v>
      </c>
      <c r="G178" s="44" t="s">
        <v>52</v>
      </c>
      <c r="H178" s="36">
        <v>5.0</v>
      </c>
      <c r="I178" s="20"/>
    </row>
    <row r="179" ht="15.75" customHeight="1">
      <c r="A179" s="70"/>
      <c r="B179" s="75"/>
      <c r="C179" s="38"/>
      <c r="D179" s="39" t="s">
        <v>305</v>
      </c>
      <c r="E179" s="36">
        <v>0.0</v>
      </c>
      <c r="F179" s="42">
        <v>5.0</v>
      </c>
      <c r="G179" s="44" t="s">
        <v>54</v>
      </c>
      <c r="H179" s="36">
        <v>6.0</v>
      </c>
      <c r="I179" s="20"/>
    </row>
    <row r="180" ht="15.75" customHeight="1">
      <c r="A180" s="70"/>
      <c r="B180" s="75"/>
      <c r="C180" s="38"/>
      <c r="D180" s="39" t="s">
        <v>305</v>
      </c>
      <c r="E180" s="36">
        <v>0.0</v>
      </c>
      <c r="F180" s="42">
        <v>6.0</v>
      </c>
      <c r="G180" s="44" t="s">
        <v>213</v>
      </c>
      <c r="H180" s="36">
        <v>7.0</v>
      </c>
      <c r="I180" s="20"/>
    </row>
    <row r="181" ht="15.75" customHeight="1">
      <c r="A181" s="70"/>
      <c r="B181" s="75"/>
      <c r="C181" s="38"/>
      <c r="D181" s="39" t="s">
        <v>305</v>
      </c>
      <c r="E181" s="36">
        <v>0.0</v>
      </c>
      <c r="F181" s="42">
        <v>7.0</v>
      </c>
      <c r="G181" s="44" t="s">
        <v>59</v>
      </c>
      <c r="H181" s="36">
        <v>1.0</v>
      </c>
      <c r="I181" s="20"/>
    </row>
    <row r="182" ht="15.75" customHeight="1">
      <c r="A182" s="70"/>
      <c r="B182" s="75"/>
      <c r="C182" s="38"/>
      <c r="D182" s="39" t="s">
        <v>305</v>
      </c>
      <c r="E182" s="36">
        <v>0.0</v>
      </c>
      <c r="F182" s="42">
        <v>8.0</v>
      </c>
      <c r="G182" s="44" t="s">
        <v>225</v>
      </c>
      <c r="H182" s="36">
        <v>2.0</v>
      </c>
      <c r="I182" s="20"/>
    </row>
    <row r="183" ht="15.75" customHeight="1">
      <c r="A183" s="70"/>
      <c r="B183" s="75"/>
      <c r="C183" s="38"/>
      <c r="D183" s="39" t="s">
        <v>305</v>
      </c>
      <c r="E183" s="36">
        <v>0.0</v>
      </c>
      <c r="F183" s="42">
        <v>9.0</v>
      </c>
      <c r="G183" s="44" t="s">
        <v>63</v>
      </c>
      <c r="H183" s="36">
        <v>4.0</v>
      </c>
      <c r="I183" s="20"/>
    </row>
    <row r="184" ht="15.75" customHeight="1">
      <c r="A184" s="70"/>
      <c r="B184" s="75"/>
      <c r="C184" s="38"/>
      <c r="D184" s="39" t="s">
        <v>307</v>
      </c>
      <c r="E184" s="36">
        <v>0.0</v>
      </c>
      <c r="F184" s="42">
        <v>7.0</v>
      </c>
      <c r="G184" s="44" t="s">
        <v>59</v>
      </c>
      <c r="H184" s="36">
        <v>2.0</v>
      </c>
      <c r="I184" s="20"/>
    </row>
    <row r="185" ht="15.75" customHeight="1">
      <c r="A185" s="70"/>
      <c r="B185" s="75"/>
      <c r="C185" s="38"/>
      <c r="D185" s="39" t="s">
        <v>307</v>
      </c>
      <c r="E185" s="36">
        <v>0.0</v>
      </c>
      <c r="F185" s="42">
        <v>9.0</v>
      </c>
      <c r="G185" s="44" t="s">
        <v>63</v>
      </c>
      <c r="H185" s="36">
        <v>1.0</v>
      </c>
      <c r="I185" s="20"/>
    </row>
    <row r="186" ht="15.75" customHeight="1">
      <c r="A186" s="70"/>
      <c r="B186" s="75"/>
      <c r="C186" s="38"/>
      <c r="D186" s="39" t="s">
        <v>308</v>
      </c>
      <c r="E186" s="36">
        <v>0.0</v>
      </c>
      <c r="F186" s="42">
        <v>3.0</v>
      </c>
      <c r="G186" s="44" t="s">
        <v>50</v>
      </c>
      <c r="H186" s="36">
        <v>3.0</v>
      </c>
      <c r="I186" s="20"/>
    </row>
    <row r="187" ht="15.75" customHeight="1">
      <c r="A187" s="70"/>
      <c r="B187" s="75"/>
      <c r="C187" s="38"/>
      <c r="D187" s="39" t="s">
        <v>308</v>
      </c>
      <c r="E187" s="36">
        <v>0.0</v>
      </c>
      <c r="F187" s="42">
        <v>4.0</v>
      </c>
      <c r="G187" s="44" t="s">
        <v>52</v>
      </c>
      <c r="H187" s="36">
        <v>5.0</v>
      </c>
      <c r="I187" s="20"/>
    </row>
    <row r="188" ht="15.75" customHeight="1">
      <c r="A188" s="70"/>
      <c r="B188" s="75"/>
      <c r="C188" s="38"/>
      <c r="D188" s="39" t="s">
        <v>308</v>
      </c>
      <c r="E188" s="36">
        <v>0.0</v>
      </c>
      <c r="F188" s="42">
        <v>5.0</v>
      </c>
      <c r="G188" s="44" t="s">
        <v>54</v>
      </c>
      <c r="H188" s="36">
        <v>6.0</v>
      </c>
      <c r="I188" s="20"/>
    </row>
    <row r="189" ht="15.75" customHeight="1">
      <c r="A189" s="70"/>
      <c r="B189" s="75"/>
      <c r="C189" s="38"/>
      <c r="D189" s="39" t="s">
        <v>308</v>
      </c>
      <c r="E189" s="36">
        <v>0.0</v>
      </c>
      <c r="F189" s="42">
        <v>6.0</v>
      </c>
      <c r="G189" s="44" t="s">
        <v>213</v>
      </c>
      <c r="H189" s="36">
        <v>7.0</v>
      </c>
      <c r="I189" s="20"/>
    </row>
    <row r="190" ht="15.75" customHeight="1">
      <c r="A190" s="70"/>
      <c r="B190" s="75"/>
      <c r="C190" s="38"/>
      <c r="D190" s="39" t="s">
        <v>308</v>
      </c>
      <c r="E190" s="36">
        <v>0.0</v>
      </c>
      <c r="F190" s="42">
        <v>7.0</v>
      </c>
      <c r="G190" s="44" t="s">
        <v>59</v>
      </c>
      <c r="H190" s="36">
        <v>1.0</v>
      </c>
      <c r="I190" s="20"/>
    </row>
    <row r="191" ht="15.75" customHeight="1">
      <c r="A191" s="70"/>
      <c r="B191" s="75"/>
      <c r="C191" s="38"/>
      <c r="D191" s="39" t="s">
        <v>308</v>
      </c>
      <c r="E191" s="36">
        <v>0.0</v>
      </c>
      <c r="F191" s="42">
        <v>8.0</v>
      </c>
      <c r="G191" s="44" t="s">
        <v>225</v>
      </c>
      <c r="H191" s="36">
        <v>2.0</v>
      </c>
      <c r="I191" s="20"/>
    </row>
    <row r="192" ht="15.75" customHeight="1">
      <c r="A192" s="70"/>
      <c r="B192" s="75"/>
      <c r="C192" s="38"/>
      <c r="D192" s="39" t="s">
        <v>308</v>
      </c>
      <c r="E192" s="36">
        <v>0.0</v>
      </c>
      <c r="F192" s="42">
        <v>9.0</v>
      </c>
      <c r="G192" s="44" t="s">
        <v>63</v>
      </c>
      <c r="H192" s="36">
        <v>4.0</v>
      </c>
      <c r="I192" s="20"/>
    </row>
    <row r="193" ht="15.75" customHeight="1">
      <c r="A193" s="70"/>
      <c r="B193" s="75"/>
      <c r="C193" s="38"/>
      <c r="D193" s="39" t="s">
        <v>309</v>
      </c>
      <c r="E193" s="36">
        <v>0.0</v>
      </c>
      <c r="F193" s="42">
        <v>1.0</v>
      </c>
      <c r="G193" s="44" t="s">
        <v>43</v>
      </c>
      <c r="H193" s="36">
        <v>1.0</v>
      </c>
      <c r="I193" s="20"/>
    </row>
    <row r="194" ht="15.75" customHeight="1">
      <c r="A194" s="70"/>
      <c r="B194" s="75"/>
      <c r="C194" s="38"/>
      <c r="D194" s="39" t="s">
        <v>309</v>
      </c>
      <c r="E194" s="36">
        <v>0.0</v>
      </c>
      <c r="F194" s="42">
        <v>2.0</v>
      </c>
      <c r="G194" s="44" t="s">
        <v>47</v>
      </c>
      <c r="H194" s="36">
        <v>2.0</v>
      </c>
      <c r="I194" s="20"/>
    </row>
    <row r="195" ht="15.75" customHeight="1">
      <c r="A195" s="70"/>
      <c r="B195" s="75"/>
      <c r="C195" s="38"/>
      <c r="D195" s="39" t="s">
        <v>309</v>
      </c>
      <c r="E195" s="36">
        <v>0.0</v>
      </c>
      <c r="F195" s="42">
        <v>3.0</v>
      </c>
      <c r="G195" s="44" t="s">
        <v>50</v>
      </c>
      <c r="H195" s="36">
        <v>3.0</v>
      </c>
      <c r="I195" s="20"/>
    </row>
    <row r="196" ht="15.75" customHeight="1">
      <c r="A196" s="70"/>
      <c r="B196" s="75"/>
      <c r="C196" s="38"/>
      <c r="D196" s="39" t="s">
        <v>309</v>
      </c>
      <c r="E196" s="36">
        <v>0.0</v>
      </c>
      <c r="F196" s="42">
        <v>4.0</v>
      </c>
      <c r="G196" s="44" t="s">
        <v>51</v>
      </c>
      <c r="H196" s="36">
        <v>3.0</v>
      </c>
      <c r="I196" s="20"/>
    </row>
    <row r="197" ht="15.75" customHeight="1">
      <c r="A197" s="70"/>
      <c r="B197" s="75"/>
      <c r="C197" s="38"/>
      <c r="D197" s="39" t="s">
        <v>309</v>
      </c>
      <c r="E197" s="36">
        <v>0.0</v>
      </c>
      <c r="F197" s="42">
        <v>5.0</v>
      </c>
      <c r="G197" s="44" t="s">
        <v>54</v>
      </c>
      <c r="H197" s="36">
        <v>4.0</v>
      </c>
      <c r="I197" s="20"/>
    </row>
    <row r="198" ht="15.75" customHeight="1">
      <c r="A198" s="70"/>
      <c r="B198" s="75"/>
      <c r="C198" s="38"/>
      <c r="D198" s="39" t="s">
        <v>313</v>
      </c>
      <c r="E198" s="36">
        <v>0.0</v>
      </c>
      <c r="F198" s="42">
        <v>3.0</v>
      </c>
      <c r="G198" s="44" t="s">
        <v>50</v>
      </c>
      <c r="H198" s="36">
        <v>3.0</v>
      </c>
      <c r="I198" s="20"/>
    </row>
    <row r="199" ht="15.75" customHeight="1">
      <c r="A199" s="70"/>
      <c r="B199" s="75"/>
      <c r="C199" s="38"/>
      <c r="D199" s="39" t="s">
        <v>313</v>
      </c>
      <c r="E199" s="36">
        <v>0.0</v>
      </c>
      <c r="F199" s="42">
        <v>4.0</v>
      </c>
      <c r="G199" s="44" t="s">
        <v>52</v>
      </c>
      <c r="H199" s="36">
        <v>5.0</v>
      </c>
      <c r="I199" s="20"/>
    </row>
    <row r="200" ht="15.75" customHeight="1">
      <c r="A200" s="70"/>
      <c r="B200" s="75"/>
      <c r="C200" s="38"/>
      <c r="D200" s="39" t="s">
        <v>313</v>
      </c>
      <c r="E200" s="36">
        <v>0.0</v>
      </c>
      <c r="F200" s="42">
        <v>5.0</v>
      </c>
      <c r="G200" s="44" t="s">
        <v>54</v>
      </c>
      <c r="H200" s="36">
        <v>6.0</v>
      </c>
      <c r="I200" s="20"/>
    </row>
    <row r="201" ht="15.75" customHeight="1">
      <c r="A201" s="70"/>
      <c r="B201" s="75"/>
      <c r="C201" s="38"/>
      <c r="D201" s="39" t="s">
        <v>313</v>
      </c>
      <c r="E201" s="36">
        <v>0.0</v>
      </c>
      <c r="F201" s="42">
        <v>6.0</v>
      </c>
      <c r="G201" s="44" t="s">
        <v>57</v>
      </c>
      <c r="H201" s="36">
        <v>7.0</v>
      </c>
      <c r="I201" s="20"/>
    </row>
    <row r="202" ht="15.75" customHeight="1">
      <c r="A202" s="70"/>
      <c r="B202" s="75"/>
      <c r="C202" s="38"/>
      <c r="D202" s="39" t="s">
        <v>313</v>
      </c>
      <c r="E202" s="36">
        <v>0.0</v>
      </c>
      <c r="F202" s="42">
        <v>7.0</v>
      </c>
      <c r="G202" s="44" t="s">
        <v>59</v>
      </c>
      <c r="H202" s="36">
        <v>1.0</v>
      </c>
      <c r="I202" s="20"/>
    </row>
    <row r="203" ht="15.75" customHeight="1">
      <c r="A203" s="70"/>
      <c r="B203" s="75"/>
      <c r="C203" s="38"/>
      <c r="D203" s="39" t="s">
        <v>313</v>
      </c>
      <c r="E203" s="36">
        <v>0.0</v>
      </c>
      <c r="F203" s="42">
        <v>8.0</v>
      </c>
      <c r="G203" s="44" t="s">
        <v>62</v>
      </c>
      <c r="H203" s="36">
        <v>2.0</v>
      </c>
      <c r="I203" s="20"/>
    </row>
    <row r="204" ht="15.75" customHeight="1">
      <c r="A204" s="70"/>
      <c r="B204" s="75"/>
      <c r="C204" s="38"/>
      <c r="D204" s="39" t="s">
        <v>313</v>
      </c>
      <c r="E204" s="36">
        <v>0.0</v>
      </c>
      <c r="F204" s="42">
        <v>9.0</v>
      </c>
      <c r="G204" s="44" t="s">
        <v>63</v>
      </c>
      <c r="H204" s="36">
        <v>4.0</v>
      </c>
      <c r="I204" s="20"/>
    </row>
    <row r="205" ht="15.75" customHeight="1">
      <c r="A205" s="70"/>
      <c r="B205" s="75"/>
      <c r="C205" s="38"/>
      <c r="D205" s="39" t="s">
        <v>315</v>
      </c>
      <c r="E205" s="36">
        <v>0.0</v>
      </c>
      <c r="F205" s="42">
        <v>3.0</v>
      </c>
      <c r="G205" s="44" t="s">
        <v>50</v>
      </c>
      <c r="H205" s="36">
        <v>3.0</v>
      </c>
      <c r="I205" s="20"/>
    </row>
    <row r="206" ht="15.75" customHeight="1">
      <c r="A206" s="70"/>
      <c r="B206" s="75"/>
      <c r="C206" s="38"/>
      <c r="D206" s="39" t="s">
        <v>315</v>
      </c>
      <c r="E206" s="36">
        <v>0.0</v>
      </c>
      <c r="F206" s="42">
        <v>4.0</v>
      </c>
      <c r="G206" s="44" t="s">
        <v>52</v>
      </c>
      <c r="H206" s="36">
        <v>5.0</v>
      </c>
      <c r="I206" s="20"/>
    </row>
    <row r="207" ht="15.75" customHeight="1">
      <c r="A207" s="70"/>
      <c r="B207" s="75"/>
      <c r="C207" s="38"/>
      <c r="D207" s="39" t="s">
        <v>315</v>
      </c>
      <c r="E207" s="36">
        <v>0.0</v>
      </c>
      <c r="F207" s="42">
        <v>5.0</v>
      </c>
      <c r="G207" s="44" t="s">
        <v>54</v>
      </c>
      <c r="H207" s="36">
        <v>6.0</v>
      </c>
      <c r="I207" s="20"/>
    </row>
    <row r="208" ht="15.75" customHeight="1">
      <c r="A208" s="70"/>
      <c r="B208" s="75"/>
      <c r="C208" s="38"/>
      <c r="D208" s="39" t="s">
        <v>315</v>
      </c>
      <c r="E208" s="36">
        <v>0.0</v>
      </c>
      <c r="F208" s="42">
        <v>6.0</v>
      </c>
      <c r="G208" s="44" t="s">
        <v>57</v>
      </c>
      <c r="H208" s="36">
        <v>7.0</v>
      </c>
      <c r="I208" s="20"/>
    </row>
    <row r="209" ht="15.75" customHeight="1">
      <c r="A209" s="70"/>
      <c r="B209" s="75"/>
      <c r="C209" s="38"/>
      <c r="D209" s="39" t="s">
        <v>315</v>
      </c>
      <c r="E209" s="36">
        <v>0.0</v>
      </c>
      <c r="F209" s="42">
        <v>7.0</v>
      </c>
      <c r="G209" s="44" t="s">
        <v>59</v>
      </c>
      <c r="H209" s="36">
        <v>1.0</v>
      </c>
      <c r="I209" s="20"/>
    </row>
    <row r="210" ht="15.75" customHeight="1">
      <c r="A210" s="70"/>
      <c r="B210" s="75"/>
      <c r="C210" s="38"/>
      <c r="D210" s="39" t="s">
        <v>315</v>
      </c>
      <c r="E210" s="36">
        <v>0.0</v>
      </c>
      <c r="F210" s="42">
        <v>8.0</v>
      </c>
      <c r="G210" s="44" t="s">
        <v>62</v>
      </c>
      <c r="H210" s="36">
        <v>2.0</v>
      </c>
      <c r="I210" s="20"/>
    </row>
    <row r="211" ht="15.75" customHeight="1">
      <c r="A211" s="70"/>
      <c r="B211" s="75"/>
      <c r="C211" s="38"/>
      <c r="D211" s="39" t="s">
        <v>315</v>
      </c>
      <c r="E211" s="36">
        <v>0.0</v>
      </c>
      <c r="F211" s="42">
        <v>9.0</v>
      </c>
      <c r="G211" s="44" t="s">
        <v>63</v>
      </c>
      <c r="H211" s="36">
        <v>4.0</v>
      </c>
      <c r="I211" s="20"/>
    </row>
    <row r="212" ht="15.75" customHeight="1">
      <c r="A212" s="70"/>
      <c r="B212" s="75"/>
      <c r="C212" s="38"/>
      <c r="D212" s="39" t="s">
        <v>319</v>
      </c>
      <c r="E212" s="36">
        <v>0.0</v>
      </c>
      <c r="F212" s="42">
        <v>3.0</v>
      </c>
      <c r="G212" s="44" t="s">
        <v>50</v>
      </c>
      <c r="H212" s="36">
        <v>3.0</v>
      </c>
      <c r="I212" s="20"/>
    </row>
    <row r="213" ht="15.75" customHeight="1">
      <c r="A213" s="70"/>
      <c r="B213" s="75"/>
      <c r="C213" s="38"/>
      <c r="D213" s="39" t="s">
        <v>319</v>
      </c>
      <c r="E213" s="36">
        <v>0.0</v>
      </c>
      <c r="F213" s="42">
        <v>4.0</v>
      </c>
      <c r="G213" s="44" t="s">
        <v>52</v>
      </c>
      <c r="H213" s="36">
        <v>5.0</v>
      </c>
      <c r="I213" s="20"/>
    </row>
    <row r="214" ht="15.75" customHeight="1">
      <c r="A214" s="70"/>
      <c r="B214" s="75"/>
      <c r="C214" s="38"/>
      <c r="D214" s="39" t="s">
        <v>319</v>
      </c>
      <c r="E214" s="36">
        <v>0.0</v>
      </c>
      <c r="F214" s="42">
        <v>5.0</v>
      </c>
      <c r="G214" s="44" t="s">
        <v>320</v>
      </c>
      <c r="H214" s="36">
        <v>6.0</v>
      </c>
      <c r="I214" s="20"/>
    </row>
    <row r="215" ht="15.75" customHeight="1">
      <c r="A215" s="70"/>
      <c r="B215" s="75"/>
      <c r="C215" s="38"/>
      <c r="D215" s="39" t="s">
        <v>319</v>
      </c>
      <c r="E215" s="36">
        <v>0.0</v>
      </c>
      <c r="F215" s="42">
        <v>6.0</v>
      </c>
      <c r="G215" s="44" t="s">
        <v>322</v>
      </c>
      <c r="H215" s="36">
        <v>7.0</v>
      </c>
      <c r="I215" s="20"/>
    </row>
    <row r="216" ht="15.75" customHeight="1">
      <c r="A216" s="70"/>
      <c r="B216" s="75"/>
      <c r="C216" s="38"/>
      <c r="D216" s="39" t="s">
        <v>319</v>
      </c>
      <c r="E216" s="36">
        <v>0.0</v>
      </c>
      <c r="F216" s="42">
        <v>7.0</v>
      </c>
      <c r="G216" s="44" t="s">
        <v>59</v>
      </c>
      <c r="H216" s="36">
        <v>1.0</v>
      </c>
      <c r="I216" s="20"/>
    </row>
    <row r="217" ht="15.75" customHeight="1">
      <c r="A217" s="70"/>
      <c r="B217" s="75"/>
      <c r="C217" s="38"/>
      <c r="D217" s="39" t="s">
        <v>319</v>
      </c>
      <c r="E217" s="36">
        <v>0.0</v>
      </c>
      <c r="F217" s="42">
        <v>8.0</v>
      </c>
      <c r="G217" s="44" t="s">
        <v>62</v>
      </c>
      <c r="H217" s="36">
        <v>2.0</v>
      </c>
      <c r="I217" s="20"/>
    </row>
    <row r="218" ht="15.75" customHeight="1">
      <c r="A218" s="70"/>
      <c r="B218" s="75"/>
      <c r="C218" s="38"/>
      <c r="D218" s="39" t="s">
        <v>319</v>
      </c>
      <c r="E218" s="36">
        <v>0.0</v>
      </c>
      <c r="F218" s="42">
        <v>9.0</v>
      </c>
      <c r="G218" s="44" t="s">
        <v>63</v>
      </c>
      <c r="H218" s="36">
        <v>4.0</v>
      </c>
      <c r="I218" s="20"/>
    </row>
    <row r="219" ht="15.75" customHeight="1">
      <c r="A219" s="70"/>
      <c r="B219" s="75"/>
      <c r="C219" s="38"/>
      <c r="D219" s="39" t="s">
        <v>324</v>
      </c>
      <c r="E219" s="36">
        <v>0.0</v>
      </c>
      <c r="F219" s="42">
        <v>3.0</v>
      </c>
      <c r="G219" s="44" t="s">
        <v>50</v>
      </c>
      <c r="H219" s="36">
        <v>3.0</v>
      </c>
      <c r="I219" s="20"/>
    </row>
    <row r="220" ht="15.75" customHeight="1">
      <c r="A220" s="70"/>
      <c r="B220" s="75"/>
      <c r="C220" s="38"/>
      <c r="D220" s="39" t="s">
        <v>324</v>
      </c>
      <c r="E220" s="36">
        <v>0.0</v>
      </c>
      <c r="F220" s="42">
        <v>4.0</v>
      </c>
      <c r="G220" s="44" t="s">
        <v>52</v>
      </c>
      <c r="H220" s="36">
        <v>5.0</v>
      </c>
      <c r="I220" s="20"/>
    </row>
    <row r="221" ht="15.75" customHeight="1">
      <c r="A221" s="70"/>
      <c r="B221" s="75"/>
      <c r="C221" s="38"/>
      <c r="D221" s="39" t="s">
        <v>324</v>
      </c>
      <c r="E221" s="36">
        <v>0.0</v>
      </c>
      <c r="F221" s="42">
        <v>5.0</v>
      </c>
      <c r="G221" s="44" t="s">
        <v>54</v>
      </c>
      <c r="H221" s="36">
        <v>6.0</v>
      </c>
      <c r="I221" s="20"/>
    </row>
    <row r="222" ht="15.75" customHeight="1">
      <c r="A222" s="70"/>
      <c r="B222" s="75"/>
      <c r="C222" s="38"/>
      <c r="D222" s="39" t="s">
        <v>324</v>
      </c>
      <c r="E222" s="36">
        <v>0.0</v>
      </c>
      <c r="F222" s="42">
        <v>6.0</v>
      </c>
      <c r="G222" s="44" t="s">
        <v>57</v>
      </c>
      <c r="H222" s="36">
        <v>7.0</v>
      </c>
      <c r="I222" s="20"/>
    </row>
    <row r="223" ht="15.75" customHeight="1">
      <c r="A223" s="70"/>
      <c r="B223" s="75"/>
      <c r="C223" s="38"/>
      <c r="D223" s="39" t="s">
        <v>324</v>
      </c>
      <c r="E223" s="36">
        <v>0.0</v>
      </c>
      <c r="F223" s="42">
        <v>7.0</v>
      </c>
      <c r="G223" s="44" t="s">
        <v>59</v>
      </c>
      <c r="H223" s="36">
        <v>1.0</v>
      </c>
      <c r="I223" s="20"/>
    </row>
    <row r="224" ht="15.75" customHeight="1">
      <c r="A224" s="70"/>
      <c r="B224" s="75"/>
      <c r="C224" s="38"/>
      <c r="D224" s="39" t="s">
        <v>324</v>
      </c>
      <c r="E224" s="36">
        <v>0.0</v>
      </c>
      <c r="F224" s="42">
        <v>8.0</v>
      </c>
      <c r="G224" s="44" t="s">
        <v>62</v>
      </c>
      <c r="H224" s="36">
        <v>2.0</v>
      </c>
      <c r="I224" s="20"/>
    </row>
    <row r="225" ht="15.75" customHeight="1">
      <c r="A225" s="70"/>
      <c r="B225" s="75"/>
      <c r="C225" s="38"/>
      <c r="D225" s="39" t="s">
        <v>324</v>
      </c>
      <c r="E225" s="36">
        <v>0.0</v>
      </c>
      <c r="F225" s="42">
        <v>9.0</v>
      </c>
      <c r="G225" s="44" t="s">
        <v>63</v>
      </c>
      <c r="H225" s="36">
        <v>4.0</v>
      </c>
      <c r="I225" s="20"/>
    </row>
    <row r="226" ht="15.75" customHeight="1">
      <c r="A226" s="70"/>
      <c r="B226" s="75"/>
      <c r="C226" s="38"/>
      <c r="D226" s="39" t="s">
        <v>324</v>
      </c>
      <c r="E226" s="36">
        <v>0.0</v>
      </c>
      <c r="F226" s="42">
        <v>10.0</v>
      </c>
      <c r="G226" s="44" t="s">
        <v>249</v>
      </c>
      <c r="H226" s="36">
        <v>8.0</v>
      </c>
      <c r="I226" s="20"/>
    </row>
    <row r="227" ht="15.75" customHeight="1">
      <c r="A227" s="70"/>
      <c r="B227" s="75"/>
      <c r="C227" s="38"/>
      <c r="D227" s="39" t="s">
        <v>329</v>
      </c>
      <c r="E227" s="36">
        <v>0.0</v>
      </c>
      <c r="F227" s="42">
        <v>1.0</v>
      </c>
      <c r="G227" s="44" t="s">
        <v>43</v>
      </c>
      <c r="H227" s="36">
        <v>1.0</v>
      </c>
      <c r="I227" s="20"/>
    </row>
    <row r="228" ht="15.75" customHeight="1">
      <c r="A228" s="70"/>
      <c r="B228" s="75"/>
      <c r="C228" s="38"/>
      <c r="D228" s="39" t="s">
        <v>329</v>
      </c>
      <c r="E228" s="36">
        <v>0.0</v>
      </c>
      <c r="F228" s="42">
        <v>2.0</v>
      </c>
      <c r="G228" s="44" t="s">
        <v>47</v>
      </c>
      <c r="H228" s="36">
        <v>2.0</v>
      </c>
      <c r="I228" s="20"/>
    </row>
    <row r="229" ht="15.75" customHeight="1">
      <c r="A229" s="70"/>
      <c r="B229" s="75"/>
      <c r="C229" s="38"/>
      <c r="D229" s="39" t="s">
        <v>329</v>
      </c>
      <c r="E229" s="36">
        <v>0.0</v>
      </c>
      <c r="F229" s="42">
        <v>3.0</v>
      </c>
      <c r="G229" s="44" t="s">
        <v>50</v>
      </c>
      <c r="H229" s="36">
        <v>3.0</v>
      </c>
      <c r="I229" s="20"/>
    </row>
    <row r="230" ht="15.75" customHeight="1">
      <c r="A230" s="70"/>
      <c r="B230" s="75"/>
      <c r="C230" s="38"/>
      <c r="D230" s="39" t="s">
        <v>329</v>
      </c>
      <c r="E230" s="36">
        <v>0.0</v>
      </c>
      <c r="F230" s="42">
        <v>4.0</v>
      </c>
      <c r="G230" s="44" t="s">
        <v>51</v>
      </c>
      <c r="H230" s="36">
        <v>4.0</v>
      </c>
      <c r="I230" s="20"/>
    </row>
    <row r="231" ht="15.75" customHeight="1">
      <c r="A231" s="70"/>
      <c r="B231" s="75"/>
      <c r="C231" s="38"/>
      <c r="D231" s="39" t="s">
        <v>329</v>
      </c>
      <c r="E231" s="36">
        <v>0.0</v>
      </c>
      <c r="F231" s="42">
        <v>5.0</v>
      </c>
      <c r="G231" s="44" t="s">
        <v>54</v>
      </c>
      <c r="H231" s="36">
        <v>5.0</v>
      </c>
      <c r="I231" s="20"/>
    </row>
    <row r="232" ht="15.75" customHeight="1">
      <c r="A232" s="70"/>
      <c r="B232" s="75"/>
      <c r="C232" s="38"/>
      <c r="D232" s="39" t="s">
        <v>329</v>
      </c>
      <c r="E232" s="36">
        <v>0.0</v>
      </c>
      <c r="F232" s="42">
        <v>6.0</v>
      </c>
      <c r="G232" s="44" t="s">
        <v>57</v>
      </c>
      <c r="H232" s="36">
        <v>6.0</v>
      </c>
      <c r="I232" s="20"/>
    </row>
    <row r="233" ht="15.75" customHeight="1">
      <c r="A233" s="70"/>
      <c r="B233" s="75"/>
      <c r="C233" s="38"/>
      <c r="D233" s="39" t="s">
        <v>331</v>
      </c>
      <c r="E233" s="36">
        <v>0.0</v>
      </c>
      <c r="F233" s="42">
        <v>3.0</v>
      </c>
      <c r="G233" s="44" t="s">
        <v>50</v>
      </c>
      <c r="H233" s="36">
        <v>3.0</v>
      </c>
      <c r="I233" s="20"/>
    </row>
    <row r="234" ht="15.75" customHeight="1">
      <c r="A234" s="70"/>
      <c r="B234" s="75"/>
      <c r="C234" s="38"/>
      <c r="D234" s="39" t="s">
        <v>331</v>
      </c>
      <c r="E234" s="36">
        <v>0.0</v>
      </c>
      <c r="F234" s="42">
        <v>4.0</v>
      </c>
      <c r="G234" s="44" t="s">
        <v>52</v>
      </c>
      <c r="H234" s="36">
        <v>5.0</v>
      </c>
      <c r="I234" s="20"/>
    </row>
    <row r="235" ht="15.75" customHeight="1">
      <c r="A235" s="70"/>
      <c r="B235" s="75"/>
      <c r="C235" s="38"/>
      <c r="D235" s="39" t="s">
        <v>331</v>
      </c>
      <c r="E235" s="36">
        <v>0.0</v>
      </c>
      <c r="F235" s="42">
        <v>5.0</v>
      </c>
      <c r="G235" s="44" t="s">
        <v>54</v>
      </c>
      <c r="H235" s="36">
        <v>6.0</v>
      </c>
      <c r="I235" s="20"/>
    </row>
    <row r="236" ht="15.75" customHeight="1">
      <c r="A236" s="70"/>
      <c r="B236" s="75"/>
      <c r="C236" s="38"/>
      <c r="D236" s="39" t="s">
        <v>331</v>
      </c>
      <c r="E236" s="36">
        <v>0.0</v>
      </c>
      <c r="F236" s="42">
        <v>6.0</v>
      </c>
      <c r="G236" s="44" t="s">
        <v>57</v>
      </c>
      <c r="H236" s="36">
        <v>7.0</v>
      </c>
      <c r="I236" s="20"/>
    </row>
    <row r="237" ht="15.75" customHeight="1">
      <c r="A237" s="70"/>
      <c r="B237" s="75"/>
      <c r="C237" s="38"/>
      <c r="D237" s="39" t="s">
        <v>331</v>
      </c>
      <c r="E237" s="36">
        <v>0.0</v>
      </c>
      <c r="F237" s="42">
        <v>7.0</v>
      </c>
      <c r="G237" s="44" t="s">
        <v>59</v>
      </c>
      <c r="H237" s="36">
        <v>1.0</v>
      </c>
      <c r="I237" s="20"/>
    </row>
    <row r="238" ht="15.75" customHeight="1">
      <c r="A238" s="70"/>
      <c r="B238" s="75"/>
      <c r="C238" s="38"/>
      <c r="D238" s="39" t="s">
        <v>331</v>
      </c>
      <c r="E238" s="36">
        <v>0.0</v>
      </c>
      <c r="F238" s="42">
        <v>8.0</v>
      </c>
      <c r="G238" s="44" t="s">
        <v>62</v>
      </c>
      <c r="H238" s="36">
        <v>2.0</v>
      </c>
      <c r="I238" s="20"/>
    </row>
    <row r="239" ht="15.75" customHeight="1">
      <c r="A239" s="70"/>
      <c r="B239" s="75"/>
      <c r="C239" s="38"/>
      <c r="D239" s="39" t="s">
        <v>331</v>
      </c>
      <c r="E239" s="36">
        <v>0.0</v>
      </c>
      <c r="F239" s="42">
        <v>9.0</v>
      </c>
      <c r="G239" s="44" t="s">
        <v>63</v>
      </c>
      <c r="H239" s="36">
        <v>4.0</v>
      </c>
      <c r="I239" s="20"/>
    </row>
    <row r="240" ht="15.75" customHeight="1">
      <c r="A240" s="70"/>
      <c r="B240" s="75"/>
      <c r="C240" s="38"/>
      <c r="D240" s="39" t="s">
        <v>337</v>
      </c>
      <c r="E240" s="36">
        <v>0.0</v>
      </c>
      <c r="F240" s="42">
        <v>1.0</v>
      </c>
      <c r="G240" s="44" t="s">
        <v>246</v>
      </c>
      <c r="H240" s="36">
        <v>1.0</v>
      </c>
      <c r="I240" s="20"/>
    </row>
    <row r="241" ht="15.75" customHeight="1">
      <c r="A241" s="70"/>
      <c r="B241" s="75"/>
      <c r="C241" s="38"/>
      <c r="D241" s="39" t="s">
        <v>337</v>
      </c>
      <c r="E241" s="36">
        <v>0.0</v>
      </c>
      <c r="F241" s="42">
        <v>3.0</v>
      </c>
      <c r="G241" s="44" t="s">
        <v>247</v>
      </c>
      <c r="H241" s="36">
        <v>2.0</v>
      </c>
      <c r="I241" s="20"/>
    </row>
    <row r="242" ht="15.75" customHeight="1">
      <c r="A242" s="70"/>
      <c r="B242" s="75"/>
      <c r="C242" s="38"/>
      <c r="D242" s="39" t="s">
        <v>337</v>
      </c>
      <c r="E242" s="36">
        <v>0.0</v>
      </c>
      <c r="F242" s="42">
        <v>4.0</v>
      </c>
      <c r="G242" s="44" t="s">
        <v>247</v>
      </c>
      <c r="H242" s="36">
        <v>2.0</v>
      </c>
      <c r="I242" s="20"/>
    </row>
    <row r="243" ht="15.75" customHeight="1">
      <c r="A243" s="70"/>
      <c r="B243" s="75"/>
      <c r="C243" s="38"/>
      <c r="D243" s="39" t="s">
        <v>337</v>
      </c>
      <c r="E243" s="36">
        <v>0.0</v>
      </c>
      <c r="F243" s="42">
        <v>5.0</v>
      </c>
      <c r="G243" s="44" t="s">
        <v>248</v>
      </c>
      <c r="H243" s="36">
        <v>3.0</v>
      </c>
      <c r="I243" s="20"/>
    </row>
    <row r="244" ht="15.75" customHeight="1">
      <c r="A244" s="70"/>
      <c r="B244" s="75"/>
      <c r="C244" s="38"/>
      <c r="D244" s="39" t="s">
        <v>337</v>
      </c>
      <c r="E244" s="36">
        <v>0.0</v>
      </c>
      <c r="F244" s="42">
        <v>10.0</v>
      </c>
      <c r="G244" s="44" t="s">
        <v>66</v>
      </c>
      <c r="H244" s="36">
        <v>5.0</v>
      </c>
      <c r="I244" s="20"/>
    </row>
    <row r="245" ht="15.75" customHeight="1">
      <c r="A245" s="70"/>
      <c r="B245" s="75"/>
      <c r="C245" s="38"/>
      <c r="D245" s="39" t="s">
        <v>337</v>
      </c>
      <c r="E245" s="36">
        <v>0.0</v>
      </c>
      <c r="F245" s="42">
        <v>12.0</v>
      </c>
      <c r="G245" s="44" t="s">
        <v>249</v>
      </c>
      <c r="H245" s="36">
        <v>4.0</v>
      </c>
      <c r="I245" s="20"/>
    </row>
    <row r="246" ht="15.75" customHeight="1">
      <c r="A246" s="70"/>
      <c r="B246" s="75"/>
      <c r="C246" s="38"/>
      <c r="D246" s="39" t="s">
        <v>337</v>
      </c>
      <c r="E246" s="36">
        <v>0.0</v>
      </c>
      <c r="F246" s="42">
        <v>13.0</v>
      </c>
      <c r="G246" s="44" t="s">
        <v>68</v>
      </c>
      <c r="H246" s="36">
        <v>6.0</v>
      </c>
      <c r="I246" s="20"/>
    </row>
    <row r="247" ht="15.75" customHeight="1">
      <c r="A247" s="70"/>
      <c r="B247" s="75"/>
      <c r="C247" s="38"/>
      <c r="D247" s="39" t="s">
        <v>340</v>
      </c>
      <c r="E247" s="36">
        <v>0.0</v>
      </c>
      <c r="F247" s="42">
        <v>3.0</v>
      </c>
      <c r="G247" s="44" t="s">
        <v>50</v>
      </c>
      <c r="H247" s="36">
        <v>3.0</v>
      </c>
      <c r="I247" s="20"/>
    </row>
    <row r="248" ht="15.75" customHeight="1">
      <c r="A248" s="70"/>
      <c r="B248" s="75"/>
      <c r="C248" s="38"/>
      <c r="D248" s="39" t="s">
        <v>340</v>
      </c>
      <c r="E248" s="36">
        <v>0.0</v>
      </c>
      <c r="F248" s="42">
        <v>4.0</v>
      </c>
      <c r="G248" s="44" t="s">
        <v>52</v>
      </c>
      <c r="H248" s="36">
        <v>5.0</v>
      </c>
      <c r="I248" s="20"/>
    </row>
    <row r="249" ht="15.75" customHeight="1">
      <c r="A249" s="70"/>
      <c r="B249" s="75"/>
      <c r="C249" s="38"/>
      <c r="D249" s="39" t="s">
        <v>340</v>
      </c>
      <c r="E249" s="36">
        <v>0.0</v>
      </c>
      <c r="F249" s="42">
        <v>5.0</v>
      </c>
      <c r="G249" s="44" t="s">
        <v>54</v>
      </c>
      <c r="H249" s="36">
        <v>6.0</v>
      </c>
      <c r="I249" s="20"/>
    </row>
    <row r="250" ht="15.75" customHeight="1">
      <c r="A250" s="70"/>
      <c r="B250" s="75"/>
      <c r="C250" s="38"/>
      <c r="D250" s="39" t="s">
        <v>340</v>
      </c>
      <c r="E250" s="36">
        <v>0.0</v>
      </c>
      <c r="F250" s="42">
        <v>6.0</v>
      </c>
      <c r="G250" s="44" t="s">
        <v>213</v>
      </c>
      <c r="H250" s="36">
        <v>7.0</v>
      </c>
      <c r="I250" s="20"/>
    </row>
    <row r="251" ht="15.75" customHeight="1">
      <c r="A251" s="70"/>
      <c r="B251" s="75"/>
      <c r="C251" s="38"/>
      <c r="D251" s="39" t="s">
        <v>340</v>
      </c>
      <c r="E251" s="36">
        <v>0.0</v>
      </c>
      <c r="F251" s="42">
        <v>7.0</v>
      </c>
      <c r="G251" s="44" t="s">
        <v>59</v>
      </c>
      <c r="H251" s="36">
        <v>1.0</v>
      </c>
      <c r="I251" s="20"/>
    </row>
    <row r="252" ht="15.75" customHeight="1">
      <c r="A252" s="70"/>
      <c r="B252" s="75"/>
      <c r="C252" s="38"/>
      <c r="D252" s="39" t="s">
        <v>340</v>
      </c>
      <c r="E252" s="36">
        <v>0.0</v>
      </c>
      <c r="F252" s="42">
        <v>8.0</v>
      </c>
      <c r="G252" s="44" t="s">
        <v>225</v>
      </c>
      <c r="H252" s="36">
        <v>2.0</v>
      </c>
      <c r="I252" s="20"/>
    </row>
    <row r="253" ht="15.75" customHeight="1">
      <c r="A253" s="70"/>
      <c r="B253" s="75"/>
      <c r="C253" s="38"/>
      <c r="D253" s="39" t="s">
        <v>340</v>
      </c>
      <c r="E253" s="36">
        <v>0.0</v>
      </c>
      <c r="F253" s="42">
        <v>9.0</v>
      </c>
      <c r="G253" s="44" t="s">
        <v>63</v>
      </c>
      <c r="H253" s="36">
        <v>4.0</v>
      </c>
      <c r="I253" s="20"/>
    </row>
    <row r="254" ht="15.75" customHeight="1">
      <c r="A254" s="70"/>
      <c r="B254" s="75"/>
      <c r="C254" s="38"/>
      <c r="D254" s="39" t="s">
        <v>342</v>
      </c>
      <c r="E254" s="36">
        <v>0.0</v>
      </c>
      <c r="F254" s="42">
        <v>3.0</v>
      </c>
      <c r="G254" s="44" t="s">
        <v>50</v>
      </c>
      <c r="H254" s="36">
        <v>3.0</v>
      </c>
      <c r="I254" s="20"/>
    </row>
    <row r="255" ht="15.75" customHeight="1">
      <c r="A255" s="70"/>
      <c r="B255" s="75"/>
      <c r="C255" s="38"/>
      <c r="D255" s="39" t="s">
        <v>342</v>
      </c>
      <c r="E255" s="36">
        <v>0.0</v>
      </c>
      <c r="F255" s="42">
        <v>4.0</v>
      </c>
      <c r="G255" s="44" t="s">
        <v>52</v>
      </c>
      <c r="H255" s="36">
        <v>5.0</v>
      </c>
      <c r="I255" s="20"/>
    </row>
    <row r="256" ht="15.75" customHeight="1">
      <c r="A256" s="70"/>
      <c r="B256" s="75"/>
      <c r="C256" s="38"/>
      <c r="D256" s="39" t="s">
        <v>342</v>
      </c>
      <c r="E256" s="36">
        <v>0.0</v>
      </c>
      <c r="F256" s="42">
        <v>5.0</v>
      </c>
      <c r="G256" s="44" t="s">
        <v>54</v>
      </c>
      <c r="H256" s="36">
        <v>6.0</v>
      </c>
      <c r="I256" s="20"/>
    </row>
    <row r="257" ht="15.75" customHeight="1">
      <c r="A257" s="70"/>
      <c r="B257" s="75"/>
      <c r="C257" s="38"/>
      <c r="D257" s="39" t="s">
        <v>342</v>
      </c>
      <c r="E257" s="36">
        <v>0.0</v>
      </c>
      <c r="F257" s="42">
        <v>6.0</v>
      </c>
      <c r="G257" s="44" t="s">
        <v>213</v>
      </c>
      <c r="H257" s="36">
        <v>7.0</v>
      </c>
      <c r="I257" s="20"/>
    </row>
    <row r="258" ht="15.75" customHeight="1">
      <c r="A258" s="70"/>
      <c r="B258" s="75"/>
      <c r="C258" s="38"/>
      <c r="D258" s="39" t="s">
        <v>342</v>
      </c>
      <c r="E258" s="36">
        <v>0.0</v>
      </c>
      <c r="F258" s="42">
        <v>7.0</v>
      </c>
      <c r="G258" s="44" t="s">
        <v>59</v>
      </c>
      <c r="H258" s="36">
        <v>1.0</v>
      </c>
      <c r="I258" s="20"/>
    </row>
    <row r="259" ht="15.75" customHeight="1">
      <c r="A259" s="70"/>
      <c r="B259" s="75"/>
      <c r="C259" s="38"/>
      <c r="D259" s="39" t="s">
        <v>342</v>
      </c>
      <c r="E259" s="36">
        <v>0.0</v>
      </c>
      <c r="F259" s="42">
        <v>8.0</v>
      </c>
      <c r="G259" s="44" t="s">
        <v>225</v>
      </c>
      <c r="H259" s="36">
        <v>2.0</v>
      </c>
      <c r="I259" s="20"/>
    </row>
    <row r="260" ht="15.75" customHeight="1">
      <c r="A260" s="70"/>
      <c r="B260" s="75"/>
      <c r="C260" s="38"/>
      <c r="D260" s="39" t="s">
        <v>342</v>
      </c>
      <c r="E260" s="36">
        <v>0.0</v>
      </c>
      <c r="F260" s="42">
        <v>9.0</v>
      </c>
      <c r="G260" s="44" t="s">
        <v>63</v>
      </c>
      <c r="H260" s="36">
        <v>4.0</v>
      </c>
      <c r="I260" s="20"/>
    </row>
    <row r="261" ht="15.75" customHeight="1">
      <c r="A261" s="70"/>
      <c r="B261" s="75"/>
      <c r="C261" s="38"/>
      <c r="D261" s="39" t="s">
        <v>345</v>
      </c>
      <c r="E261" s="36">
        <v>0.0</v>
      </c>
      <c r="F261" s="42">
        <v>1.0</v>
      </c>
      <c r="G261" s="44" t="s">
        <v>43</v>
      </c>
      <c r="H261" s="36">
        <v>1.0</v>
      </c>
      <c r="I261" s="20"/>
    </row>
    <row r="262" ht="15.75" customHeight="1">
      <c r="A262" s="70"/>
      <c r="B262" s="75"/>
      <c r="C262" s="38"/>
      <c r="D262" s="39" t="s">
        <v>345</v>
      </c>
      <c r="E262" s="36">
        <v>0.0</v>
      </c>
      <c r="F262" s="42">
        <v>2.0</v>
      </c>
      <c r="G262" s="44" t="s">
        <v>47</v>
      </c>
      <c r="H262" s="36">
        <v>2.0</v>
      </c>
      <c r="I262" s="20"/>
    </row>
    <row r="263" ht="15.75" customHeight="1">
      <c r="A263" s="70"/>
      <c r="B263" s="75"/>
      <c r="C263" s="38"/>
      <c r="D263" s="39" t="s">
        <v>345</v>
      </c>
      <c r="E263" s="36">
        <v>0.0</v>
      </c>
      <c r="F263" s="42">
        <v>3.0</v>
      </c>
      <c r="G263" s="44" t="s">
        <v>50</v>
      </c>
      <c r="H263" s="36">
        <v>3.0</v>
      </c>
      <c r="I263" s="20"/>
    </row>
    <row r="264" ht="15.75" customHeight="1">
      <c r="A264" s="70"/>
      <c r="B264" s="75"/>
      <c r="C264" s="38"/>
      <c r="D264" s="39" t="s">
        <v>345</v>
      </c>
      <c r="E264" s="36">
        <v>0.0</v>
      </c>
      <c r="F264" s="42">
        <v>4.0</v>
      </c>
      <c r="G264" s="44" t="s">
        <v>51</v>
      </c>
      <c r="H264" s="36">
        <v>4.0</v>
      </c>
      <c r="I264" s="20"/>
    </row>
    <row r="265" ht="15.75" customHeight="1">
      <c r="A265" s="70"/>
      <c r="B265" s="75"/>
      <c r="C265" s="38"/>
      <c r="D265" s="39" t="s">
        <v>345</v>
      </c>
      <c r="E265" s="36">
        <v>0.0</v>
      </c>
      <c r="F265" s="42">
        <v>5.0</v>
      </c>
      <c r="G265" s="44" t="s">
        <v>54</v>
      </c>
      <c r="H265" s="36">
        <v>5.0</v>
      </c>
      <c r="I265" s="20"/>
    </row>
    <row r="266" ht="15.75" customHeight="1">
      <c r="A266" s="70"/>
      <c r="B266" s="75"/>
      <c r="C266" s="38"/>
      <c r="D266" s="39" t="s">
        <v>345</v>
      </c>
      <c r="E266" s="36">
        <v>0.0</v>
      </c>
      <c r="F266" s="42">
        <v>6.0</v>
      </c>
      <c r="G266" s="44" t="s">
        <v>57</v>
      </c>
      <c r="H266" s="36">
        <v>6.0</v>
      </c>
      <c r="I266" s="20"/>
    </row>
    <row r="267" ht="15.75" customHeight="1">
      <c r="A267" s="70"/>
      <c r="B267" s="75"/>
      <c r="C267" s="38"/>
      <c r="D267" s="39" t="s">
        <v>348</v>
      </c>
      <c r="E267" s="36">
        <v>0.0</v>
      </c>
      <c r="F267" s="42">
        <v>3.0</v>
      </c>
      <c r="G267" s="44" t="s">
        <v>50</v>
      </c>
      <c r="H267" s="36">
        <v>3.0</v>
      </c>
      <c r="I267" s="20"/>
    </row>
    <row r="268" ht="15.75" customHeight="1">
      <c r="A268" s="70"/>
      <c r="B268" s="75"/>
      <c r="C268" s="38"/>
      <c r="D268" s="39" t="s">
        <v>348</v>
      </c>
      <c r="E268" s="36">
        <v>0.0</v>
      </c>
      <c r="F268" s="42">
        <v>4.0</v>
      </c>
      <c r="G268" s="44" t="s">
        <v>52</v>
      </c>
      <c r="H268" s="36">
        <v>5.0</v>
      </c>
      <c r="I268" s="20"/>
    </row>
    <row r="269" ht="15.75" customHeight="1">
      <c r="A269" s="70"/>
      <c r="B269" s="75"/>
      <c r="C269" s="38"/>
      <c r="D269" s="39" t="s">
        <v>348</v>
      </c>
      <c r="E269" s="36">
        <v>0.0</v>
      </c>
      <c r="F269" s="42">
        <v>5.0</v>
      </c>
      <c r="G269" s="44" t="s">
        <v>54</v>
      </c>
      <c r="H269" s="36">
        <v>6.0</v>
      </c>
      <c r="I269" s="20"/>
    </row>
    <row r="270" ht="15.75" customHeight="1">
      <c r="A270" s="70"/>
      <c r="B270" s="75"/>
      <c r="C270" s="38"/>
      <c r="D270" s="39" t="s">
        <v>348</v>
      </c>
      <c r="E270" s="36">
        <v>0.0</v>
      </c>
      <c r="F270" s="42">
        <v>6.0</v>
      </c>
      <c r="G270" s="44" t="s">
        <v>57</v>
      </c>
      <c r="H270" s="36">
        <v>7.0</v>
      </c>
      <c r="I270" s="20"/>
    </row>
    <row r="271" ht="15.75" customHeight="1">
      <c r="A271" s="70"/>
      <c r="B271" s="75"/>
      <c r="C271" s="38"/>
      <c r="D271" s="39" t="s">
        <v>348</v>
      </c>
      <c r="E271" s="36">
        <v>0.0</v>
      </c>
      <c r="F271" s="42">
        <v>7.0</v>
      </c>
      <c r="G271" s="44" t="s">
        <v>59</v>
      </c>
      <c r="H271" s="36">
        <v>1.0</v>
      </c>
      <c r="I271" s="20"/>
    </row>
    <row r="272" ht="15.75" customHeight="1">
      <c r="A272" s="70"/>
      <c r="B272" s="75"/>
      <c r="C272" s="38"/>
      <c r="D272" s="39" t="s">
        <v>348</v>
      </c>
      <c r="E272" s="36">
        <v>0.0</v>
      </c>
      <c r="F272" s="42">
        <v>8.0</v>
      </c>
      <c r="G272" s="44" t="s">
        <v>62</v>
      </c>
      <c r="H272" s="36">
        <v>2.0</v>
      </c>
      <c r="I272" s="20"/>
    </row>
    <row r="273" ht="15.75" customHeight="1">
      <c r="A273" s="70"/>
      <c r="B273" s="75"/>
      <c r="C273" s="38"/>
      <c r="D273" s="39" t="s">
        <v>348</v>
      </c>
      <c r="E273" s="36">
        <v>0.0</v>
      </c>
      <c r="F273" s="42">
        <v>9.0</v>
      </c>
      <c r="G273" s="44" t="s">
        <v>63</v>
      </c>
      <c r="H273" s="36">
        <v>4.0</v>
      </c>
      <c r="I273" s="20"/>
    </row>
    <row r="274" ht="15.75" customHeight="1">
      <c r="A274" s="70"/>
      <c r="B274" s="75"/>
      <c r="C274" s="38"/>
      <c r="D274" s="39" t="s">
        <v>350</v>
      </c>
      <c r="E274" s="36">
        <v>0.0</v>
      </c>
      <c r="F274" s="42">
        <v>1.0</v>
      </c>
      <c r="G274" s="44" t="s">
        <v>136</v>
      </c>
      <c r="H274" s="36">
        <v>0.0</v>
      </c>
      <c r="I274" s="20"/>
    </row>
    <row r="275" ht="15.75" customHeight="1">
      <c r="A275" s="70"/>
      <c r="B275" s="75"/>
      <c r="C275" s="38"/>
      <c r="D275" s="39" t="s">
        <v>350</v>
      </c>
      <c r="E275" s="36">
        <v>0.0</v>
      </c>
      <c r="F275" s="42">
        <v>3.0</v>
      </c>
      <c r="G275" s="44" t="s">
        <v>352</v>
      </c>
      <c r="H275" s="36">
        <v>3.0</v>
      </c>
      <c r="I275" s="20"/>
    </row>
    <row r="276" ht="15.75" customHeight="1">
      <c r="A276" s="70"/>
      <c r="B276" s="75"/>
      <c r="C276" s="38"/>
      <c r="D276" s="39" t="s">
        <v>350</v>
      </c>
      <c r="E276" s="36">
        <v>0.0</v>
      </c>
      <c r="F276" s="42">
        <v>4.0</v>
      </c>
      <c r="G276" s="44" t="s">
        <v>51</v>
      </c>
      <c r="H276" s="36">
        <v>4.0</v>
      </c>
      <c r="I276" s="20"/>
    </row>
    <row r="277" ht="15.75" customHeight="1">
      <c r="A277" s="70"/>
      <c r="B277" s="75"/>
      <c r="C277" s="38"/>
      <c r="D277" s="39" t="s">
        <v>350</v>
      </c>
      <c r="E277" s="36">
        <v>0.0</v>
      </c>
      <c r="F277" s="42">
        <v>8.0</v>
      </c>
      <c r="G277" s="44" t="s">
        <v>225</v>
      </c>
      <c r="H277" s="36">
        <v>7.0</v>
      </c>
      <c r="I277" s="20"/>
    </row>
    <row r="278" ht="15.75" customHeight="1">
      <c r="A278" s="70"/>
      <c r="B278" s="75"/>
      <c r="C278" s="38"/>
      <c r="D278" s="39" t="s">
        <v>350</v>
      </c>
      <c r="E278" s="36">
        <v>0.0</v>
      </c>
      <c r="F278" s="42">
        <v>10.0</v>
      </c>
      <c r="G278" s="44" t="s">
        <v>353</v>
      </c>
      <c r="H278" s="36">
        <v>9.0</v>
      </c>
      <c r="I278" s="20"/>
    </row>
    <row r="279" ht="15.75" customHeight="1">
      <c r="A279" s="70"/>
      <c r="B279" s="75"/>
      <c r="C279" s="38"/>
      <c r="D279" s="39" t="s">
        <v>350</v>
      </c>
      <c r="E279" s="36">
        <v>0.0</v>
      </c>
      <c r="F279" s="42">
        <v>12.0</v>
      </c>
      <c r="G279" s="44" t="s">
        <v>66</v>
      </c>
      <c r="H279" s="36">
        <v>11.0</v>
      </c>
      <c r="I279" s="20"/>
    </row>
    <row r="280" ht="15.75" customHeight="1">
      <c r="A280" s="70"/>
      <c r="B280" s="75"/>
      <c r="C280" s="38"/>
      <c r="D280" s="39" t="s">
        <v>350</v>
      </c>
      <c r="E280" s="36">
        <v>0.0</v>
      </c>
      <c r="F280" s="42">
        <v>14.0</v>
      </c>
      <c r="G280" s="44" t="s">
        <v>70</v>
      </c>
      <c r="H280" s="36">
        <v>2.0</v>
      </c>
      <c r="I280" s="20"/>
    </row>
    <row r="281" ht="15.75" customHeight="1">
      <c r="A281" s="70"/>
      <c r="B281" s="75"/>
      <c r="C281" s="38"/>
      <c r="D281" s="39" t="s">
        <v>350</v>
      </c>
      <c r="E281" s="36">
        <v>0.0</v>
      </c>
      <c r="F281" s="42">
        <v>17.0</v>
      </c>
      <c r="G281" s="44" t="s">
        <v>354</v>
      </c>
      <c r="H281" s="36">
        <v>12.0</v>
      </c>
      <c r="I281" s="20"/>
    </row>
    <row r="282" ht="15.75" customHeight="1">
      <c r="A282" s="70"/>
      <c r="B282" s="75"/>
      <c r="C282" s="38"/>
      <c r="D282" s="39" t="s">
        <v>350</v>
      </c>
      <c r="E282" s="36">
        <v>0.0</v>
      </c>
      <c r="F282" s="42">
        <v>24.0</v>
      </c>
      <c r="G282" s="44" t="s">
        <v>155</v>
      </c>
      <c r="H282" s="36">
        <v>8.0</v>
      </c>
      <c r="I282" s="20"/>
    </row>
    <row r="283" ht="15.75" customHeight="1">
      <c r="A283" s="70"/>
      <c r="B283" s="75"/>
      <c r="C283" s="38"/>
      <c r="D283" s="39" t="s">
        <v>357</v>
      </c>
      <c r="E283" s="36">
        <v>0.0</v>
      </c>
      <c r="F283" s="42">
        <v>1.0</v>
      </c>
      <c r="G283" s="44" t="s">
        <v>136</v>
      </c>
      <c r="H283" s="36">
        <v>0.0</v>
      </c>
      <c r="I283" s="20"/>
    </row>
    <row r="284" ht="15.75" customHeight="1">
      <c r="A284" s="70"/>
      <c r="B284" s="75"/>
      <c r="C284" s="38"/>
      <c r="D284" s="39" t="s">
        <v>357</v>
      </c>
      <c r="E284" s="36">
        <v>0.0</v>
      </c>
      <c r="F284" s="42">
        <v>2.0</v>
      </c>
      <c r="G284" s="44" t="s">
        <v>358</v>
      </c>
      <c r="H284" s="36">
        <v>5.0</v>
      </c>
      <c r="I284" s="20"/>
    </row>
    <row r="285" ht="15.75" customHeight="1">
      <c r="A285" s="70"/>
      <c r="B285" s="75"/>
      <c r="C285" s="38"/>
      <c r="D285" s="39" t="s">
        <v>357</v>
      </c>
      <c r="E285" s="36">
        <v>0.0</v>
      </c>
      <c r="F285" s="42">
        <v>3.0</v>
      </c>
      <c r="G285" s="44" t="s">
        <v>352</v>
      </c>
      <c r="H285" s="36">
        <v>3.0</v>
      </c>
      <c r="I285" s="20"/>
    </row>
    <row r="286" ht="15.75" customHeight="1">
      <c r="A286" s="70"/>
      <c r="B286" s="75"/>
      <c r="C286" s="38"/>
      <c r="D286" s="39" t="s">
        <v>357</v>
      </c>
      <c r="E286" s="36">
        <v>0.0</v>
      </c>
      <c r="F286" s="42">
        <v>4.0</v>
      </c>
      <c r="G286" s="44" t="s">
        <v>51</v>
      </c>
      <c r="H286" s="36">
        <v>4.0</v>
      </c>
      <c r="I286" s="20"/>
    </row>
    <row r="287" ht="15.75" customHeight="1">
      <c r="A287" s="70"/>
      <c r="B287" s="75"/>
      <c r="C287" s="38"/>
      <c r="D287" s="39" t="s">
        <v>357</v>
      </c>
      <c r="E287" s="36">
        <v>0.0</v>
      </c>
      <c r="F287" s="42">
        <v>8.0</v>
      </c>
      <c r="G287" s="44" t="s">
        <v>225</v>
      </c>
      <c r="H287" s="36">
        <v>6.0</v>
      </c>
      <c r="I287" s="20"/>
    </row>
    <row r="288" ht="15.75" customHeight="1">
      <c r="A288" s="70"/>
      <c r="B288" s="75"/>
      <c r="C288" s="38"/>
      <c r="D288" s="39" t="s">
        <v>357</v>
      </c>
      <c r="E288" s="36">
        <v>0.0</v>
      </c>
      <c r="F288" s="42">
        <v>10.0</v>
      </c>
      <c r="G288" s="44" t="s">
        <v>353</v>
      </c>
      <c r="H288" s="36">
        <v>9.0</v>
      </c>
      <c r="I288" s="20"/>
    </row>
    <row r="289" ht="15.75" customHeight="1">
      <c r="A289" s="70"/>
      <c r="B289" s="75"/>
      <c r="C289" s="38"/>
      <c r="D289" s="39" t="s">
        <v>357</v>
      </c>
      <c r="E289" s="36">
        <v>0.0</v>
      </c>
      <c r="F289" s="42">
        <v>12.0</v>
      </c>
      <c r="G289" s="44" t="s">
        <v>66</v>
      </c>
      <c r="H289" s="36"/>
      <c r="I289" s="20"/>
    </row>
    <row r="290" ht="15.75" customHeight="1">
      <c r="A290" s="70"/>
      <c r="B290" s="75"/>
      <c r="C290" s="38"/>
      <c r="D290" s="39" t="s">
        <v>357</v>
      </c>
      <c r="E290" s="36">
        <v>0.0</v>
      </c>
      <c r="F290" s="42">
        <v>14.0</v>
      </c>
      <c r="G290" s="44" t="s">
        <v>70</v>
      </c>
      <c r="H290" s="36">
        <v>2.0</v>
      </c>
      <c r="I290" s="20"/>
    </row>
    <row r="291" ht="15.75" customHeight="1">
      <c r="A291" s="70"/>
      <c r="B291" s="75"/>
      <c r="C291" s="38"/>
      <c r="D291" s="39" t="s">
        <v>357</v>
      </c>
      <c r="E291" s="36">
        <v>0.0</v>
      </c>
      <c r="F291" s="42">
        <v>15.0</v>
      </c>
      <c r="G291" s="44" t="s">
        <v>361</v>
      </c>
      <c r="H291" s="36">
        <v>1.0</v>
      </c>
      <c r="I291" s="20"/>
    </row>
    <row r="292" ht="15.75" customHeight="1">
      <c r="A292" s="70"/>
      <c r="B292" s="75"/>
      <c r="C292" s="38"/>
      <c r="D292" s="39" t="s">
        <v>357</v>
      </c>
      <c r="E292" s="36">
        <v>0.0</v>
      </c>
      <c r="F292" s="42">
        <v>43.0</v>
      </c>
      <c r="G292" s="44" t="s">
        <v>155</v>
      </c>
      <c r="H292" s="36">
        <v>8.0</v>
      </c>
      <c r="I292" s="20"/>
    </row>
    <row r="293" ht="15.75" customHeight="1">
      <c r="A293" s="70"/>
      <c r="B293" s="75"/>
      <c r="C293" s="38"/>
      <c r="D293" s="39" t="s">
        <v>363</v>
      </c>
      <c r="E293" s="36">
        <v>0.0</v>
      </c>
      <c r="F293" s="42">
        <v>3.0</v>
      </c>
      <c r="G293" s="44" t="s">
        <v>50</v>
      </c>
      <c r="H293" s="36">
        <v>3.0</v>
      </c>
      <c r="I293" s="20"/>
    </row>
    <row r="294" ht="15.75" customHeight="1">
      <c r="A294" s="70"/>
      <c r="B294" s="75"/>
      <c r="C294" s="38"/>
      <c r="D294" s="39" t="s">
        <v>363</v>
      </c>
      <c r="E294" s="36">
        <v>0.0</v>
      </c>
      <c r="F294" s="42">
        <v>4.0</v>
      </c>
      <c r="G294" s="44" t="s">
        <v>52</v>
      </c>
      <c r="H294" s="36">
        <v>5.0</v>
      </c>
      <c r="I294" s="20"/>
    </row>
    <row r="295" ht="15.75" customHeight="1">
      <c r="A295" s="70"/>
      <c r="B295" s="75"/>
      <c r="C295" s="38"/>
      <c r="D295" s="39" t="s">
        <v>363</v>
      </c>
      <c r="E295" s="36">
        <v>0.0</v>
      </c>
      <c r="F295" s="42">
        <v>5.0</v>
      </c>
      <c r="G295" s="44" t="s">
        <v>54</v>
      </c>
      <c r="H295" s="36">
        <v>6.0</v>
      </c>
      <c r="I295" s="20"/>
    </row>
    <row r="296" ht="15.75" customHeight="1">
      <c r="A296" s="70"/>
      <c r="B296" s="75"/>
      <c r="C296" s="38"/>
      <c r="D296" s="39" t="s">
        <v>363</v>
      </c>
      <c r="E296" s="36">
        <v>0.0</v>
      </c>
      <c r="F296" s="42">
        <v>6.0</v>
      </c>
      <c r="G296" s="44" t="s">
        <v>57</v>
      </c>
      <c r="H296" s="36">
        <v>7.0</v>
      </c>
      <c r="I296" s="20"/>
    </row>
    <row r="297" ht="15.75" customHeight="1">
      <c r="A297" s="70"/>
      <c r="B297" s="75"/>
      <c r="C297" s="38"/>
      <c r="D297" s="39" t="s">
        <v>363</v>
      </c>
      <c r="E297" s="36">
        <v>0.0</v>
      </c>
      <c r="F297" s="42">
        <v>7.0</v>
      </c>
      <c r="G297" s="44" t="s">
        <v>59</v>
      </c>
      <c r="H297" s="36">
        <v>1.0</v>
      </c>
      <c r="I297" s="20"/>
    </row>
    <row r="298" ht="15.75" customHeight="1">
      <c r="A298" s="70"/>
      <c r="B298" s="75"/>
      <c r="C298" s="38"/>
      <c r="D298" s="39" t="s">
        <v>363</v>
      </c>
      <c r="E298" s="36">
        <v>0.0</v>
      </c>
      <c r="F298" s="42">
        <v>8.0</v>
      </c>
      <c r="G298" s="44" t="s">
        <v>62</v>
      </c>
      <c r="H298" s="36">
        <v>2.0</v>
      </c>
      <c r="I298" s="20"/>
    </row>
    <row r="299" ht="15.75" customHeight="1">
      <c r="A299" s="70"/>
      <c r="B299" s="75"/>
      <c r="C299" s="38"/>
      <c r="D299" s="39" t="s">
        <v>363</v>
      </c>
      <c r="E299" s="36">
        <v>0.0</v>
      </c>
      <c r="F299" s="42">
        <v>9.0</v>
      </c>
      <c r="G299" s="44" t="s">
        <v>63</v>
      </c>
      <c r="H299" s="36">
        <v>4.0</v>
      </c>
      <c r="I299" s="20"/>
    </row>
    <row r="300" ht="15.75" customHeight="1">
      <c r="A300" s="70"/>
      <c r="B300" s="75"/>
      <c r="C300" s="38"/>
      <c r="D300" s="39" t="s">
        <v>366</v>
      </c>
      <c r="E300" s="36">
        <v>0.0</v>
      </c>
      <c r="F300" s="42">
        <v>1.0</v>
      </c>
      <c r="G300" s="44" t="s">
        <v>43</v>
      </c>
      <c r="H300" s="36">
        <v>1.0</v>
      </c>
      <c r="I300" s="20"/>
    </row>
    <row r="301" ht="15.75" customHeight="1">
      <c r="A301" s="70"/>
      <c r="B301" s="75"/>
      <c r="C301" s="38"/>
      <c r="D301" s="39" t="s">
        <v>366</v>
      </c>
      <c r="E301" s="36">
        <v>0.0</v>
      </c>
      <c r="F301" s="42">
        <v>2.0</v>
      </c>
      <c r="G301" s="44" t="s">
        <v>47</v>
      </c>
      <c r="H301" s="36">
        <v>2.0</v>
      </c>
      <c r="I301" s="20"/>
    </row>
    <row r="302" ht="15.75" customHeight="1">
      <c r="A302" s="70"/>
      <c r="B302" s="75"/>
      <c r="C302" s="38"/>
      <c r="D302" s="39" t="s">
        <v>366</v>
      </c>
      <c r="E302" s="36">
        <v>0.0</v>
      </c>
      <c r="F302" s="42">
        <v>3.0</v>
      </c>
      <c r="G302" s="44" t="s">
        <v>50</v>
      </c>
      <c r="H302" s="36">
        <v>3.0</v>
      </c>
      <c r="I302" s="20"/>
    </row>
    <row r="303" ht="15.75" customHeight="1">
      <c r="A303" s="70"/>
      <c r="B303" s="75"/>
      <c r="C303" s="38"/>
      <c r="D303" s="39" t="s">
        <v>366</v>
      </c>
      <c r="E303" s="36">
        <v>0.0</v>
      </c>
      <c r="F303" s="42">
        <v>4.0</v>
      </c>
      <c r="G303" s="44" t="s">
        <v>51</v>
      </c>
      <c r="H303" s="36">
        <v>4.0</v>
      </c>
      <c r="I303" s="20"/>
    </row>
    <row r="304" ht="15.75" customHeight="1">
      <c r="A304" s="70"/>
      <c r="B304" s="75"/>
      <c r="C304" s="38"/>
      <c r="D304" s="39" t="s">
        <v>366</v>
      </c>
      <c r="E304" s="36">
        <v>0.0</v>
      </c>
      <c r="F304" s="42">
        <v>5.0</v>
      </c>
      <c r="G304" s="44" t="s">
        <v>54</v>
      </c>
      <c r="H304" s="36">
        <v>5.0</v>
      </c>
      <c r="I304" s="20"/>
    </row>
    <row r="305" ht="15.75" customHeight="1">
      <c r="A305" s="70"/>
      <c r="B305" s="75"/>
      <c r="C305" s="38"/>
      <c r="D305" s="39" t="s">
        <v>366</v>
      </c>
      <c r="E305" s="36">
        <v>0.0</v>
      </c>
      <c r="F305" s="42">
        <v>6.0</v>
      </c>
      <c r="G305" s="44" t="s">
        <v>57</v>
      </c>
      <c r="H305" s="36">
        <v>6.0</v>
      </c>
      <c r="I305" s="20"/>
    </row>
    <row r="306" ht="15.75" customHeight="1">
      <c r="A306" s="70"/>
      <c r="B306" s="75"/>
      <c r="C306" s="38"/>
      <c r="D306" s="39" t="s">
        <v>368</v>
      </c>
      <c r="E306" s="36">
        <v>0.0</v>
      </c>
      <c r="F306" s="42">
        <v>1.0</v>
      </c>
      <c r="G306" s="44" t="s">
        <v>43</v>
      </c>
      <c r="H306" s="36">
        <v>1.0</v>
      </c>
      <c r="I306" s="20"/>
    </row>
    <row r="307" ht="15.75" customHeight="1">
      <c r="A307" s="70"/>
      <c r="B307" s="75"/>
      <c r="C307" s="38"/>
      <c r="D307" s="39" t="s">
        <v>368</v>
      </c>
      <c r="E307" s="36">
        <v>0.0</v>
      </c>
      <c r="F307" s="42">
        <v>2.0</v>
      </c>
      <c r="G307" s="44" t="s">
        <v>47</v>
      </c>
      <c r="H307" s="36">
        <v>2.0</v>
      </c>
      <c r="I307" s="20"/>
    </row>
    <row r="308" ht="15.75" customHeight="1">
      <c r="A308" s="70"/>
      <c r="B308" s="75"/>
      <c r="C308" s="38"/>
      <c r="D308" s="39" t="s">
        <v>368</v>
      </c>
      <c r="E308" s="36">
        <v>0.0</v>
      </c>
      <c r="F308" s="42">
        <v>3.0</v>
      </c>
      <c r="G308" s="44" t="s">
        <v>50</v>
      </c>
      <c r="H308" s="36">
        <v>3.0</v>
      </c>
      <c r="I308" s="20"/>
    </row>
    <row r="309" ht="15.75" customHeight="1">
      <c r="A309" s="70"/>
      <c r="B309" s="75"/>
      <c r="C309" s="38"/>
      <c r="D309" s="39" t="s">
        <v>368</v>
      </c>
      <c r="E309" s="36">
        <v>0.0</v>
      </c>
      <c r="F309" s="42">
        <v>4.0</v>
      </c>
      <c r="G309" s="44" t="s">
        <v>51</v>
      </c>
      <c r="H309" s="36">
        <v>4.0</v>
      </c>
      <c r="I309" s="20"/>
    </row>
    <row r="310" ht="15.75" customHeight="1">
      <c r="A310" s="70"/>
      <c r="B310" s="75"/>
      <c r="C310" s="38"/>
      <c r="D310" s="39" t="s">
        <v>368</v>
      </c>
      <c r="E310" s="36">
        <v>0.0</v>
      </c>
      <c r="F310" s="42">
        <v>5.0</v>
      </c>
      <c r="G310" s="44" t="s">
        <v>54</v>
      </c>
      <c r="H310" s="36">
        <v>5.0</v>
      </c>
      <c r="I310" s="20"/>
    </row>
    <row r="311" ht="15.75" customHeight="1">
      <c r="A311" s="70"/>
      <c r="B311" s="75"/>
      <c r="C311" s="38"/>
      <c r="D311" s="39" t="s">
        <v>368</v>
      </c>
      <c r="E311" s="36">
        <v>0.0</v>
      </c>
      <c r="F311" s="42">
        <v>6.0</v>
      </c>
      <c r="G311" s="44" t="s">
        <v>57</v>
      </c>
      <c r="H311" s="36">
        <v>6.0</v>
      </c>
      <c r="I311" s="20"/>
    </row>
    <row r="312" ht="15.75" customHeight="1">
      <c r="A312" s="70"/>
      <c r="B312" s="75"/>
      <c r="C312" s="38"/>
      <c r="D312" s="39" t="s">
        <v>372</v>
      </c>
      <c r="E312" s="36">
        <v>0.0</v>
      </c>
      <c r="F312" s="42">
        <v>1.0</v>
      </c>
      <c r="G312" s="44" t="s">
        <v>43</v>
      </c>
      <c r="H312" s="36">
        <v>1.0</v>
      </c>
      <c r="I312" s="20"/>
    </row>
    <row r="313" ht="15.75" customHeight="1">
      <c r="A313" s="70"/>
      <c r="B313" s="75"/>
      <c r="C313" s="38"/>
      <c r="D313" s="39" t="s">
        <v>372</v>
      </c>
      <c r="E313" s="36">
        <v>0.0</v>
      </c>
      <c r="F313" s="42">
        <v>2.0</v>
      </c>
      <c r="G313" s="44" t="s">
        <v>47</v>
      </c>
      <c r="H313" s="36">
        <v>2.0</v>
      </c>
      <c r="I313" s="20"/>
    </row>
    <row r="314" ht="15.75" customHeight="1">
      <c r="A314" s="70"/>
      <c r="B314" s="75"/>
      <c r="C314" s="38"/>
      <c r="D314" s="39" t="s">
        <v>372</v>
      </c>
      <c r="E314" s="36">
        <v>0.0</v>
      </c>
      <c r="F314" s="42">
        <v>3.0</v>
      </c>
      <c r="G314" s="44" t="s">
        <v>50</v>
      </c>
      <c r="H314" s="36">
        <v>3.0</v>
      </c>
      <c r="I314" s="20"/>
    </row>
    <row r="315" ht="15.75" customHeight="1">
      <c r="A315" s="70"/>
      <c r="B315" s="75"/>
      <c r="C315" s="38"/>
      <c r="D315" s="39" t="s">
        <v>372</v>
      </c>
      <c r="E315" s="36">
        <v>0.0</v>
      </c>
      <c r="F315" s="42">
        <v>4.0</v>
      </c>
      <c r="G315" s="44" t="s">
        <v>51</v>
      </c>
      <c r="H315" s="36">
        <v>4.0</v>
      </c>
      <c r="I315" s="20"/>
    </row>
    <row r="316" ht="15.75" customHeight="1">
      <c r="A316" s="70"/>
      <c r="B316" s="75"/>
      <c r="C316" s="38"/>
      <c r="D316" s="39" t="s">
        <v>372</v>
      </c>
      <c r="E316" s="36">
        <v>0.0</v>
      </c>
      <c r="F316" s="42">
        <v>5.0</v>
      </c>
      <c r="G316" s="44" t="s">
        <v>54</v>
      </c>
      <c r="H316" s="36">
        <v>5.0</v>
      </c>
      <c r="I316" s="20"/>
    </row>
    <row r="317" ht="15.75" customHeight="1">
      <c r="A317" s="70"/>
      <c r="B317" s="75"/>
      <c r="C317" s="38"/>
      <c r="D317" s="39" t="s">
        <v>372</v>
      </c>
      <c r="E317" s="36">
        <v>0.0</v>
      </c>
      <c r="F317" s="42">
        <v>6.0</v>
      </c>
      <c r="G317" s="44" t="s">
        <v>57</v>
      </c>
      <c r="H317" s="36">
        <v>6.0</v>
      </c>
      <c r="I317" s="20"/>
    </row>
    <row r="318" ht="15.75" customHeight="1">
      <c r="A318" s="70"/>
      <c r="B318" s="75"/>
      <c r="C318" s="38"/>
      <c r="D318" s="39" t="s">
        <v>373</v>
      </c>
      <c r="E318" s="36">
        <v>0.0</v>
      </c>
      <c r="F318" s="42">
        <v>1.0</v>
      </c>
      <c r="G318" s="44" t="s">
        <v>43</v>
      </c>
      <c r="H318" s="36">
        <v>1.0</v>
      </c>
      <c r="I318" s="20"/>
    </row>
    <row r="319" ht="15.75" customHeight="1">
      <c r="A319" s="70"/>
      <c r="B319" s="75"/>
      <c r="C319" s="38"/>
      <c r="D319" s="39" t="s">
        <v>373</v>
      </c>
      <c r="E319" s="36">
        <v>0.0</v>
      </c>
      <c r="F319" s="42">
        <v>2.0</v>
      </c>
      <c r="G319" s="44" t="s">
        <v>47</v>
      </c>
      <c r="H319" s="36">
        <v>2.0</v>
      </c>
      <c r="I319" s="20"/>
    </row>
    <row r="320" ht="15.75" customHeight="1">
      <c r="A320" s="70"/>
      <c r="B320" s="75"/>
      <c r="C320" s="38"/>
      <c r="D320" s="39" t="s">
        <v>373</v>
      </c>
      <c r="E320" s="36">
        <v>0.0</v>
      </c>
      <c r="F320" s="42">
        <v>3.0</v>
      </c>
      <c r="G320" s="44" t="s">
        <v>50</v>
      </c>
      <c r="H320" s="36">
        <v>3.0</v>
      </c>
      <c r="I320" s="20"/>
    </row>
    <row r="321" ht="15.75" customHeight="1">
      <c r="A321" s="70"/>
      <c r="B321" s="75"/>
      <c r="C321" s="38"/>
      <c r="D321" s="39" t="s">
        <v>373</v>
      </c>
      <c r="E321" s="36">
        <v>0.0</v>
      </c>
      <c r="F321" s="42">
        <v>4.0</v>
      </c>
      <c r="G321" s="44" t="s">
        <v>51</v>
      </c>
      <c r="H321" s="36">
        <v>4.0</v>
      </c>
      <c r="I321" s="20"/>
    </row>
    <row r="322" ht="15.75" customHeight="1">
      <c r="A322" s="70"/>
      <c r="B322" s="75"/>
      <c r="C322" s="38"/>
      <c r="D322" s="39" t="s">
        <v>373</v>
      </c>
      <c r="E322" s="36">
        <v>0.0</v>
      </c>
      <c r="F322" s="42">
        <v>5.0</v>
      </c>
      <c r="G322" s="44" t="s">
        <v>54</v>
      </c>
      <c r="H322" s="36">
        <v>5.0</v>
      </c>
      <c r="I322" s="20"/>
    </row>
    <row r="323" ht="15.75" customHeight="1">
      <c r="A323" s="70"/>
      <c r="B323" s="75"/>
      <c r="C323" s="38"/>
      <c r="D323" s="39" t="s">
        <v>373</v>
      </c>
      <c r="E323" s="36">
        <v>0.0</v>
      </c>
      <c r="F323" s="42">
        <v>6.0</v>
      </c>
      <c r="G323" s="44" t="s">
        <v>57</v>
      </c>
      <c r="H323" s="36">
        <v>6.0</v>
      </c>
      <c r="I323" s="20"/>
    </row>
    <row r="324" ht="15.75" customHeight="1">
      <c r="A324" s="70"/>
      <c r="B324" s="75"/>
      <c r="C324" s="38"/>
      <c r="D324" s="39" t="s">
        <v>377</v>
      </c>
      <c r="E324" s="36">
        <v>0.0</v>
      </c>
      <c r="F324" s="42">
        <v>1.0</v>
      </c>
      <c r="G324" s="44" t="s">
        <v>43</v>
      </c>
      <c r="H324" s="36">
        <v>1.0</v>
      </c>
      <c r="I324" s="20"/>
    </row>
    <row r="325" ht="15.75" customHeight="1">
      <c r="A325" s="70"/>
      <c r="B325" s="75"/>
      <c r="C325" s="38"/>
      <c r="D325" s="39" t="s">
        <v>377</v>
      </c>
      <c r="E325" s="36">
        <v>0.0</v>
      </c>
      <c r="F325" s="42">
        <v>2.0</v>
      </c>
      <c r="G325" s="44" t="s">
        <v>47</v>
      </c>
      <c r="H325" s="36">
        <v>2.0</v>
      </c>
      <c r="I325" s="20"/>
    </row>
    <row r="326" ht="15.75" customHeight="1">
      <c r="A326" s="70"/>
      <c r="B326" s="75"/>
      <c r="C326" s="38"/>
      <c r="D326" s="39" t="s">
        <v>377</v>
      </c>
      <c r="E326" s="36">
        <v>0.0</v>
      </c>
      <c r="F326" s="42">
        <v>3.0</v>
      </c>
      <c r="G326" s="44" t="s">
        <v>50</v>
      </c>
      <c r="H326" s="36">
        <v>3.0</v>
      </c>
      <c r="I326" s="20"/>
    </row>
    <row r="327" ht="15.75" customHeight="1">
      <c r="A327" s="70"/>
      <c r="B327" s="75"/>
      <c r="C327" s="38"/>
      <c r="D327" s="39" t="s">
        <v>377</v>
      </c>
      <c r="E327" s="36">
        <v>0.0</v>
      </c>
      <c r="F327" s="42">
        <v>4.0</v>
      </c>
      <c r="G327" s="44" t="s">
        <v>51</v>
      </c>
      <c r="H327" s="36">
        <v>4.0</v>
      </c>
      <c r="I327" s="20"/>
    </row>
    <row r="328" ht="15.75" customHeight="1">
      <c r="A328" s="70"/>
      <c r="B328" s="75"/>
      <c r="C328" s="38"/>
      <c r="D328" s="39" t="s">
        <v>377</v>
      </c>
      <c r="E328" s="36">
        <v>0.0</v>
      </c>
      <c r="F328" s="42">
        <v>5.0</v>
      </c>
      <c r="G328" s="44" t="s">
        <v>54</v>
      </c>
      <c r="H328" s="36">
        <v>5.0</v>
      </c>
      <c r="I328" s="20"/>
    </row>
    <row r="329" ht="15.75" customHeight="1">
      <c r="A329" s="70"/>
      <c r="B329" s="75"/>
      <c r="C329" s="38"/>
      <c r="D329" s="39" t="s">
        <v>377</v>
      </c>
      <c r="E329" s="36">
        <v>0.0</v>
      </c>
      <c r="F329" s="42">
        <v>6.0</v>
      </c>
      <c r="G329" s="44" t="s">
        <v>57</v>
      </c>
      <c r="H329" s="36">
        <v>6.0</v>
      </c>
      <c r="I329" s="20"/>
    </row>
    <row r="330" ht="15.75" customHeight="1">
      <c r="A330" s="70"/>
      <c r="B330" s="75"/>
      <c r="C330" s="38"/>
      <c r="D330" s="39" t="s">
        <v>378</v>
      </c>
      <c r="E330" s="36">
        <v>0.0</v>
      </c>
      <c r="F330" s="42">
        <v>1.0</v>
      </c>
      <c r="G330" s="44" t="s">
        <v>43</v>
      </c>
      <c r="H330" s="36">
        <v>1.0</v>
      </c>
      <c r="I330" s="20"/>
    </row>
    <row r="331" ht="15.75" customHeight="1">
      <c r="A331" s="70"/>
      <c r="B331" s="75"/>
      <c r="C331" s="38"/>
      <c r="D331" s="39" t="s">
        <v>378</v>
      </c>
      <c r="E331" s="36">
        <v>0.0</v>
      </c>
      <c r="F331" s="42">
        <v>2.0</v>
      </c>
      <c r="G331" s="44" t="s">
        <v>47</v>
      </c>
      <c r="H331" s="36">
        <v>2.0</v>
      </c>
      <c r="I331" s="20"/>
    </row>
    <row r="332" ht="15.75" customHeight="1">
      <c r="A332" s="70"/>
      <c r="B332" s="75"/>
      <c r="C332" s="38"/>
      <c r="D332" s="39" t="s">
        <v>378</v>
      </c>
      <c r="E332" s="36">
        <v>0.0</v>
      </c>
      <c r="F332" s="42">
        <v>3.0</v>
      </c>
      <c r="G332" s="44" t="s">
        <v>50</v>
      </c>
      <c r="H332" s="36">
        <v>3.0</v>
      </c>
      <c r="I332" s="20"/>
    </row>
    <row r="333" ht="15.75" customHeight="1">
      <c r="A333" s="70"/>
      <c r="B333" s="75"/>
      <c r="C333" s="38"/>
      <c r="D333" s="39" t="s">
        <v>378</v>
      </c>
      <c r="E333" s="36">
        <v>0.0</v>
      </c>
      <c r="F333" s="42">
        <v>4.0</v>
      </c>
      <c r="G333" s="44" t="s">
        <v>51</v>
      </c>
      <c r="H333" s="36">
        <v>4.0</v>
      </c>
      <c r="I333" s="20"/>
    </row>
    <row r="334" ht="15.75" customHeight="1">
      <c r="A334" s="70"/>
      <c r="B334" s="75"/>
      <c r="C334" s="38"/>
      <c r="D334" s="39" t="s">
        <v>378</v>
      </c>
      <c r="E334" s="36">
        <v>0.0</v>
      </c>
      <c r="F334" s="42">
        <v>5.0</v>
      </c>
      <c r="G334" s="44" t="s">
        <v>54</v>
      </c>
      <c r="H334" s="36">
        <v>5.0</v>
      </c>
      <c r="I334" s="20"/>
    </row>
    <row r="335" ht="15.75" customHeight="1">
      <c r="A335" s="70"/>
      <c r="B335" s="75"/>
      <c r="C335" s="38"/>
      <c r="D335" s="39" t="s">
        <v>378</v>
      </c>
      <c r="E335" s="36">
        <v>0.0</v>
      </c>
      <c r="F335" s="42">
        <v>6.0</v>
      </c>
      <c r="G335" s="44" t="s">
        <v>57</v>
      </c>
      <c r="H335" s="36">
        <v>6.0</v>
      </c>
      <c r="I335" s="20"/>
    </row>
    <row r="336" ht="15.75" customHeight="1">
      <c r="A336" s="70"/>
      <c r="B336" s="75"/>
      <c r="C336" s="38"/>
      <c r="D336" s="39" t="s">
        <v>382</v>
      </c>
      <c r="E336" s="36">
        <v>0.0</v>
      </c>
      <c r="F336" s="42">
        <v>1.0</v>
      </c>
      <c r="G336" s="44" t="s">
        <v>383</v>
      </c>
      <c r="H336" s="36">
        <v>0.0</v>
      </c>
      <c r="I336" s="20"/>
    </row>
    <row r="337" ht="15.75" customHeight="1">
      <c r="A337" s="70"/>
      <c r="B337" s="75"/>
      <c r="C337" s="38"/>
      <c r="D337" s="39" t="s">
        <v>382</v>
      </c>
      <c r="E337" s="36">
        <v>0.0</v>
      </c>
      <c r="F337" s="42">
        <v>2.0</v>
      </c>
      <c r="G337" s="44" t="s">
        <v>384</v>
      </c>
      <c r="H337" s="36">
        <v>0.0</v>
      </c>
      <c r="I337" s="20"/>
    </row>
    <row r="338" ht="15.75" customHeight="1">
      <c r="A338" s="70"/>
      <c r="B338" s="75"/>
      <c r="C338" s="38"/>
      <c r="D338" s="39" t="s">
        <v>382</v>
      </c>
      <c r="E338" s="36">
        <v>0.0</v>
      </c>
      <c r="F338" s="42">
        <v>3.0</v>
      </c>
      <c r="G338" s="44" t="s">
        <v>387</v>
      </c>
      <c r="H338" s="36">
        <v>6.0</v>
      </c>
      <c r="I338" s="20"/>
    </row>
    <row r="339" ht="15.75" customHeight="1">
      <c r="A339" s="70"/>
      <c r="B339" s="75"/>
      <c r="C339" s="38"/>
      <c r="D339" s="39" t="s">
        <v>382</v>
      </c>
      <c r="E339" s="36">
        <v>0.0</v>
      </c>
      <c r="F339" s="42">
        <v>4.0</v>
      </c>
      <c r="G339" s="44" t="s">
        <v>51</v>
      </c>
      <c r="H339" s="36">
        <v>7.0</v>
      </c>
      <c r="I339" s="20"/>
    </row>
    <row r="340" ht="15.75" customHeight="1">
      <c r="A340" s="70"/>
      <c r="B340" s="75"/>
      <c r="C340" s="38"/>
      <c r="D340" s="39" t="s">
        <v>382</v>
      </c>
      <c r="E340" s="36">
        <v>0.0</v>
      </c>
      <c r="F340" s="42">
        <v>10.0</v>
      </c>
      <c r="G340" s="44" t="s">
        <v>388</v>
      </c>
      <c r="H340" s="36">
        <v>8.0</v>
      </c>
      <c r="I340" s="20"/>
    </row>
    <row r="341" ht="15.75" customHeight="1">
      <c r="A341" s="70"/>
      <c r="B341" s="75"/>
      <c r="C341" s="38"/>
      <c r="D341" s="39" t="s">
        <v>382</v>
      </c>
      <c r="E341" s="36">
        <v>0.0</v>
      </c>
      <c r="F341" s="42">
        <v>11.0</v>
      </c>
      <c r="G341" s="44" t="s">
        <v>389</v>
      </c>
      <c r="H341" s="36">
        <v>2.0</v>
      </c>
      <c r="I341" s="20"/>
    </row>
    <row r="342" ht="15.75" customHeight="1">
      <c r="A342" s="70"/>
      <c r="B342" s="75"/>
      <c r="C342" s="38"/>
      <c r="D342" s="39" t="s">
        <v>382</v>
      </c>
      <c r="E342" s="36">
        <v>0.0</v>
      </c>
      <c r="F342" s="42">
        <v>20.0</v>
      </c>
      <c r="G342" s="44" t="s">
        <v>391</v>
      </c>
      <c r="H342" s="36">
        <v>1.0</v>
      </c>
      <c r="I342" s="20"/>
    </row>
    <row r="343" ht="15.75" customHeight="1">
      <c r="A343" s="70"/>
      <c r="B343" s="75"/>
      <c r="C343" s="38"/>
      <c r="D343" s="39" t="s">
        <v>382</v>
      </c>
      <c r="E343" s="36">
        <v>0.0</v>
      </c>
      <c r="F343" s="42">
        <v>21.0</v>
      </c>
      <c r="G343" s="44" t="s">
        <v>88</v>
      </c>
      <c r="H343" s="36">
        <v>3.0</v>
      </c>
      <c r="I343" s="20"/>
    </row>
    <row r="344" ht="15.75" customHeight="1">
      <c r="A344" s="70"/>
      <c r="B344" s="75"/>
      <c r="C344" s="38"/>
      <c r="D344" s="39" t="s">
        <v>382</v>
      </c>
      <c r="E344" s="36">
        <v>0.0</v>
      </c>
      <c r="F344" s="42">
        <v>22.0</v>
      </c>
      <c r="G344" s="44" t="s">
        <v>89</v>
      </c>
      <c r="H344" s="36">
        <v>4.0</v>
      </c>
      <c r="I344" s="20"/>
    </row>
    <row r="345" ht="15.75" customHeight="1">
      <c r="A345" s="70"/>
      <c r="B345" s="75"/>
      <c r="C345" s="38"/>
      <c r="D345" s="39" t="s">
        <v>382</v>
      </c>
      <c r="E345" s="36">
        <v>0.0</v>
      </c>
      <c r="F345" s="42">
        <v>23.0</v>
      </c>
      <c r="G345" s="44" t="s">
        <v>392</v>
      </c>
      <c r="H345" s="36">
        <v>5.0</v>
      </c>
      <c r="I345" s="20"/>
    </row>
    <row r="346" ht="15.75" customHeight="1">
      <c r="A346" s="70"/>
      <c r="B346" s="75"/>
      <c r="C346" s="38"/>
      <c r="D346" s="39" t="s">
        <v>382</v>
      </c>
      <c r="E346" s="36">
        <v>0.0</v>
      </c>
      <c r="F346" s="42">
        <v>24.0</v>
      </c>
      <c r="G346" s="44" t="s">
        <v>393</v>
      </c>
      <c r="H346" s="36">
        <v>9.0</v>
      </c>
      <c r="I346" s="20"/>
    </row>
    <row r="347" ht="15.75" customHeight="1">
      <c r="A347" s="70"/>
      <c r="B347" s="75"/>
      <c r="C347" s="38"/>
      <c r="D347" s="39" t="s">
        <v>382</v>
      </c>
      <c r="E347" s="36">
        <v>0.0</v>
      </c>
      <c r="F347" s="42">
        <v>25.0</v>
      </c>
      <c r="G347" s="44" t="s">
        <v>394</v>
      </c>
      <c r="H347" s="36">
        <v>10.0</v>
      </c>
      <c r="I347" s="20"/>
    </row>
    <row r="348" ht="15.75" customHeight="1">
      <c r="A348" s="70"/>
      <c r="B348" s="75"/>
      <c r="C348" s="38"/>
      <c r="D348" s="39" t="s">
        <v>382</v>
      </c>
      <c r="E348" s="36">
        <v>0.0</v>
      </c>
      <c r="F348" s="42">
        <v>26.0</v>
      </c>
      <c r="G348" s="44" t="s">
        <v>97</v>
      </c>
      <c r="H348" s="36">
        <v>15.0</v>
      </c>
      <c r="I348" s="20"/>
    </row>
    <row r="349" ht="15.75" customHeight="1">
      <c r="A349" s="70"/>
      <c r="B349" s="75"/>
      <c r="C349" s="38"/>
      <c r="D349" s="39" t="s">
        <v>397</v>
      </c>
      <c r="E349" s="36">
        <v>0.0</v>
      </c>
      <c r="F349" s="42">
        <v>1.0</v>
      </c>
      <c r="G349" s="44" t="s">
        <v>43</v>
      </c>
      <c r="H349" s="36">
        <v>1.0</v>
      </c>
      <c r="I349" s="20"/>
    </row>
    <row r="350" ht="15.75" customHeight="1">
      <c r="A350" s="70"/>
      <c r="B350" s="75"/>
      <c r="C350" s="38"/>
      <c r="D350" s="39" t="s">
        <v>397</v>
      </c>
      <c r="E350" s="36">
        <v>0.0</v>
      </c>
      <c r="F350" s="42">
        <v>2.0</v>
      </c>
      <c r="G350" s="44" t="s">
        <v>47</v>
      </c>
      <c r="H350" s="36">
        <v>2.0</v>
      </c>
      <c r="I350" s="20"/>
    </row>
    <row r="351" ht="15.75" customHeight="1">
      <c r="A351" s="70"/>
      <c r="B351" s="75"/>
      <c r="C351" s="38"/>
      <c r="D351" s="39" t="s">
        <v>397</v>
      </c>
      <c r="E351" s="36">
        <v>0.0</v>
      </c>
      <c r="F351" s="42">
        <v>3.0</v>
      </c>
      <c r="G351" s="44" t="s">
        <v>50</v>
      </c>
      <c r="H351" s="36">
        <v>3.0</v>
      </c>
      <c r="I351" s="20"/>
    </row>
    <row r="352" ht="15.75" customHeight="1">
      <c r="A352" s="70"/>
      <c r="B352" s="75"/>
      <c r="C352" s="38"/>
      <c r="D352" s="39" t="s">
        <v>397</v>
      </c>
      <c r="E352" s="36">
        <v>0.0</v>
      </c>
      <c r="F352" s="42">
        <v>4.0</v>
      </c>
      <c r="G352" s="44" t="s">
        <v>51</v>
      </c>
      <c r="H352" s="36">
        <v>4.0</v>
      </c>
      <c r="I352" s="20"/>
    </row>
    <row r="353" ht="15.75" customHeight="1">
      <c r="A353" s="70"/>
      <c r="B353" s="75"/>
      <c r="C353" s="38"/>
      <c r="D353" s="39" t="s">
        <v>397</v>
      </c>
      <c r="E353" s="36">
        <v>0.0</v>
      </c>
      <c r="F353" s="42">
        <v>5.0</v>
      </c>
      <c r="G353" s="44" t="s">
        <v>54</v>
      </c>
      <c r="H353" s="36">
        <v>5.0</v>
      </c>
      <c r="I353" s="20"/>
    </row>
    <row r="354" ht="15.75" customHeight="1">
      <c r="A354" s="70"/>
      <c r="B354" s="75"/>
      <c r="C354" s="38"/>
      <c r="D354" s="39" t="s">
        <v>397</v>
      </c>
      <c r="E354" s="36">
        <v>0.0</v>
      </c>
      <c r="F354" s="42">
        <v>6.0</v>
      </c>
      <c r="G354" s="44" t="s">
        <v>213</v>
      </c>
      <c r="H354" s="36">
        <v>6.0</v>
      </c>
      <c r="I354" s="20"/>
    </row>
    <row r="355" ht="15.75" customHeight="1">
      <c r="A355" s="70"/>
      <c r="B355" s="75"/>
      <c r="C355" s="38"/>
      <c r="D355" s="39" t="s">
        <v>399</v>
      </c>
      <c r="E355" s="36">
        <v>0.0</v>
      </c>
      <c r="F355" s="42">
        <v>3.0</v>
      </c>
      <c r="G355" s="44" t="s">
        <v>50</v>
      </c>
      <c r="H355" s="36">
        <v>3.0</v>
      </c>
      <c r="I355" s="20"/>
    </row>
    <row r="356" ht="15.75" customHeight="1">
      <c r="A356" s="70"/>
      <c r="B356" s="75"/>
      <c r="C356" s="38"/>
      <c r="D356" s="39" t="s">
        <v>399</v>
      </c>
      <c r="E356" s="36">
        <v>0.0</v>
      </c>
      <c r="F356" s="42">
        <v>4.0</v>
      </c>
      <c r="G356" s="44" t="s">
        <v>52</v>
      </c>
      <c r="H356" s="36">
        <v>5.0</v>
      </c>
      <c r="I356" s="20"/>
    </row>
    <row r="357" ht="15.75" customHeight="1">
      <c r="A357" s="70"/>
      <c r="B357" s="75"/>
      <c r="C357" s="38"/>
      <c r="D357" s="39" t="s">
        <v>399</v>
      </c>
      <c r="E357" s="36">
        <v>0.0</v>
      </c>
      <c r="F357" s="42">
        <v>5.0</v>
      </c>
      <c r="G357" s="44" t="s">
        <v>54</v>
      </c>
      <c r="H357" s="36">
        <v>6.0</v>
      </c>
      <c r="I357" s="20"/>
    </row>
    <row r="358" ht="15.75" customHeight="1">
      <c r="A358" s="70"/>
      <c r="B358" s="75"/>
      <c r="C358" s="38"/>
      <c r="D358" s="39" t="s">
        <v>399</v>
      </c>
      <c r="E358" s="36">
        <v>0.0</v>
      </c>
      <c r="F358" s="42">
        <v>6.0</v>
      </c>
      <c r="G358" s="44" t="s">
        <v>57</v>
      </c>
      <c r="H358" s="36">
        <v>7.0</v>
      </c>
      <c r="I358" s="20"/>
    </row>
    <row r="359" ht="15.75" customHeight="1">
      <c r="A359" s="70"/>
      <c r="B359" s="75"/>
      <c r="C359" s="38"/>
      <c r="D359" s="39" t="s">
        <v>399</v>
      </c>
      <c r="E359" s="36">
        <v>0.0</v>
      </c>
      <c r="F359" s="42">
        <v>7.0</v>
      </c>
      <c r="G359" s="44" t="s">
        <v>59</v>
      </c>
      <c r="H359" s="36">
        <v>1.0</v>
      </c>
      <c r="I359" s="20"/>
    </row>
    <row r="360" ht="15.75" customHeight="1">
      <c r="A360" s="70"/>
      <c r="B360" s="75"/>
      <c r="C360" s="38"/>
      <c r="D360" s="39" t="s">
        <v>399</v>
      </c>
      <c r="E360" s="36">
        <v>0.0</v>
      </c>
      <c r="F360" s="42">
        <v>8.0</v>
      </c>
      <c r="G360" s="44" t="s">
        <v>62</v>
      </c>
      <c r="H360" s="36">
        <v>2.0</v>
      </c>
      <c r="I360" s="20"/>
    </row>
    <row r="361" ht="15.75" customHeight="1">
      <c r="A361" s="70"/>
      <c r="B361" s="75"/>
      <c r="C361" s="38"/>
      <c r="D361" s="39" t="s">
        <v>399</v>
      </c>
      <c r="E361" s="36">
        <v>0.0</v>
      </c>
      <c r="F361" s="42">
        <v>9.0</v>
      </c>
      <c r="G361" s="44" t="s">
        <v>63</v>
      </c>
      <c r="H361" s="36">
        <v>4.0</v>
      </c>
      <c r="I361" s="20"/>
    </row>
    <row r="362" ht="15.75" customHeight="1">
      <c r="A362" s="70"/>
      <c r="B362" s="75"/>
      <c r="C362" s="38"/>
      <c r="D362" s="39" t="s">
        <v>402</v>
      </c>
      <c r="E362" s="36">
        <v>0.0</v>
      </c>
      <c r="F362" s="42">
        <v>1.0</v>
      </c>
      <c r="G362" s="44" t="s">
        <v>403</v>
      </c>
      <c r="H362" s="36">
        <v>1.0</v>
      </c>
      <c r="I362" s="20"/>
    </row>
    <row r="363" ht="15.75" customHeight="1">
      <c r="A363" s="70"/>
      <c r="B363" s="75"/>
      <c r="C363" s="38"/>
      <c r="D363" s="39" t="s">
        <v>402</v>
      </c>
      <c r="E363" s="36">
        <v>0.0</v>
      </c>
      <c r="F363" s="42">
        <v>2.0</v>
      </c>
      <c r="G363" s="44" t="s">
        <v>272</v>
      </c>
      <c r="H363" s="36">
        <v>2.0</v>
      </c>
      <c r="I363" s="20"/>
    </row>
    <row r="364" ht="15.75" customHeight="1">
      <c r="A364" s="70"/>
      <c r="B364" s="75"/>
      <c r="C364" s="38"/>
      <c r="D364" s="39" t="s">
        <v>402</v>
      </c>
      <c r="E364" s="36">
        <v>0.0</v>
      </c>
      <c r="F364" s="42">
        <v>3.0</v>
      </c>
      <c r="G364" s="44" t="s">
        <v>50</v>
      </c>
      <c r="H364" s="36">
        <v>3.0</v>
      </c>
      <c r="I364" s="20"/>
    </row>
    <row r="365" ht="15.75" customHeight="1">
      <c r="A365" s="70"/>
      <c r="B365" s="75"/>
      <c r="C365" s="38"/>
      <c r="D365" s="39" t="s">
        <v>402</v>
      </c>
      <c r="E365" s="36">
        <v>0.0</v>
      </c>
      <c r="F365" s="42">
        <v>4.0</v>
      </c>
      <c r="G365" s="44" t="s">
        <v>51</v>
      </c>
      <c r="H365" s="36">
        <v>4.0</v>
      </c>
      <c r="I365" s="20"/>
    </row>
    <row r="366" ht="15.75" customHeight="1">
      <c r="A366" s="70"/>
      <c r="B366" s="75"/>
      <c r="C366" s="38"/>
      <c r="D366" s="39" t="s">
        <v>402</v>
      </c>
      <c r="E366" s="36">
        <v>0.0</v>
      </c>
      <c r="F366" s="42">
        <v>5.0</v>
      </c>
      <c r="G366" s="44" t="s">
        <v>54</v>
      </c>
      <c r="H366" s="36">
        <v>5.0</v>
      </c>
      <c r="I366" s="20"/>
    </row>
    <row r="367" ht="15.75" customHeight="1">
      <c r="A367" s="70"/>
      <c r="B367" s="75"/>
      <c r="C367" s="38"/>
      <c r="D367" s="39" t="s">
        <v>402</v>
      </c>
      <c r="E367" s="36">
        <v>0.0</v>
      </c>
      <c r="F367" s="42">
        <v>6.0</v>
      </c>
      <c r="G367" s="44" t="s">
        <v>213</v>
      </c>
      <c r="H367" s="36">
        <v>6.0</v>
      </c>
      <c r="I367" s="20"/>
    </row>
    <row r="368" ht="15.75" customHeight="1">
      <c r="A368" s="70"/>
      <c r="B368" s="75"/>
      <c r="C368" s="38"/>
      <c r="D368" s="39" t="s">
        <v>405</v>
      </c>
      <c r="E368" s="36">
        <v>0.0</v>
      </c>
      <c r="F368" s="42">
        <v>1.0</v>
      </c>
      <c r="G368" s="44" t="s">
        <v>43</v>
      </c>
      <c r="H368" s="36">
        <v>1.0</v>
      </c>
      <c r="I368" s="20"/>
    </row>
    <row r="369" ht="15.75" customHeight="1">
      <c r="A369" s="70"/>
      <c r="B369" s="75"/>
      <c r="C369" s="38"/>
      <c r="D369" s="39" t="s">
        <v>405</v>
      </c>
      <c r="E369" s="36">
        <v>0.0</v>
      </c>
      <c r="F369" s="42">
        <v>2.0</v>
      </c>
      <c r="G369" s="44" t="s">
        <v>47</v>
      </c>
      <c r="H369" s="36">
        <v>2.0</v>
      </c>
      <c r="I369" s="20"/>
    </row>
    <row r="370" ht="15.75" customHeight="1">
      <c r="A370" s="70"/>
      <c r="B370" s="75"/>
      <c r="C370" s="38"/>
      <c r="D370" s="39" t="s">
        <v>405</v>
      </c>
      <c r="E370" s="36">
        <v>0.0</v>
      </c>
      <c r="F370" s="42">
        <v>3.0</v>
      </c>
      <c r="G370" s="44" t="s">
        <v>50</v>
      </c>
      <c r="H370" s="36">
        <v>3.0</v>
      </c>
      <c r="I370" s="20"/>
    </row>
    <row r="371" ht="15.75" customHeight="1">
      <c r="A371" s="70"/>
      <c r="B371" s="75"/>
      <c r="C371" s="38"/>
      <c r="D371" s="39" t="s">
        <v>405</v>
      </c>
      <c r="E371" s="36">
        <v>0.0</v>
      </c>
      <c r="F371" s="42">
        <v>4.0</v>
      </c>
      <c r="G371" s="44" t="s">
        <v>51</v>
      </c>
      <c r="H371" s="36">
        <v>4.0</v>
      </c>
      <c r="I371" s="20"/>
    </row>
    <row r="372" ht="15.75" customHeight="1">
      <c r="A372" s="70"/>
      <c r="B372" s="75"/>
      <c r="C372" s="38"/>
      <c r="D372" s="39" t="s">
        <v>405</v>
      </c>
      <c r="E372" s="36">
        <v>0.0</v>
      </c>
      <c r="F372" s="42">
        <v>5.0</v>
      </c>
      <c r="G372" s="44" t="s">
        <v>54</v>
      </c>
      <c r="H372" s="36">
        <v>5.0</v>
      </c>
      <c r="I372" s="20"/>
    </row>
    <row r="373" ht="15.75" customHeight="1">
      <c r="A373" s="70"/>
      <c r="B373" s="75"/>
      <c r="C373" s="38"/>
      <c r="D373" s="39" t="s">
        <v>405</v>
      </c>
      <c r="E373" s="36">
        <v>0.0</v>
      </c>
      <c r="F373" s="42">
        <v>6.0</v>
      </c>
      <c r="G373" s="44" t="s">
        <v>57</v>
      </c>
      <c r="H373" s="36">
        <v>6.0</v>
      </c>
      <c r="I373" s="20"/>
    </row>
    <row r="374" ht="15.75" customHeight="1">
      <c r="A374" s="70"/>
      <c r="B374" s="75"/>
      <c r="C374" s="38"/>
      <c r="D374" s="39" t="s">
        <v>408</v>
      </c>
      <c r="E374" s="36">
        <v>0.0</v>
      </c>
      <c r="F374" s="42">
        <v>3.0</v>
      </c>
      <c r="G374" s="44" t="s">
        <v>50</v>
      </c>
      <c r="H374" s="36">
        <v>3.0</v>
      </c>
      <c r="I374" s="20"/>
    </row>
    <row r="375" ht="15.75" customHeight="1">
      <c r="A375" s="70"/>
      <c r="B375" s="75"/>
      <c r="C375" s="38"/>
      <c r="D375" s="39" t="s">
        <v>408</v>
      </c>
      <c r="E375" s="36">
        <v>0.0</v>
      </c>
      <c r="F375" s="42">
        <v>4.0</v>
      </c>
      <c r="G375" s="44" t="s">
        <v>52</v>
      </c>
      <c r="H375" s="36">
        <v>5.0</v>
      </c>
      <c r="I375" s="20"/>
    </row>
    <row r="376" ht="15.75" customHeight="1">
      <c r="A376" s="70"/>
      <c r="B376" s="75"/>
      <c r="C376" s="38"/>
      <c r="D376" s="39" t="s">
        <v>408</v>
      </c>
      <c r="E376" s="36">
        <v>0.0</v>
      </c>
      <c r="F376" s="42">
        <v>5.0</v>
      </c>
      <c r="G376" s="44" t="s">
        <v>54</v>
      </c>
      <c r="H376" s="36">
        <v>6.0</v>
      </c>
      <c r="I376" s="20"/>
    </row>
    <row r="377" ht="15.75" customHeight="1">
      <c r="A377" s="70"/>
      <c r="B377" s="75"/>
      <c r="C377" s="38"/>
      <c r="D377" s="39" t="s">
        <v>408</v>
      </c>
      <c r="E377" s="36">
        <v>0.0</v>
      </c>
      <c r="F377" s="42">
        <v>6.0</v>
      </c>
      <c r="G377" s="44" t="s">
        <v>57</v>
      </c>
      <c r="H377" s="36">
        <v>7.0</v>
      </c>
      <c r="I377" s="20"/>
    </row>
    <row r="378" ht="15.75" customHeight="1">
      <c r="A378" s="70"/>
      <c r="B378" s="75"/>
      <c r="C378" s="38"/>
      <c r="D378" s="39" t="s">
        <v>408</v>
      </c>
      <c r="E378" s="36">
        <v>0.0</v>
      </c>
      <c r="F378" s="42">
        <v>7.0</v>
      </c>
      <c r="G378" s="44" t="s">
        <v>59</v>
      </c>
      <c r="H378" s="36">
        <v>1.0</v>
      </c>
      <c r="I378" s="20"/>
    </row>
    <row r="379" ht="15.75" customHeight="1">
      <c r="A379" s="70"/>
      <c r="B379" s="75"/>
      <c r="C379" s="38"/>
      <c r="D379" s="39" t="s">
        <v>408</v>
      </c>
      <c r="E379" s="36">
        <v>0.0</v>
      </c>
      <c r="F379" s="42">
        <v>8.0</v>
      </c>
      <c r="G379" s="44" t="s">
        <v>62</v>
      </c>
      <c r="H379" s="36">
        <v>2.0</v>
      </c>
      <c r="I379" s="20"/>
    </row>
    <row r="380" ht="15.75" customHeight="1">
      <c r="A380" s="70"/>
      <c r="B380" s="75"/>
      <c r="C380" s="38"/>
      <c r="D380" s="39" t="s">
        <v>408</v>
      </c>
      <c r="E380" s="36">
        <v>0.0</v>
      </c>
      <c r="F380" s="42">
        <v>9.0</v>
      </c>
      <c r="G380" s="44" t="s">
        <v>63</v>
      </c>
      <c r="H380" s="36">
        <v>4.0</v>
      </c>
      <c r="I380" s="20"/>
    </row>
    <row r="381" ht="15.75" customHeight="1">
      <c r="A381" s="70"/>
      <c r="B381" s="75"/>
      <c r="C381" s="38"/>
      <c r="D381" s="39" t="s">
        <v>415</v>
      </c>
      <c r="E381" s="36">
        <v>0.0</v>
      </c>
      <c r="F381" s="42">
        <v>1.0</v>
      </c>
      <c r="G381" s="44" t="s">
        <v>403</v>
      </c>
      <c r="H381" s="36">
        <v>1.0</v>
      </c>
      <c r="I381" s="20"/>
    </row>
    <row r="382" ht="15.75" customHeight="1">
      <c r="A382" s="70"/>
      <c r="B382" s="75"/>
      <c r="C382" s="38"/>
      <c r="D382" s="39" t="s">
        <v>415</v>
      </c>
      <c r="E382" s="36">
        <v>0.0</v>
      </c>
      <c r="F382" s="42">
        <v>2.0</v>
      </c>
      <c r="G382" s="44" t="s">
        <v>272</v>
      </c>
      <c r="H382" s="36">
        <v>2.0</v>
      </c>
      <c r="I382" s="20"/>
    </row>
    <row r="383" ht="15.75" customHeight="1">
      <c r="A383" s="70"/>
      <c r="B383" s="75"/>
      <c r="C383" s="38"/>
      <c r="D383" s="39" t="s">
        <v>415</v>
      </c>
      <c r="E383" s="36">
        <v>0.0</v>
      </c>
      <c r="F383" s="42">
        <v>3.0</v>
      </c>
      <c r="G383" s="44" t="s">
        <v>50</v>
      </c>
      <c r="H383" s="36">
        <v>3.0</v>
      </c>
      <c r="I383" s="20"/>
    </row>
    <row r="384" ht="15.75" customHeight="1">
      <c r="A384" s="70"/>
      <c r="B384" s="75"/>
      <c r="C384" s="38"/>
      <c r="D384" s="39" t="s">
        <v>415</v>
      </c>
      <c r="E384" s="36">
        <v>0.0</v>
      </c>
      <c r="F384" s="42">
        <v>4.0</v>
      </c>
      <c r="G384" s="44" t="s">
        <v>51</v>
      </c>
      <c r="H384" s="36">
        <v>4.0</v>
      </c>
      <c r="I384" s="20"/>
    </row>
    <row r="385" ht="15.75" customHeight="1">
      <c r="A385" s="70"/>
      <c r="B385" s="75"/>
      <c r="C385" s="38"/>
      <c r="D385" s="39" t="s">
        <v>415</v>
      </c>
      <c r="E385" s="36">
        <v>0.0</v>
      </c>
      <c r="F385" s="42">
        <v>5.0</v>
      </c>
      <c r="G385" s="44" t="s">
        <v>54</v>
      </c>
      <c r="H385" s="36">
        <v>5.0</v>
      </c>
      <c r="I385" s="20"/>
    </row>
    <row r="386" ht="15.75" customHeight="1">
      <c r="A386" s="70"/>
      <c r="B386" s="75"/>
      <c r="C386" s="38"/>
      <c r="D386" s="39" t="s">
        <v>415</v>
      </c>
      <c r="E386" s="36">
        <v>0.0</v>
      </c>
      <c r="F386" s="42">
        <v>6.0</v>
      </c>
      <c r="G386" s="44" t="s">
        <v>213</v>
      </c>
      <c r="H386" s="36">
        <v>6.0</v>
      </c>
      <c r="I386" s="20"/>
    </row>
    <row r="387" ht="15.75" customHeight="1">
      <c r="A387" s="70"/>
      <c r="B387" s="75"/>
      <c r="C387" s="38"/>
      <c r="D387" s="39" t="s">
        <v>419</v>
      </c>
      <c r="E387" s="36">
        <v>0.0</v>
      </c>
      <c r="F387" s="42">
        <v>3.0</v>
      </c>
      <c r="G387" s="44" t="s">
        <v>420</v>
      </c>
      <c r="H387" s="36">
        <v>4.0</v>
      </c>
      <c r="I387" s="20"/>
    </row>
    <row r="388" ht="15.75" customHeight="1">
      <c r="A388" s="70"/>
      <c r="B388" s="75"/>
      <c r="C388" s="38"/>
      <c r="D388" s="39" t="s">
        <v>419</v>
      </c>
      <c r="E388" s="36">
        <v>0.0</v>
      </c>
      <c r="F388" s="42">
        <v>4.0</v>
      </c>
      <c r="G388" s="44" t="s">
        <v>420</v>
      </c>
      <c r="H388" s="36">
        <v>4.0</v>
      </c>
      <c r="I388" s="20"/>
    </row>
    <row r="389" ht="15.75" customHeight="1">
      <c r="A389" s="70"/>
      <c r="B389" s="75"/>
      <c r="C389" s="38"/>
      <c r="D389" s="39" t="s">
        <v>419</v>
      </c>
      <c r="E389" s="36">
        <v>0.0</v>
      </c>
      <c r="F389" s="42">
        <v>7.0</v>
      </c>
      <c r="G389" s="44" t="s">
        <v>422</v>
      </c>
      <c r="H389" s="36">
        <v>1.0</v>
      </c>
      <c r="I389" s="20"/>
    </row>
    <row r="390" ht="15.75" customHeight="1">
      <c r="A390" s="70"/>
      <c r="B390" s="75"/>
      <c r="C390" s="38"/>
      <c r="D390" s="39" t="s">
        <v>419</v>
      </c>
      <c r="E390" s="36">
        <v>0.0</v>
      </c>
      <c r="F390" s="42">
        <v>12.0</v>
      </c>
      <c r="G390" s="44" t="s">
        <v>66</v>
      </c>
      <c r="H390" s="36">
        <v>8.0</v>
      </c>
      <c r="I390" s="20"/>
    </row>
    <row r="391" ht="15.75" customHeight="1">
      <c r="A391" s="70"/>
      <c r="B391" s="75"/>
      <c r="C391" s="38"/>
      <c r="D391" s="39" t="s">
        <v>419</v>
      </c>
      <c r="E391" s="36">
        <v>0.0</v>
      </c>
      <c r="F391" s="42">
        <v>15.0</v>
      </c>
      <c r="G391" s="44" t="s">
        <v>423</v>
      </c>
      <c r="H391" s="36">
        <v>2.0</v>
      </c>
      <c r="I391" s="20"/>
    </row>
    <row r="392" ht="15.75" customHeight="1">
      <c r="A392" s="70"/>
      <c r="B392" s="75"/>
      <c r="C392" s="38"/>
      <c r="D392" s="39" t="s">
        <v>419</v>
      </c>
      <c r="E392" s="36">
        <v>0.0</v>
      </c>
      <c r="F392" s="42">
        <v>16.0</v>
      </c>
      <c r="G392" s="44" t="s">
        <v>424</v>
      </c>
      <c r="H392" s="36">
        <v>6.0</v>
      </c>
      <c r="I392" s="20"/>
    </row>
    <row r="393" ht="15.75" customHeight="1">
      <c r="A393" s="70"/>
      <c r="B393" s="75"/>
      <c r="C393" s="38"/>
      <c r="D393" s="39" t="s">
        <v>419</v>
      </c>
      <c r="E393" s="36">
        <v>0.0</v>
      </c>
      <c r="F393" s="42">
        <v>27.0</v>
      </c>
      <c r="G393" s="44" t="s">
        <v>426</v>
      </c>
      <c r="H393" s="36">
        <v>10.0</v>
      </c>
      <c r="I393" s="20"/>
    </row>
    <row r="394" ht="15.75" customHeight="1">
      <c r="A394" s="70"/>
      <c r="B394" s="75"/>
      <c r="C394" s="38"/>
      <c r="D394" s="39" t="s">
        <v>428</v>
      </c>
      <c r="E394" s="36">
        <v>0.0</v>
      </c>
      <c r="F394" s="42">
        <v>1.0</v>
      </c>
      <c r="G394" s="44" t="s">
        <v>43</v>
      </c>
      <c r="H394" s="36">
        <v>1.0</v>
      </c>
      <c r="I394" s="20"/>
    </row>
    <row r="395" ht="15.75" customHeight="1">
      <c r="A395" s="70"/>
      <c r="B395" s="75"/>
      <c r="C395" s="38"/>
      <c r="D395" s="39" t="s">
        <v>428</v>
      </c>
      <c r="E395" s="36">
        <v>0.0</v>
      </c>
      <c r="F395" s="42">
        <v>2.0</v>
      </c>
      <c r="G395" s="44" t="s">
        <v>47</v>
      </c>
      <c r="H395" s="36">
        <v>2.0</v>
      </c>
      <c r="I395" s="20"/>
    </row>
    <row r="396" ht="15.75" customHeight="1">
      <c r="A396" s="70"/>
      <c r="B396" s="75"/>
      <c r="C396" s="38"/>
      <c r="D396" s="39" t="s">
        <v>428</v>
      </c>
      <c r="E396" s="36">
        <v>0.0</v>
      </c>
      <c r="F396" s="42">
        <v>3.0</v>
      </c>
      <c r="G396" s="44" t="s">
        <v>50</v>
      </c>
      <c r="H396" s="36">
        <v>3.0</v>
      </c>
      <c r="I396" s="20"/>
    </row>
    <row r="397" ht="15.75" customHeight="1">
      <c r="A397" s="70"/>
      <c r="B397" s="75"/>
      <c r="C397" s="38"/>
      <c r="D397" s="39" t="s">
        <v>428</v>
      </c>
      <c r="E397" s="36">
        <v>0.0</v>
      </c>
      <c r="F397" s="42">
        <v>4.0</v>
      </c>
      <c r="G397" s="44" t="s">
        <v>51</v>
      </c>
      <c r="H397" s="36">
        <v>4.0</v>
      </c>
      <c r="I397" s="20"/>
    </row>
    <row r="398" ht="15.75" customHeight="1">
      <c r="A398" s="70"/>
      <c r="B398" s="75"/>
      <c r="C398" s="38"/>
      <c r="D398" s="39" t="s">
        <v>428</v>
      </c>
      <c r="E398" s="36">
        <v>0.0</v>
      </c>
      <c r="F398" s="42">
        <v>5.0</v>
      </c>
      <c r="G398" s="44" t="s">
        <v>54</v>
      </c>
      <c r="H398" s="36">
        <v>5.0</v>
      </c>
      <c r="I398" s="20"/>
    </row>
    <row r="399" ht="15.75" customHeight="1">
      <c r="A399" s="70"/>
      <c r="B399" s="75"/>
      <c r="C399" s="38"/>
      <c r="D399" s="39" t="s">
        <v>428</v>
      </c>
      <c r="E399" s="36">
        <v>0.0</v>
      </c>
      <c r="F399" s="42">
        <v>6.0</v>
      </c>
      <c r="G399" s="44" t="s">
        <v>57</v>
      </c>
      <c r="H399" s="36">
        <v>6.0</v>
      </c>
      <c r="I399" s="20"/>
    </row>
    <row r="400" ht="15.75" customHeight="1">
      <c r="A400" s="70"/>
      <c r="B400" s="75"/>
      <c r="C400" s="38"/>
      <c r="D400" s="39" t="s">
        <v>431</v>
      </c>
      <c r="E400" s="36">
        <v>0.0</v>
      </c>
      <c r="F400" s="42">
        <v>3.0</v>
      </c>
      <c r="G400" s="44" t="s">
        <v>50</v>
      </c>
      <c r="H400" s="36">
        <v>3.0</v>
      </c>
      <c r="I400" s="20"/>
    </row>
    <row r="401" ht="15.75" customHeight="1">
      <c r="A401" s="70"/>
      <c r="B401" s="75"/>
      <c r="C401" s="38"/>
      <c r="D401" s="39" t="s">
        <v>431</v>
      </c>
      <c r="E401" s="36">
        <v>0.0</v>
      </c>
      <c r="F401" s="42">
        <v>4.0</v>
      </c>
      <c r="G401" s="44" t="s">
        <v>52</v>
      </c>
      <c r="H401" s="36">
        <v>5.0</v>
      </c>
      <c r="I401" s="20"/>
    </row>
    <row r="402" ht="15.75" customHeight="1">
      <c r="A402" s="70"/>
      <c r="B402" s="75"/>
      <c r="C402" s="38"/>
      <c r="D402" s="39" t="s">
        <v>431</v>
      </c>
      <c r="E402" s="36">
        <v>0.0</v>
      </c>
      <c r="F402" s="42">
        <v>5.0</v>
      </c>
      <c r="G402" s="44" t="s">
        <v>54</v>
      </c>
      <c r="H402" s="36">
        <v>6.0</v>
      </c>
      <c r="I402" s="20"/>
    </row>
    <row r="403" ht="15.75" customHeight="1">
      <c r="A403" s="70"/>
      <c r="B403" s="75"/>
      <c r="C403" s="38"/>
      <c r="D403" s="39" t="s">
        <v>431</v>
      </c>
      <c r="E403" s="36">
        <v>0.0</v>
      </c>
      <c r="F403" s="42">
        <v>6.0</v>
      </c>
      <c r="G403" s="44" t="s">
        <v>57</v>
      </c>
      <c r="H403" s="36">
        <v>7.0</v>
      </c>
      <c r="I403" s="20"/>
    </row>
    <row r="404" ht="15.75" customHeight="1">
      <c r="A404" s="70"/>
      <c r="B404" s="75"/>
      <c r="C404" s="38"/>
      <c r="D404" s="39" t="s">
        <v>431</v>
      </c>
      <c r="E404" s="36">
        <v>0.0</v>
      </c>
      <c r="F404" s="42">
        <v>7.0</v>
      </c>
      <c r="G404" s="44" t="s">
        <v>59</v>
      </c>
      <c r="H404" s="36">
        <v>1.0</v>
      </c>
      <c r="I404" s="20"/>
    </row>
    <row r="405" ht="15.75" customHeight="1">
      <c r="A405" s="70"/>
      <c r="B405" s="75"/>
      <c r="C405" s="38"/>
      <c r="D405" s="39" t="s">
        <v>431</v>
      </c>
      <c r="E405" s="36">
        <v>0.0</v>
      </c>
      <c r="F405" s="42">
        <v>8.0</v>
      </c>
      <c r="G405" s="44" t="s">
        <v>62</v>
      </c>
      <c r="H405" s="36">
        <v>2.0</v>
      </c>
      <c r="I405" s="20"/>
    </row>
    <row r="406" ht="15.75" customHeight="1">
      <c r="A406" s="70"/>
      <c r="B406" s="75"/>
      <c r="C406" s="38"/>
      <c r="D406" s="39" t="s">
        <v>431</v>
      </c>
      <c r="E406" s="36">
        <v>0.0</v>
      </c>
      <c r="F406" s="42">
        <v>9.0</v>
      </c>
      <c r="G406" s="44" t="s">
        <v>63</v>
      </c>
      <c r="H406" s="36">
        <v>4.0</v>
      </c>
      <c r="I406" s="20"/>
    </row>
    <row r="407" ht="15.75" customHeight="1">
      <c r="A407" s="70"/>
      <c r="B407" s="75"/>
      <c r="C407" s="38"/>
      <c r="D407" s="39" t="s">
        <v>435</v>
      </c>
      <c r="E407" s="36">
        <v>0.0</v>
      </c>
      <c r="F407" s="42">
        <v>3.0</v>
      </c>
      <c r="G407" s="44" t="s">
        <v>50</v>
      </c>
      <c r="H407" s="36">
        <v>3.0</v>
      </c>
      <c r="I407" s="20"/>
    </row>
    <row r="408" ht="15.75" customHeight="1">
      <c r="A408" s="70"/>
      <c r="B408" s="75"/>
      <c r="C408" s="38"/>
      <c r="D408" s="39" t="s">
        <v>435</v>
      </c>
      <c r="E408" s="36">
        <v>0.0</v>
      </c>
      <c r="F408" s="42">
        <v>4.0</v>
      </c>
      <c r="G408" s="44" t="s">
        <v>52</v>
      </c>
      <c r="H408" s="36">
        <v>5.0</v>
      </c>
      <c r="I408" s="20"/>
    </row>
    <row r="409" ht="15.75" customHeight="1">
      <c r="A409" s="70"/>
      <c r="B409" s="75"/>
      <c r="C409" s="38"/>
      <c r="D409" s="39" t="s">
        <v>435</v>
      </c>
      <c r="E409" s="36">
        <v>0.0</v>
      </c>
      <c r="F409" s="42">
        <v>5.0</v>
      </c>
      <c r="G409" s="44" t="s">
        <v>54</v>
      </c>
      <c r="H409" s="36">
        <v>6.0</v>
      </c>
      <c r="I409" s="20"/>
    </row>
    <row r="410" ht="15.75" customHeight="1">
      <c r="A410" s="70"/>
      <c r="B410" s="75"/>
      <c r="C410" s="38"/>
      <c r="D410" s="39" t="s">
        <v>435</v>
      </c>
      <c r="E410" s="36">
        <v>0.0</v>
      </c>
      <c r="F410" s="42">
        <v>6.0</v>
      </c>
      <c r="G410" s="44" t="s">
        <v>57</v>
      </c>
      <c r="H410" s="36">
        <v>7.0</v>
      </c>
      <c r="I410" s="20"/>
    </row>
    <row r="411" ht="15.75" customHeight="1">
      <c r="A411" s="70"/>
      <c r="B411" s="75"/>
      <c r="C411" s="38"/>
      <c r="D411" s="39" t="s">
        <v>435</v>
      </c>
      <c r="E411" s="36">
        <v>0.0</v>
      </c>
      <c r="F411" s="42">
        <v>7.0</v>
      </c>
      <c r="G411" s="44" t="s">
        <v>59</v>
      </c>
      <c r="H411" s="36">
        <v>1.0</v>
      </c>
      <c r="I411" s="20"/>
    </row>
    <row r="412" ht="15.75" customHeight="1">
      <c r="A412" s="70"/>
      <c r="B412" s="75"/>
      <c r="C412" s="38"/>
      <c r="D412" s="39" t="s">
        <v>435</v>
      </c>
      <c r="E412" s="36">
        <v>0.0</v>
      </c>
      <c r="F412" s="42">
        <v>8.0</v>
      </c>
      <c r="G412" s="44" t="s">
        <v>62</v>
      </c>
      <c r="H412" s="36">
        <v>2.0</v>
      </c>
      <c r="I412" s="20"/>
    </row>
    <row r="413" ht="15.75" customHeight="1">
      <c r="A413" s="70"/>
      <c r="B413" s="75"/>
      <c r="C413" s="38"/>
      <c r="D413" s="39" t="s">
        <v>435</v>
      </c>
      <c r="E413" s="36">
        <v>0.0</v>
      </c>
      <c r="F413" s="42">
        <v>9.0</v>
      </c>
      <c r="G413" s="44" t="s">
        <v>63</v>
      </c>
      <c r="H413" s="36">
        <v>4.0</v>
      </c>
      <c r="I413" s="20"/>
    </row>
    <row r="414" ht="15.75" customHeight="1">
      <c r="A414" s="70"/>
      <c r="B414" s="75"/>
      <c r="C414" s="38"/>
      <c r="D414" s="39" t="s">
        <v>438</v>
      </c>
      <c r="E414" s="36">
        <v>0.0</v>
      </c>
      <c r="F414" s="42">
        <v>3.0</v>
      </c>
      <c r="G414" s="44" t="s">
        <v>50</v>
      </c>
      <c r="H414" s="36">
        <v>3.0</v>
      </c>
      <c r="I414" s="20"/>
    </row>
    <row r="415" ht="15.75" customHeight="1">
      <c r="A415" s="70"/>
      <c r="B415" s="75"/>
      <c r="C415" s="38"/>
      <c r="D415" s="39" t="s">
        <v>438</v>
      </c>
      <c r="E415" s="36">
        <v>0.0</v>
      </c>
      <c r="F415" s="42">
        <v>4.0</v>
      </c>
      <c r="G415" s="44" t="s">
        <v>52</v>
      </c>
      <c r="H415" s="36">
        <v>5.0</v>
      </c>
      <c r="I415" s="20"/>
    </row>
    <row r="416" ht="15.75" customHeight="1">
      <c r="A416" s="70"/>
      <c r="B416" s="75"/>
      <c r="C416" s="38"/>
      <c r="D416" s="39" t="s">
        <v>438</v>
      </c>
      <c r="E416" s="36">
        <v>0.0</v>
      </c>
      <c r="F416" s="42">
        <v>5.0</v>
      </c>
      <c r="G416" s="44" t="s">
        <v>54</v>
      </c>
      <c r="H416" s="36">
        <v>6.0</v>
      </c>
      <c r="I416" s="20"/>
    </row>
    <row r="417" ht="15.75" customHeight="1">
      <c r="A417" s="70"/>
      <c r="B417" s="75"/>
      <c r="C417" s="38"/>
      <c r="D417" s="39" t="s">
        <v>438</v>
      </c>
      <c r="E417" s="36">
        <v>0.0</v>
      </c>
      <c r="F417" s="42">
        <v>6.0</v>
      </c>
      <c r="G417" s="44" t="s">
        <v>213</v>
      </c>
      <c r="H417" s="36">
        <v>7.0</v>
      </c>
      <c r="I417" s="20"/>
    </row>
    <row r="418" ht="15.75" customHeight="1">
      <c r="A418" s="70"/>
      <c r="B418" s="75"/>
      <c r="C418" s="38"/>
      <c r="D418" s="39" t="s">
        <v>438</v>
      </c>
      <c r="E418" s="36">
        <v>0.0</v>
      </c>
      <c r="F418" s="42">
        <v>7.0</v>
      </c>
      <c r="G418" s="44" t="s">
        <v>59</v>
      </c>
      <c r="H418" s="36">
        <v>1.0</v>
      </c>
      <c r="I418" s="20"/>
    </row>
    <row r="419" ht="15.75" customHeight="1">
      <c r="A419" s="70"/>
      <c r="B419" s="75"/>
      <c r="C419" s="38"/>
      <c r="D419" s="39" t="s">
        <v>438</v>
      </c>
      <c r="E419" s="36">
        <v>0.0</v>
      </c>
      <c r="F419" s="42">
        <v>8.0</v>
      </c>
      <c r="G419" s="44" t="s">
        <v>225</v>
      </c>
      <c r="H419" s="36">
        <v>2.0</v>
      </c>
      <c r="I419" s="20"/>
    </row>
    <row r="420" ht="15.75" customHeight="1">
      <c r="A420" s="70"/>
      <c r="B420" s="75"/>
      <c r="C420" s="38"/>
      <c r="D420" s="39" t="s">
        <v>438</v>
      </c>
      <c r="E420" s="36">
        <v>0.0</v>
      </c>
      <c r="F420" s="42">
        <v>9.0</v>
      </c>
      <c r="G420" s="44" t="s">
        <v>63</v>
      </c>
      <c r="H420" s="36">
        <v>4.0</v>
      </c>
      <c r="I420" s="20"/>
    </row>
    <row r="421" ht="15.75" customHeight="1">
      <c r="A421" s="70"/>
      <c r="B421" s="75"/>
      <c r="C421" s="38"/>
      <c r="D421" s="39" t="s">
        <v>439</v>
      </c>
      <c r="E421" s="36">
        <v>0.0</v>
      </c>
      <c r="F421" s="42">
        <v>3.0</v>
      </c>
      <c r="G421" s="44" t="s">
        <v>50</v>
      </c>
      <c r="H421" s="36">
        <v>3.0</v>
      </c>
      <c r="I421" s="20"/>
    </row>
    <row r="422" ht="15.75" customHeight="1">
      <c r="A422" s="70"/>
      <c r="B422" s="75"/>
      <c r="C422" s="38"/>
      <c r="D422" s="39" t="s">
        <v>439</v>
      </c>
      <c r="E422" s="36">
        <v>0.0</v>
      </c>
      <c r="F422" s="42">
        <v>4.0</v>
      </c>
      <c r="G422" s="44" t="s">
        <v>52</v>
      </c>
      <c r="H422" s="36">
        <v>5.0</v>
      </c>
      <c r="I422" s="20"/>
    </row>
    <row r="423" ht="15.75" customHeight="1">
      <c r="A423" s="70"/>
      <c r="B423" s="75"/>
      <c r="C423" s="38"/>
      <c r="D423" s="39" t="s">
        <v>439</v>
      </c>
      <c r="E423" s="36">
        <v>0.0</v>
      </c>
      <c r="F423" s="42">
        <v>5.0</v>
      </c>
      <c r="G423" s="44" t="s">
        <v>54</v>
      </c>
      <c r="H423" s="36">
        <v>6.0</v>
      </c>
      <c r="I423" s="20"/>
    </row>
    <row r="424" ht="15.75" customHeight="1">
      <c r="A424" s="70"/>
      <c r="B424" s="75"/>
      <c r="C424" s="38"/>
      <c r="D424" s="39" t="s">
        <v>439</v>
      </c>
      <c r="E424" s="36">
        <v>0.0</v>
      </c>
      <c r="F424" s="42">
        <v>6.0</v>
      </c>
      <c r="G424" s="44" t="s">
        <v>57</v>
      </c>
      <c r="H424" s="36">
        <v>7.0</v>
      </c>
      <c r="I424" s="20"/>
    </row>
    <row r="425" ht="15.75" customHeight="1">
      <c r="A425" s="70"/>
      <c r="B425" s="75"/>
      <c r="C425" s="38"/>
      <c r="D425" s="39" t="s">
        <v>439</v>
      </c>
      <c r="E425" s="36">
        <v>0.0</v>
      </c>
      <c r="F425" s="42">
        <v>7.0</v>
      </c>
      <c r="G425" s="44" t="s">
        <v>59</v>
      </c>
      <c r="H425" s="36">
        <v>1.0</v>
      </c>
      <c r="I425" s="20"/>
    </row>
    <row r="426" ht="15.75" customHeight="1">
      <c r="A426" s="70"/>
      <c r="B426" s="75"/>
      <c r="C426" s="38"/>
      <c r="D426" s="39" t="s">
        <v>439</v>
      </c>
      <c r="E426" s="36">
        <v>0.0</v>
      </c>
      <c r="F426" s="42">
        <v>8.0</v>
      </c>
      <c r="G426" s="44" t="s">
        <v>62</v>
      </c>
      <c r="H426" s="36">
        <v>2.0</v>
      </c>
      <c r="I426" s="20"/>
    </row>
    <row r="427" ht="15.75" customHeight="1">
      <c r="A427" s="70"/>
      <c r="B427" s="75"/>
      <c r="C427" s="38"/>
      <c r="D427" s="39" t="s">
        <v>439</v>
      </c>
      <c r="E427" s="36">
        <v>0.0</v>
      </c>
      <c r="F427" s="42">
        <v>9.0</v>
      </c>
      <c r="G427" s="44" t="s">
        <v>63</v>
      </c>
      <c r="H427" s="36">
        <v>4.0</v>
      </c>
      <c r="I427" s="20"/>
    </row>
    <row r="428" ht="15.75" customHeight="1">
      <c r="A428" s="70"/>
      <c r="B428" s="75"/>
      <c r="C428" s="38"/>
      <c r="D428" s="39" t="s">
        <v>443</v>
      </c>
      <c r="E428" s="36">
        <v>0.0</v>
      </c>
      <c r="F428" s="42">
        <v>3.0</v>
      </c>
      <c r="G428" s="44" t="s">
        <v>50</v>
      </c>
      <c r="H428" s="36">
        <v>3.0</v>
      </c>
      <c r="I428" s="20"/>
    </row>
    <row r="429" ht="15.75" customHeight="1">
      <c r="A429" s="70"/>
      <c r="B429" s="75"/>
      <c r="C429" s="38"/>
      <c r="D429" s="39" t="s">
        <v>443</v>
      </c>
      <c r="E429" s="36">
        <v>0.0</v>
      </c>
      <c r="F429" s="42">
        <v>4.0</v>
      </c>
      <c r="G429" s="44" t="s">
        <v>52</v>
      </c>
      <c r="H429" s="36">
        <v>5.0</v>
      </c>
      <c r="I429" s="20"/>
    </row>
    <row r="430" ht="15.75" customHeight="1">
      <c r="A430" s="70"/>
      <c r="B430" s="75"/>
      <c r="C430" s="38"/>
      <c r="D430" s="39" t="s">
        <v>443</v>
      </c>
      <c r="E430" s="36">
        <v>0.0</v>
      </c>
      <c r="F430" s="42">
        <v>5.0</v>
      </c>
      <c r="G430" s="44" t="s">
        <v>54</v>
      </c>
      <c r="H430" s="36">
        <v>6.0</v>
      </c>
      <c r="I430" s="20"/>
    </row>
    <row r="431" ht="15.75" customHeight="1">
      <c r="A431" s="70"/>
      <c r="B431" s="75"/>
      <c r="C431" s="38"/>
      <c r="D431" s="39" t="s">
        <v>443</v>
      </c>
      <c r="E431" s="36">
        <v>0.0</v>
      </c>
      <c r="F431" s="42">
        <v>6.0</v>
      </c>
      <c r="G431" s="44" t="s">
        <v>57</v>
      </c>
      <c r="H431" s="36">
        <v>7.0</v>
      </c>
      <c r="I431" s="20"/>
    </row>
    <row r="432" ht="15.75" customHeight="1">
      <c r="A432" s="70"/>
      <c r="B432" s="75"/>
      <c r="C432" s="38"/>
      <c r="D432" s="39" t="s">
        <v>443</v>
      </c>
      <c r="E432" s="36">
        <v>0.0</v>
      </c>
      <c r="F432" s="42">
        <v>7.0</v>
      </c>
      <c r="G432" s="44" t="s">
        <v>59</v>
      </c>
      <c r="H432" s="36">
        <v>1.0</v>
      </c>
      <c r="I432" s="20"/>
    </row>
    <row r="433" ht="15.75" customHeight="1">
      <c r="A433" s="70"/>
      <c r="B433" s="75"/>
      <c r="C433" s="38"/>
      <c r="D433" s="39" t="s">
        <v>443</v>
      </c>
      <c r="E433" s="36">
        <v>0.0</v>
      </c>
      <c r="F433" s="42">
        <v>8.0</v>
      </c>
      <c r="G433" s="44" t="s">
        <v>62</v>
      </c>
      <c r="H433" s="36">
        <v>2.0</v>
      </c>
      <c r="I433" s="20"/>
    </row>
    <row r="434" ht="15.75" customHeight="1">
      <c r="A434" s="70"/>
      <c r="B434" s="75"/>
      <c r="C434" s="38"/>
      <c r="D434" s="39" t="s">
        <v>443</v>
      </c>
      <c r="E434" s="36">
        <v>0.0</v>
      </c>
      <c r="F434" s="42">
        <v>9.0</v>
      </c>
      <c r="G434" s="44" t="s">
        <v>63</v>
      </c>
      <c r="H434" s="36">
        <v>4.0</v>
      </c>
      <c r="I434" s="20"/>
    </row>
    <row r="435" ht="15.75" customHeight="1">
      <c r="A435" s="70"/>
      <c r="B435" s="75"/>
      <c r="C435" s="38"/>
      <c r="D435" s="39" t="s">
        <v>444</v>
      </c>
      <c r="E435" s="36">
        <v>0.0</v>
      </c>
      <c r="F435" s="42">
        <v>3.0</v>
      </c>
      <c r="G435" s="44" t="s">
        <v>50</v>
      </c>
      <c r="H435" s="36">
        <v>3.0</v>
      </c>
      <c r="I435" s="20"/>
    </row>
    <row r="436" ht="15.75" customHeight="1">
      <c r="A436" s="70"/>
      <c r="B436" s="75"/>
      <c r="C436" s="38"/>
      <c r="D436" s="39" t="s">
        <v>444</v>
      </c>
      <c r="E436" s="36">
        <v>0.0</v>
      </c>
      <c r="F436" s="42">
        <v>4.0</v>
      </c>
      <c r="G436" s="44" t="s">
        <v>52</v>
      </c>
      <c r="H436" s="36">
        <v>5.0</v>
      </c>
      <c r="I436" s="20"/>
    </row>
    <row r="437" ht="15.75" customHeight="1">
      <c r="A437" s="70"/>
      <c r="B437" s="75"/>
      <c r="C437" s="38"/>
      <c r="D437" s="39" t="s">
        <v>444</v>
      </c>
      <c r="E437" s="36">
        <v>0.0</v>
      </c>
      <c r="F437" s="42">
        <v>5.0</v>
      </c>
      <c r="G437" s="44" t="s">
        <v>446</v>
      </c>
      <c r="H437" s="36">
        <v>6.0</v>
      </c>
      <c r="I437" s="20"/>
    </row>
    <row r="438" ht="15.75" customHeight="1">
      <c r="A438" s="70"/>
      <c r="B438" s="75"/>
      <c r="C438" s="38"/>
      <c r="D438" s="39" t="s">
        <v>444</v>
      </c>
      <c r="E438" s="36">
        <v>0.0</v>
      </c>
      <c r="F438" s="42">
        <v>6.0</v>
      </c>
      <c r="G438" s="44" t="s">
        <v>322</v>
      </c>
      <c r="H438" s="36">
        <v>7.0</v>
      </c>
      <c r="I438" s="20"/>
    </row>
    <row r="439" ht="15.75" customHeight="1">
      <c r="A439" s="70"/>
      <c r="B439" s="75"/>
      <c r="C439" s="38"/>
      <c r="D439" s="39" t="s">
        <v>444</v>
      </c>
      <c r="E439" s="36">
        <v>0.0</v>
      </c>
      <c r="F439" s="42">
        <v>7.0</v>
      </c>
      <c r="G439" s="44" t="s">
        <v>59</v>
      </c>
      <c r="H439" s="36">
        <v>1.0</v>
      </c>
      <c r="I439" s="20"/>
    </row>
    <row r="440" ht="15.75" customHeight="1">
      <c r="A440" s="70"/>
      <c r="B440" s="75"/>
      <c r="C440" s="38"/>
      <c r="D440" s="39" t="s">
        <v>444</v>
      </c>
      <c r="E440" s="36">
        <v>0.0</v>
      </c>
      <c r="F440" s="42">
        <v>8.0</v>
      </c>
      <c r="G440" s="44" t="s">
        <v>62</v>
      </c>
      <c r="H440" s="36">
        <v>2.0</v>
      </c>
      <c r="I440" s="20"/>
    </row>
    <row r="441" ht="15.75" customHeight="1">
      <c r="A441" s="70"/>
      <c r="B441" s="75"/>
      <c r="C441" s="38"/>
      <c r="D441" s="39" t="s">
        <v>444</v>
      </c>
      <c r="E441" s="36">
        <v>0.0</v>
      </c>
      <c r="F441" s="42">
        <v>9.0</v>
      </c>
      <c r="G441" s="44" t="s">
        <v>63</v>
      </c>
      <c r="H441" s="36">
        <v>4.0</v>
      </c>
      <c r="I441" s="20"/>
    </row>
    <row r="442" ht="15.75" customHeight="1">
      <c r="A442" s="70"/>
      <c r="B442" s="75"/>
      <c r="C442" s="38"/>
      <c r="D442" s="39" t="s">
        <v>447</v>
      </c>
      <c r="E442" s="36">
        <v>0.0</v>
      </c>
      <c r="F442" s="42">
        <v>1.0</v>
      </c>
      <c r="G442" s="44" t="s">
        <v>43</v>
      </c>
      <c r="H442" s="36">
        <v>1.0</v>
      </c>
      <c r="I442" s="20"/>
    </row>
    <row r="443" ht="15.75" customHeight="1">
      <c r="A443" s="70"/>
      <c r="B443" s="75"/>
      <c r="C443" s="38"/>
      <c r="D443" s="39" t="s">
        <v>447</v>
      </c>
      <c r="E443" s="36">
        <v>0.0</v>
      </c>
      <c r="F443" s="42">
        <v>2.0</v>
      </c>
      <c r="G443" s="44" t="s">
        <v>47</v>
      </c>
      <c r="H443" s="36">
        <v>2.0</v>
      </c>
      <c r="I443" s="20"/>
    </row>
    <row r="444" ht="15.75" customHeight="1">
      <c r="A444" s="70"/>
      <c r="B444" s="75"/>
      <c r="C444" s="38"/>
      <c r="D444" s="39" t="s">
        <v>447</v>
      </c>
      <c r="E444" s="36">
        <v>0.0</v>
      </c>
      <c r="F444" s="42">
        <v>3.0</v>
      </c>
      <c r="G444" s="44" t="s">
        <v>50</v>
      </c>
      <c r="H444" s="36">
        <v>3.0</v>
      </c>
      <c r="I444" s="20"/>
    </row>
    <row r="445" ht="15.75" customHeight="1">
      <c r="A445" s="70"/>
      <c r="B445" s="75"/>
      <c r="C445" s="38"/>
      <c r="D445" s="39" t="s">
        <v>447</v>
      </c>
      <c r="E445" s="36">
        <v>0.0</v>
      </c>
      <c r="F445" s="42">
        <v>4.0</v>
      </c>
      <c r="G445" s="44" t="s">
        <v>51</v>
      </c>
      <c r="H445" s="36">
        <v>4.0</v>
      </c>
      <c r="I445" s="20"/>
    </row>
    <row r="446" ht="15.75" customHeight="1">
      <c r="A446" s="70"/>
      <c r="B446" s="75"/>
      <c r="C446" s="38"/>
      <c r="D446" s="39" t="s">
        <v>447</v>
      </c>
      <c r="E446" s="36">
        <v>0.0</v>
      </c>
      <c r="F446" s="42">
        <v>5.0</v>
      </c>
      <c r="G446" s="44" t="s">
        <v>54</v>
      </c>
      <c r="H446" s="36">
        <v>5.0</v>
      </c>
      <c r="I446" s="20"/>
    </row>
    <row r="447" ht="15.75" customHeight="1">
      <c r="A447" s="70"/>
      <c r="B447" s="75"/>
      <c r="C447" s="38"/>
      <c r="D447" s="39" t="s">
        <v>447</v>
      </c>
      <c r="E447" s="36">
        <v>0.0</v>
      </c>
      <c r="F447" s="42">
        <v>6.0</v>
      </c>
      <c r="G447" s="44" t="s">
        <v>57</v>
      </c>
      <c r="H447" s="36">
        <v>6.0</v>
      </c>
      <c r="I447" s="20"/>
    </row>
    <row r="448" ht="15.75" customHeight="1">
      <c r="A448" s="70"/>
      <c r="B448" s="75"/>
      <c r="C448" s="38"/>
      <c r="D448" s="39" t="s">
        <v>450</v>
      </c>
      <c r="E448" s="36">
        <v>0.0</v>
      </c>
      <c r="F448" s="42">
        <v>3.0</v>
      </c>
      <c r="G448" s="44" t="s">
        <v>50</v>
      </c>
      <c r="H448" s="36">
        <v>3.0</v>
      </c>
      <c r="I448" s="20"/>
    </row>
    <row r="449" ht="15.75" customHeight="1">
      <c r="A449" s="70"/>
      <c r="B449" s="75"/>
      <c r="C449" s="38"/>
      <c r="D449" s="39" t="s">
        <v>450</v>
      </c>
      <c r="E449" s="36">
        <v>0.0</v>
      </c>
      <c r="F449" s="42">
        <v>4.0</v>
      </c>
      <c r="G449" s="44" t="s">
        <v>52</v>
      </c>
      <c r="H449" s="36">
        <v>5.0</v>
      </c>
      <c r="I449" s="20"/>
    </row>
    <row r="450" ht="15.75" customHeight="1">
      <c r="A450" s="70"/>
      <c r="B450" s="75"/>
      <c r="C450" s="38"/>
      <c r="D450" s="39" t="s">
        <v>450</v>
      </c>
      <c r="E450" s="36">
        <v>0.0</v>
      </c>
      <c r="F450" s="42">
        <v>5.0</v>
      </c>
      <c r="G450" s="44" t="s">
        <v>446</v>
      </c>
      <c r="H450" s="36">
        <v>6.0</v>
      </c>
      <c r="I450" s="20"/>
    </row>
    <row r="451" ht="15.75" customHeight="1">
      <c r="A451" s="70"/>
      <c r="B451" s="75"/>
      <c r="C451" s="38"/>
      <c r="D451" s="39" t="s">
        <v>450</v>
      </c>
      <c r="E451" s="36">
        <v>0.0</v>
      </c>
      <c r="F451" s="42">
        <v>6.0</v>
      </c>
      <c r="G451" s="44" t="s">
        <v>322</v>
      </c>
      <c r="H451" s="36">
        <v>7.0</v>
      </c>
      <c r="I451" s="20"/>
    </row>
    <row r="452" ht="15.75" customHeight="1">
      <c r="A452" s="70"/>
      <c r="B452" s="75"/>
      <c r="C452" s="38"/>
      <c r="D452" s="39" t="s">
        <v>450</v>
      </c>
      <c r="E452" s="36">
        <v>0.0</v>
      </c>
      <c r="F452" s="42">
        <v>7.0</v>
      </c>
      <c r="G452" s="44" t="s">
        <v>59</v>
      </c>
      <c r="H452" s="36">
        <v>1.0</v>
      </c>
      <c r="I452" s="20"/>
    </row>
    <row r="453" ht="15.75" customHeight="1">
      <c r="A453" s="70"/>
      <c r="B453" s="75"/>
      <c r="C453" s="38"/>
      <c r="D453" s="39" t="s">
        <v>450</v>
      </c>
      <c r="E453" s="36">
        <v>0.0</v>
      </c>
      <c r="F453" s="42">
        <v>8.0</v>
      </c>
      <c r="G453" s="44" t="s">
        <v>225</v>
      </c>
      <c r="H453" s="36">
        <v>2.0</v>
      </c>
      <c r="I453" s="20"/>
    </row>
    <row r="454" ht="15.75" customHeight="1">
      <c r="A454" s="70"/>
      <c r="B454" s="75"/>
      <c r="C454" s="38"/>
      <c r="D454" s="39" t="s">
        <v>450</v>
      </c>
      <c r="E454" s="36">
        <v>0.0</v>
      </c>
      <c r="F454" s="42">
        <v>9.0</v>
      </c>
      <c r="G454" s="44" t="s">
        <v>63</v>
      </c>
      <c r="H454" s="36">
        <v>4.0</v>
      </c>
      <c r="I454" s="20"/>
    </row>
    <row r="455" ht="15.75" customHeight="1">
      <c r="A455" s="70"/>
      <c r="B455" s="75"/>
      <c r="C455" s="38"/>
      <c r="D455" s="39" t="s">
        <v>453</v>
      </c>
      <c r="E455" s="36">
        <v>0.0</v>
      </c>
      <c r="F455" s="42">
        <v>1.0</v>
      </c>
      <c r="G455" s="44" t="s">
        <v>43</v>
      </c>
      <c r="H455" s="36">
        <v>1.0</v>
      </c>
      <c r="I455" s="20"/>
    </row>
    <row r="456" ht="15.75" customHeight="1">
      <c r="A456" s="70"/>
      <c r="B456" s="75"/>
      <c r="C456" s="38"/>
      <c r="D456" s="39" t="s">
        <v>453</v>
      </c>
      <c r="E456" s="36">
        <v>0.0</v>
      </c>
      <c r="F456" s="42">
        <v>2.0</v>
      </c>
      <c r="G456" s="44" t="s">
        <v>47</v>
      </c>
      <c r="H456" s="36">
        <v>2.0</v>
      </c>
      <c r="I456" s="20"/>
    </row>
    <row r="457" ht="15.75" customHeight="1">
      <c r="A457" s="70"/>
      <c r="B457" s="75"/>
      <c r="C457" s="38"/>
      <c r="D457" s="39" t="s">
        <v>453</v>
      </c>
      <c r="E457" s="36">
        <v>0.0</v>
      </c>
      <c r="F457" s="42">
        <v>3.0</v>
      </c>
      <c r="G457" s="44" t="s">
        <v>50</v>
      </c>
      <c r="H457" s="36">
        <v>3.0</v>
      </c>
      <c r="I457" s="20"/>
    </row>
    <row r="458" ht="15.75" customHeight="1">
      <c r="A458" s="70"/>
      <c r="B458" s="75"/>
      <c r="C458" s="38"/>
      <c r="D458" s="39" t="s">
        <v>453</v>
      </c>
      <c r="E458" s="36">
        <v>0.0</v>
      </c>
      <c r="F458" s="42">
        <v>4.0</v>
      </c>
      <c r="G458" s="44" t="s">
        <v>51</v>
      </c>
      <c r="H458" s="36">
        <v>4.0</v>
      </c>
      <c r="I458" s="20"/>
    </row>
    <row r="459" ht="15.75" customHeight="1">
      <c r="A459" s="70"/>
      <c r="B459" s="75"/>
      <c r="C459" s="38"/>
      <c r="D459" s="39" t="s">
        <v>453</v>
      </c>
      <c r="E459" s="36">
        <v>0.0</v>
      </c>
      <c r="F459" s="42">
        <v>5.0</v>
      </c>
      <c r="G459" s="44" t="s">
        <v>54</v>
      </c>
      <c r="H459" s="36">
        <v>5.0</v>
      </c>
      <c r="I459" s="20"/>
    </row>
    <row r="460" ht="15.75" customHeight="1">
      <c r="A460" s="70"/>
      <c r="B460" s="75"/>
      <c r="C460" s="38"/>
      <c r="D460" s="39" t="s">
        <v>453</v>
      </c>
      <c r="E460" s="36">
        <v>0.0</v>
      </c>
      <c r="F460" s="42">
        <v>6.0</v>
      </c>
      <c r="G460" s="44" t="s">
        <v>57</v>
      </c>
      <c r="H460" s="36">
        <v>6.0</v>
      </c>
      <c r="I460" s="20"/>
    </row>
    <row r="461" ht="15.75" customHeight="1">
      <c r="A461" s="70"/>
      <c r="B461" s="75"/>
      <c r="C461" s="38"/>
      <c r="D461" s="39" t="s">
        <v>454</v>
      </c>
      <c r="E461" s="36">
        <v>0.0</v>
      </c>
      <c r="F461" s="42">
        <v>1.0</v>
      </c>
      <c r="G461" s="44" t="s">
        <v>43</v>
      </c>
      <c r="H461" s="36">
        <v>1.0</v>
      </c>
      <c r="I461" s="20"/>
    </row>
    <row r="462" ht="15.75" customHeight="1">
      <c r="A462" s="70"/>
      <c r="B462" s="75"/>
      <c r="C462" s="38"/>
      <c r="D462" s="39" t="s">
        <v>454</v>
      </c>
      <c r="E462" s="36">
        <v>0.0</v>
      </c>
      <c r="F462" s="42">
        <v>2.0</v>
      </c>
      <c r="G462" s="44" t="s">
        <v>47</v>
      </c>
      <c r="H462" s="36">
        <v>2.0</v>
      </c>
      <c r="I462" s="20"/>
    </row>
    <row r="463" ht="15.75" customHeight="1">
      <c r="A463" s="70"/>
      <c r="B463" s="75"/>
      <c r="C463" s="38"/>
      <c r="D463" s="39" t="s">
        <v>454</v>
      </c>
      <c r="E463" s="36">
        <v>0.0</v>
      </c>
      <c r="F463" s="42">
        <v>3.0</v>
      </c>
      <c r="G463" s="44" t="s">
        <v>50</v>
      </c>
      <c r="H463" s="36">
        <v>3.0</v>
      </c>
      <c r="I463" s="20"/>
    </row>
    <row r="464" ht="15.75" customHeight="1">
      <c r="A464" s="70"/>
      <c r="B464" s="75"/>
      <c r="C464" s="38"/>
      <c r="D464" s="39" t="s">
        <v>454</v>
      </c>
      <c r="E464" s="36">
        <v>0.0</v>
      </c>
      <c r="F464" s="42">
        <v>4.0</v>
      </c>
      <c r="G464" s="44" t="s">
        <v>51</v>
      </c>
      <c r="H464" s="36">
        <v>4.0</v>
      </c>
      <c r="I464" s="20"/>
    </row>
    <row r="465" ht="15.75" customHeight="1">
      <c r="A465" s="70"/>
      <c r="B465" s="75"/>
      <c r="C465" s="38"/>
      <c r="D465" s="39" t="s">
        <v>454</v>
      </c>
      <c r="E465" s="36">
        <v>0.0</v>
      </c>
      <c r="F465" s="42">
        <v>5.0</v>
      </c>
      <c r="G465" s="44" t="s">
        <v>54</v>
      </c>
      <c r="H465" s="36">
        <v>5.0</v>
      </c>
      <c r="I465" s="20"/>
    </row>
    <row r="466" ht="15.75" customHeight="1">
      <c r="A466" s="70"/>
      <c r="B466" s="75"/>
      <c r="C466" s="38"/>
      <c r="D466" s="39" t="s">
        <v>454</v>
      </c>
      <c r="E466" s="36">
        <v>0.0</v>
      </c>
      <c r="F466" s="42">
        <v>6.0</v>
      </c>
      <c r="G466" s="44" t="s">
        <v>57</v>
      </c>
      <c r="H466" s="36">
        <v>6.0</v>
      </c>
      <c r="I466" s="20"/>
    </row>
    <row r="467" ht="15.75" customHeight="1">
      <c r="A467" s="70"/>
      <c r="B467" s="75"/>
      <c r="C467" s="38"/>
      <c r="D467" s="39" t="s">
        <v>459</v>
      </c>
      <c r="E467" s="36">
        <v>0.0</v>
      </c>
      <c r="F467" s="42">
        <v>1.0</v>
      </c>
      <c r="G467" s="44" t="s">
        <v>43</v>
      </c>
      <c r="H467" s="36">
        <v>1.0</v>
      </c>
      <c r="I467" s="20"/>
    </row>
    <row r="468" ht="15.75" customHeight="1">
      <c r="A468" s="70"/>
      <c r="B468" s="75"/>
      <c r="C468" s="38"/>
      <c r="D468" s="39" t="s">
        <v>459</v>
      </c>
      <c r="E468" s="36">
        <v>0.0</v>
      </c>
      <c r="F468" s="42">
        <v>2.0</v>
      </c>
      <c r="G468" s="44" t="s">
        <v>47</v>
      </c>
      <c r="H468" s="36">
        <v>2.0</v>
      </c>
      <c r="I468" s="20"/>
    </row>
    <row r="469" ht="15.75" customHeight="1">
      <c r="A469" s="70"/>
      <c r="B469" s="75"/>
      <c r="C469" s="38"/>
      <c r="D469" s="39" t="s">
        <v>459</v>
      </c>
      <c r="E469" s="36">
        <v>0.0</v>
      </c>
      <c r="F469" s="42">
        <v>3.0</v>
      </c>
      <c r="G469" s="44" t="s">
        <v>50</v>
      </c>
      <c r="H469" s="36">
        <v>3.0</v>
      </c>
      <c r="I469" s="20"/>
    </row>
    <row r="470" ht="15.75" customHeight="1">
      <c r="A470" s="70"/>
      <c r="B470" s="75"/>
      <c r="C470" s="38"/>
      <c r="D470" s="39" t="s">
        <v>459</v>
      </c>
      <c r="E470" s="36">
        <v>0.0</v>
      </c>
      <c r="F470" s="42">
        <v>4.0</v>
      </c>
      <c r="G470" s="44" t="s">
        <v>51</v>
      </c>
      <c r="H470" s="36">
        <v>4.0</v>
      </c>
      <c r="I470" s="20"/>
    </row>
    <row r="471" ht="15.75" customHeight="1">
      <c r="A471" s="70"/>
      <c r="B471" s="75"/>
      <c r="C471" s="38"/>
      <c r="D471" s="39" t="s">
        <v>459</v>
      </c>
      <c r="E471" s="36">
        <v>0.0</v>
      </c>
      <c r="F471" s="42">
        <v>5.0</v>
      </c>
      <c r="G471" s="44" t="s">
        <v>54</v>
      </c>
      <c r="H471" s="36">
        <v>5.0</v>
      </c>
      <c r="I471" s="20"/>
    </row>
    <row r="472" ht="15.75" customHeight="1">
      <c r="A472" s="70"/>
      <c r="B472" s="75"/>
      <c r="C472" s="38"/>
      <c r="D472" s="39" t="s">
        <v>459</v>
      </c>
      <c r="E472" s="36">
        <v>0.0</v>
      </c>
      <c r="F472" s="42">
        <v>6.0</v>
      </c>
      <c r="G472" s="44" t="s">
        <v>213</v>
      </c>
      <c r="H472" s="36">
        <v>6.0</v>
      </c>
      <c r="I472" s="20"/>
    </row>
    <row r="473" ht="15.75" customHeight="1">
      <c r="A473" s="70"/>
      <c r="B473" s="75"/>
      <c r="C473" s="38"/>
      <c r="D473" s="39" t="s">
        <v>462</v>
      </c>
      <c r="E473" s="36">
        <v>0.0</v>
      </c>
      <c r="F473" s="42">
        <v>3.0</v>
      </c>
      <c r="G473" s="44" t="s">
        <v>50</v>
      </c>
      <c r="H473" s="36">
        <v>3.0</v>
      </c>
      <c r="I473" s="20"/>
    </row>
    <row r="474" ht="15.75" customHeight="1">
      <c r="A474" s="70"/>
      <c r="B474" s="75"/>
      <c r="C474" s="38"/>
      <c r="D474" s="39" t="s">
        <v>462</v>
      </c>
      <c r="E474" s="36">
        <v>0.0</v>
      </c>
      <c r="F474" s="42">
        <v>4.0</v>
      </c>
      <c r="G474" s="44" t="s">
        <v>52</v>
      </c>
      <c r="H474" s="36">
        <v>5.0</v>
      </c>
      <c r="I474" s="20"/>
    </row>
    <row r="475" ht="15.75" customHeight="1">
      <c r="A475" s="70"/>
      <c r="B475" s="75"/>
      <c r="C475" s="38"/>
      <c r="D475" s="39" t="s">
        <v>462</v>
      </c>
      <c r="E475" s="36">
        <v>0.0</v>
      </c>
      <c r="F475" s="42">
        <v>5.0</v>
      </c>
      <c r="G475" s="44" t="s">
        <v>54</v>
      </c>
      <c r="H475" s="36">
        <v>6.0</v>
      </c>
      <c r="I475" s="20"/>
    </row>
    <row r="476" ht="15.75" customHeight="1">
      <c r="A476" s="70"/>
      <c r="B476" s="75"/>
      <c r="C476" s="38"/>
      <c r="D476" s="39" t="s">
        <v>462</v>
      </c>
      <c r="E476" s="36">
        <v>0.0</v>
      </c>
      <c r="F476" s="42">
        <v>6.0</v>
      </c>
      <c r="G476" s="44" t="s">
        <v>213</v>
      </c>
      <c r="H476" s="36">
        <v>7.0</v>
      </c>
      <c r="I476" s="20"/>
    </row>
    <row r="477" ht="15.75" customHeight="1">
      <c r="A477" s="70"/>
      <c r="B477" s="75"/>
      <c r="C477" s="38"/>
      <c r="D477" s="39" t="s">
        <v>462</v>
      </c>
      <c r="E477" s="36">
        <v>0.0</v>
      </c>
      <c r="F477" s="42">
        <v>7.0</v>
      </c>
      <c r="G477" s="44" t="s">
        <v>59</v>
      </c>
      <c r="H477" s="36">
        <v>1.0</v>
      </c>
      <c r="I477" s="20"/>
    </row>
    <row r="478" ht="15.75" customHeight="1">
      <c r="A478" s="70"/>
      <c r="B478" s="75"/>
      <c r="C478" s="38"/>
      <c r="D478" s="39" t="s">
        <v>462</v>
      </c>
      <c r="E478" s="36">
        <v>0.0</v>
      </c>
      <c r="F478" s="42">
        <v>8.0</v>
      </c>
      <c r="G478" s="44" t="s">
        <v>225</v>
      </c>
      <c r="H478" s="36">
        <v>2.0</v>
      </c>
      <c r="I478" s="20"/>
    </row>
    <row r="479" ht="15.75" customHeight="1">
      <c r="A479" s="70"/>
      <c r="B479" s="75"/>
      <c r="C479" s="38"/>
      <c r="D479" s="39" t="s">
        <v>462</v>
      </c>
      <c r="E479" s="36">
        <v>0.0</v>
      </c>
      <c r="F479" s="42">
        <v>9.0</v>
      </c>
      <c r="G479" s="44" t="s">
        <v>63</v>
      </c>
      <c r="H479" s="36">
        <v>4.0</v>
      </c>
      <c r="I479" s="20"/>
    </row>
    <row r="480" ht="15.75" customHeight="1">
      <c r="A480" s="70"/>
      <c r="B480" s="75"/>
      <c r="C480" s="38"/>
      <c r="D480" s="39" t="s">
        <v>465</v>
      </c>
      <c r="E480" s="36">
        <v>0.0</v>
      </c>
      <c r="F480" s="42">
        <v>1.0</v>
      </c>
      <c r="G480" s="44" t="s">
        <v>466</v>
      </c>
      <c r="H480" s="36" t="s">
        <v>269</v>
      </c>
      <c r="I480" s="20"/>
    </row>
    <row r="481" ht="15.75" customHeight="1">
      <c r="A481" s="70"/>
      <c r="B481" s="75"/>
      <c r="C481" s="38"/>
      <c r="D481" s="39" t="s">
        <v>465</v>
      </c>
      <c r="E481" s="36">
        <v>0.0</v>
      </c>
      <c r="F481" s="42">
        <v>2.0</v>
      </c>
      <c r="G481" s="44" t="s">
        <v>468</v>
      </c>
      <c r="H481" s="36" t="s">
        <v>282</v>
      </c>
      <c r="I481" s="20"/>
    </row>
    <row r="482" ht="15.75" customHeight="1">
      <c r="A482" s="70"/>
      <c r="B482" s="75"/>
      <c r="C482" s="38"/>
      <c r="D482" s="39" t="s">
        <v>465</v>
      </c>
      <c r="E482" s="36">
        <v>0.0</v>
      </c>
      <c r="F482" s="42">
        <v>9.0</v>
      </c>
      <c r="G482" s="44" t="s">
        <v>63</v>
      </c>
      <c r="H482" s="36" t="s">
        <v>470</v>
      </c>
      <c r="I482" s="20"/>
    </row>
    <row r="483" ht="15.75" customHeight="1">
      <c r="A483" s="70"/>
      <c r="B483" s="75"/>
      <c r="C483" s="38"/>
      <c r="D483" s="39" t="s">
        <v>465</v>
      </c>
      <c r="E483" s="36">
        <v>0.0</v>
      </c>
      <c r="F483" s="42">
        <v>36.0</v>
      </c>
      <c r="G483" s="44" t="s">
        <v>471</v>
      </c>
      <c r="H483" s="36" t="s">
        <v>472</v>
      </c>
      <c r="I483" s="20"/>
    </row>
    <row r="484" ht="15.75" customHeight="1">
      <c r="A484" s="70"/>
      <c r="B484" s="75"/>
      <c r="C484" s="38"/>
      <c r="D484" s="39" t="s">
        <v>465</v>
      </c>
      <c r="E484" s="36">
        <v>0.0</v>
      </c>
      <c r="F484" s="42">
        <v>37.0</v>
      </c>
      <c r="G484" s="44" t="s">
        <v>475</v>
      </c>
      <c r="H484" s="36" t="s">
        <v>476</v>
      </c>
      <c r="I484" s="20"/>
    </row>
    <row r="485" ht="15.75" customHeight="1">
      <c r="A485" s="70"/>
      <c r="B485" s="75"/>
      <c r="C485" s="38"/>
      <c r="D485" s="39" t="s">
        <v>465</v>
      </c>
      <c r="E485" s="36">
        <v>0.0</v>
      </c>
      <c r="F485" s="42">
        <v>38.0</v>
      </c>
      <c r="G485" s="44" t="s">
        <v>477</v>
      </c>
      <c r="H485" s="36" t="s">
        <v>290</v>
      </c>
      <c r="I485" s="20"/>
    </row>
    <row r="486" ht="15.75" customHeight="1">
      <c r="A486" s="70"/>
      <c r="B486" s="75"/>
      <c r="C486" s="38"/>
      <c r="D486" s="39" t="s">
        <v>465</v>
      </c>
      <c r="E486" s="36">
        <v>0.0</v>
      </c>
      <c r="F486" s="42">
        <v>39.0</v>
      </c>
      <c r="G486" s="44" t="s">
        <v>478</v>
      </c>
      <c r="H486" s="36" t="s">
        <v>479</v>
      </c>
      <c r="I486" s="20"/>
    </row>
    <row r="487" ht="15.75" customHeight="1">
      <c r="A487" s="70"/>
      <c r="B487" s="75"/>
      <c r="C487" s="38"/>
      <c r="D487" s="39" t="s">
        <v>465</v>
      </c>
      <c r="E487" s="36">
        <v>0.0</v>
      </c>
      <c r="F487" s="42">
        <v>40.0</v>
      </c>
      <c r="G487" s="44" t="s">
        <v>480</v>
      </c>
      <c r="H487" s="36" t="s">
        <v>481</v>
      </c>
      <c r="I487" s="20"/>
    </row>
    <row r="488" ht="15.75" customHeight="1">
      <c r="A488" s="70"/>
      <c r="B488" s="75"/>
      <c r="C488" s="38"/>
      <c r="D488" s="39" t="s">
        <v>465</v>
      </c>
      <c r="E488" s="36">
        <v>0.0</v>
      </c>
      <c r="F488" s="42">
        <v>41.0</v>
      </c>
      <c r="G488" s="44" t="s">
        <v>484</v>
      </c>
      <c r="H488" s="36" t="s">
        <v>485</v>
      </c>
      <c r="I488" s="20"/>
    </row>
    <row r="489" ht="15.75" customHeight="1">
      <c r="A489" s="70"/>
      <c r="B489" s="75"/>
      <c r="C489" s="38"/>
      <c r="D489" s="39" t="s">
        <v>487</v>
      </c>
      <c r="E489" s="36">
        <v>0.0</v>
      </c>
      <c r="F489" s="42">
        <v>1.0</v>
      </c>
      <c r="G489" s="44" t="s">
        <v>136</v>
      </c>
      <c r="H489" s="36">
        <v>0.0</v>
      </c>
      <c r="I489" s="20"/>
    </row>
    <row r="490" ht="15.75" customHeight="1">
      <c r="A490" s="70"/>
      <c r="B490" s="75"/>
      <c r="C490" s="38"/>
      <c r="D490" s="39" t="s">
        <v>487</v>
      </c>
      <c r="E490" s="36">
        <v>0.0</v>
      </c>
      <c r="F490" s="42">
        <v>3.0</v>
      </c>
      <c r="G490" s="44" t="s">
        <v>489</v>
      </c>
      <c r="H490" s="36">
        <v>2.0</v>
      </c>
      <c r="I490" s="20"/>
    </row>
    <row r="491" ht="15.75" customHeight="1">
      <c r="A491" s="70"/>
      <c r="B491" s="75"/>
      <c r="C491" s="38"/>
      <c r="D491" s="39" t="s">
        <v>487</v>
      </c>
      <c r="E491" s="36">
        <v>0.0</v>
      </c>
      <c r="F491" s="42">
        <v>4.0</v>
      </c>
      <c r="G491" s="44" t="s">
        <v>490</v>
      </c>
      <c r="H491" s="36">
        <v>4.0</v>
      </c>
      <c r="I491" s="20"/>
    </row>
    <row r="492" ht="15.75" customHeight="1">
      <c r="A492" s="70"/>
      <c r="B492" s="75"/>
      <c r="C492" s="38"/>
      <c r="D492" s="39" t="s">
        <v>487</v>
      </c>
      <c r="E492" s="36">
        <v>0.0</v>
      </c>
      <c r="F492" s="42">
        <v>10.0</v>
      </c>
      <c r="G492" s="44" t="s">
        <v>491</v>
      </c>
      <c r="H492" s="36">
        <v>1.0</v>
      </c>
      <c r="I492" s="20"/>
    </row>
    <row r="493" ht="15.75" customHeight="1">
      <c r="A493" s="70"/>
      <c r="B493" s="75"/>
      <c r="C493" s="38"/>
      <c r="D493" s="39" t="s">
        <v>487</v>
      </c>
      <c r="E493" s="36">
        <v>0.0</v>
      </c>
      <c r="F493" s="42">
        <v>17.0</v>
      </c>
      <c r="G493" s="44" t="s">
        <v>492</v>
      </c>
      <c r="H493" s="36">
        <v>6.0</v>
      </c>
      <c r="I493" s="20"/>
    </row>
    <row r="494" ht="15.75" customHeight="1">
      <c r="A494" s="70"/>
      <c r="B494" s="75"/>
      <c r="C494" s="38"/>
      <c r="D494" s="39" t="s">
        <v>487</v>
      </c>
      <c r="E494" s="36">
        <v>0.0</v>
      </c>
      <c r="F494" s="42">
        <v>24.0</v>
      </c>
      <c r="G494" s="44" t="s">
        <v>495</v>
      </c>
      <c r="H494" s="36">
        <v>3.0</v>
      </c>
      <c r="I494" s="20"/>
    </row>
    <row r="495" ht="15.75" customHeight="1">
      <c r="A495" s="70"/>
      <c r="B495" s="75"/>
      <c r="C495" s="38"/>
      <c r="D495" s="39" t="s">
        <v>496</v>
      </c>
      <c r="E495" s="36">
        <v>0.0</v>
      </c>
      <c r="F495" s="42">
        <v>1.0</v>
      </c>
      <c r="G495" s="44" t="s">
        <v>497</v>
      </c>
      <c r="H495" s="36">
        <v>0.0</v>
      </c>
      <c r="I495" s="20"/>
    </row>
    <row r="496" ht="15.75" customHeight="1">
      <c r="A496" s="70"/>
      <c r="B496" s="75"/>
      <c r="C496" s="38"/>
      <c r="D496" s="39" t="s">
        <v>496</v>
      </c>
      <c r="E496" s="36">
        <v>0.0</v>
      </c>
      <c r="F496" s="42">
        <v>3.0</v>
      </c>
      <c r="G496" s="44" t="s">
        <v>387</v>
      </c>
      <c r="H496" s="36">
        <v>12.0</v>
      </c>
      <c r="I496" s="20"/>
    </row>
    <row r="497" ht="15.75" customHeight="1">
      <c r="A497" s="70"/>
      <c r="B497" s="75"/>
      <c r="C497" s="38"/>
      <c r="D497" s="39" t="s">
        <v>496</v>
      </c>
      <c r="E497" s="36">
        <v>0.0</v>
      </c>
      <c r="F497" s="42">
        <v>4.0</v>
      </c>
      <c r="G497" s="44" t="s">
        <v>51</v>
      </c>
      <c r="H497" s="36">
        <v>12.0</v>
      </c>
      <c r="I497" s="20"/>
    </row>
    <row r="498" ht="15.75" customHeight="1">
      <c r="A498" s="70"/>
      <c r="B498" s="75"/>
      <c r="C498" s="38"/>
      <c r="D498" s="39" t="s">
        <v>496</v>
      </c>
      <c r="E498" s="36">
        <v>0.0</v>
      </c>
      <c r="F498" s="42">
        <v>10.0</v>
      </c>
      <c r="G498" s="44" t="s">
        <v>499</v>
      </c>
      <c r="H498" s="36">
        <v>14.0</v>
      </c>
      <c r="I498" s="20"/>
    </row>
    <row r="499" ht="15.75" customHeight="1">
      <c r="A499" s="70"/>
      <c r="B499" s="75"/>
      <c r="C499" s="38"/>
      <c r="D499" s="39" t="s">
        <v>496</v>
      </c>
      <c r="E499" s="36">
        <v>0.0</v>
      </c>
      <c r="F499" s="42">
        <v>11.0</v>
      </c>
      <c r="G499" s="44" t="s">
        <v>500</v>
      </c>
      <c r="H499" s="36">
        <v>4.0</v>
      </c>
      <c r="I499" s="20"/>
    </row>
    <row r="500" ht="15.75" customHeight="1">
      <c r="A500" s="70"/>
      <c r="B500" s="75"/>
      <c r="C500" s="38"/>
      <c r="D500" s="39" t="s">
        <v>496</v>
      </c>
      <c r="E500" s="36">
        <v>0.0</v>
      </c>
      <c r="F500" s="42">
        <v>12.0</v>
      </c>
      <c r="G500" s="44" t="s">
        <v>501</v>
      </c>
      <c r="H500" s="36">
        <v>1.0</v>
      </c>
      <c r="I500" s="20"/>
    </row>
    <row r="501" ht="15.75" customHeight="1">
      <c r="A501" s="70"/>
      <c r="B501" s="75"/>
      <c r="C501" s="38"/>
      <c r="D501" s="39" t="s">
        <v>496</v>
      </c>
      <c r="E501" s="36">
        <v>0.0</v>
      </c>
      <c r="F501" s="42">
        <v>15.0</v>
      </c>
      <c r="G501" s="44" t="s">
        <v>503</v>
      </c>
      <c r="H501" s="36">
        <v>2.0</v>
      </c>
      <c r="I501" s="20"/>
    </row>
    <row r="502" ht="15.75" customHeight="1">
      <c r="A502" s="70"/>
      <c r="B502" s="75"/>
      <c r="C502" s="38"/>
      <c r="D502" s="39" t="s">
        <v>496</v>
      </c>
      <c r="E502" s="36">
        <v>0.0</v>
      </c>
      <c r="F502" s="42">
        <v>16.0</v>
      </c>
      <c r="G502" s="44" t="s">
        <v>424</v>
      </c>
      <c r="H502" s="36">
        <v>13.0</v>
      </c>
      <c r="I502" s="20"/>
    </row>
    <row r="503" ht="15.75" customHeight="1">
      <c r="A503" s="70"/>
      <c r="B503" s="75"/>
      <c r="C503" s="38"/>
      <c r="D503" s="39" t="s">
        <v>496</v>
      </c>
      <c r="E503" s="36">
        <v>0.0</v>
      </c>
      <c r="F503" s="42">
        <v>21.0</v>
      </c>
      <c r="G503" s="44" t="s">
        <v>504</v>
      </c>
      <c r="H503" s="36">
        <v>8.0</v>
      </c>
      <c r="I503" s="20"/>
    </row>
    <row r="504" ht="15.75" customHeight="1">
      <c r="A504" s="70"/>
      <c r="B504" s="75"/>
      <c r="C504" s="38"/>
      <c r="D504" s="39" t="s">
        <v>496</v>
      </c>
      <c r="E504" s="36">
        <v>0.0</v>
      </c>
      <c r="F504" s="42">
        <v>27.0</v>
      </c>
      <c r="G504" s="44" t="s">
        <v>505</v>
      </c>
      <c r="H504" s="36">
        <v>3.0</v>
      </c>
      <c r="I504" s="20"/>
    </row>
    <row r="505" ht="15.75" customHeight="1">
      <c r="A505" s="70"/>
      <c r="B505" s="75"/>
      <c r="C505" s="38"/>
      <c r="D505" s="39" t="s">
        <v>496</v>
      </c>
      <c r="E505" s="36">
        <v>0.0</v>
      </c>
      <c r="F505" s="42">
        <v>28.0</v>
      </c>
      <c r="G505" s="44" t="s">
        <v>506</v>
      </c>
      <c r="H505" s="36">
        <v>5.0</v>
      </c>
      <c r="I505" s="20"/>
    </row>
    <row r="506" ht="15.75" customHeight="1">
      <c r="A506" s="70"/>
      <c r="B506" s="75"/>
      <c r="C506" s="38"/>
      <c r="D506" s="39" t="s">
        <v>496</v>
      </c>
      <c r="E506" s="36">
        <v>0.0</v>
      </c>
      <c r="F506" s="42">
        <v>29.0</v>
      </c>
      <c r="G506" s="44" t="s">
        <v>507</v>
      </c>
      <c r="H506" s="36">
        <v>6.0</v>
      </c>
      <c r="I506" s="20"/>
    </row>
    <row r="507" ht="15.75" customHeight="1">
      <c r="A507" s="70"/>
      <c r="B507" s="75"/>
      <c r="C507" s="38"/>
      <c r="D507" s="39" t="s">
        <v>496</v>
      </c>
      <c r="E507" s="36">
        <v>0.0</v>
      </c>
      <c r="F507" s="42">
        <v>30.0</v>
      </c>
      <c r="G507" s="44" t="s">
        <v>508</v>
      </c>
      <c r="H507" s="36">
        <v>7.0</v>
      </c>
      <c r="I507" s="20"/>
    </row>
    <row r="508" ht="15.75" customHeight="1">
      <c r="A508" s="70"/>
      <c r="B508" s="75"/>
      <c r="C508" s="38"/>
      <c r="D508" s="39" t="s">
        <v>496</v>
      </c>
      <c r="E508" s="36">
        <v>0.0</v>
      </c>
      <c r="F508" s="42">
        <v>31.0</v>
      </c>
      <c r="G508" s="44" t="s">
        <v>509</v>
      </c>
      <c r="H508" s="36">
        <v>9.0</v>
      </c>
      <c r="I508" s="20"/>
    </row>
    <row r="509" ht="15.75" customHeight="1">
      <c r="A509" s="70"/>
      <c r="B509" s="75"/>
      <c r="C509" s="38"/>
      <c r="D509" s="39" t="s">
        <v>496</v>
      </c>
      <c r="E509" s="36">
        <v>0.0</v>
      </c>
      <c r="F509" s="42">
        <v>32.0</v>
      </c>
      <c r="G509" s="44" t="s">
        <v>512</v>
      </c>
      <c r="H509" s="36">
        <v>10.0</v>
      </c>
      <c r="I509" s="20"/>
    </row>
    <row r="510" ht="15.75" customHeight="1">
      <c r="A510" s="70"/>
      <c r="B510" s="75"/>
      <c r="C510" s="38"/>
      <c r="D510" s="39" t="s">
        <v>496</v>
      </c>
      <c r="E510" s="36">
        <v>0.0</v>
      </c>
      <c r="F510" s="42">
        <v>33.0</v>
      </c>
      <c r="G510" s="44" t="s">
        <v>513</v>
      </c>
      <c r="H510" s="36">
        <v>11.0</v>
      </c>
      <c r="I510" s="20"/>
    </row>
    <row r="511" ht="15.75" customHeight="1">
      <c r="A511" s="70"/>
      <c r="B511" s="75"/>
      <c r="C511" s="38"/>
      <c r="D511" s="39" t="s">
        <v>496</v>
      </c>
      <c r="E511" s="36">
        <v>0.0</v>
      </c>
      <c r="F511" s="42">
        <v>34.0</v>
      </c>
      <c r="G511" s="44" t="s">
        <v>514</v>
      </c>
      <c r="H511" s="36">
        <v>15.0</v>
      </c>
      <c r="I511" s="20"/>
    </row>
    <row r="512" ht="15.75" customHeight="1">
      <c r="A512" s="70"/>
      <c r="B512" s="75"/>
      <c r="C512" s="38"/>
      <c r="D512" s="39" t="s">
        <v>496</v>
      </c>
      <c r="E512" s="36">
        <v>0.0</v>
      </c>
      <c r="F512" s="42">
        <v>35.0</v>
      </c>
      <c r="G512" s="44" t="s">
        <v>515</v>
      </c>
      <c r="H512" s="36">
        <v>16.0</v>
      </c>
      <c r="I512" s="20"/>
    </row>
    <row r="513" ht="15.75" customHeight="1">
      <c r="A513" s="70"/>
      <c r="B513" s="75"/>
      <c r="C513" s="38"/>
      <c r="D513" s="39" t="s">
        <v>516</v>
      </c>
      <c r="E513" s="36">
        <v>4205407.0</v>
      </c>
      <c r="F513" s="42">
        <v>1.0</v>
      </c>
      <c r="G513" s="44" t="s">
        <v>517</v>
      </c>
      <c r="H513" s="36">
        <v>0.0</v>
      </c>
      <c r="I513" s="20"/>
    </row>
    <row r="514" ht="15.75" customHeight="1">
      <c r="A514" s="70"/>
      <c r="B514" s="75"/>
      <c r="C514" s="38"/>
      <c r="D514" s="39" t="s">
        <v>516</v>
      </c>
      <c r="E514" s="36">
        <v>4205407.0</v>
      </c>
      <c r="F514" s="42">
        <v>3.0</v>
      </c>
      <c r="G514" s="44" t="s">
        <v>387</v>
      </c>
      <c r="H514" s="36">
        <v>12.0</v>
      </c>
      <c r="I514" s="20"/>
    </row>
    <row r="515" ht="15.75" customHeight="1">
      <c r="A515" s="70"/>
      <c r="B515" s="75"/>
      <c r="C515" s="38"/>
      <c r="D515" s="39" t="s">
        <v>516</v>
      </c>
      <c r="E515" s="36">
        <v>4205407.0</v>
      </c>
      <c r="F515" s="42">
        <v>4.0</v>
      </c>
      <c r="G515" s="44" t="s">
        <v>51</v>
      </c>
      <c r="H515" s="36">
        <v>12.0</v>
      </c>
      <c r="I515" s="20"/>
    </row>
    <row r="516" ht="15.75" customHeight="1">
      <c r="A516" s="70"/>
      <c r="B516" s="75"/>
      <c r="C516" s="38"/>
      <c r="D516" s="39" t="s">
        <v>516</v>
      </c>
      <c r="E516" s="36">
        <v>4205407.0</v>
      </c>
      <c r="F516" s="42">
        <v>8.0</v>
      </c>
      <c r="G516" s="44" t="s">
        <v>504</v>
      </c>
      <c r="H516" s="36">
        <v>8.0</v>
      </c>
      <c r="I516" s="20"/>
    </row>
    <row r="517" ht="15.75" customHeight="1">
      <c r="A517" s="70"/>
      <c r="B517" s="75"/>
      <c r="C517" s="38"/>
      <c r="D517" s="39" t="s">
        <v>516</v>
      </c>
      <c r="E517" s="36">
        <v>4205407.0</v>
      </c>
      <c r="F517" s="42">
        <v>10.0</v>
      </c>
      <c r="G517" s="44" t="s">
        <v>519</v>
      </c>
      <c r="H517" s="36">
        <v>14.0</v>
      </c>
      <c r="I517" s="20"/>
    </row>
    <row r="518" ht="15.75" customHeight="1">
      <c r="A518" s="70"/>
      <c r="B518" s="75"/>
      <c r="C518" s="38"/>
      <c r="D518" s="39" t="s">
        <v>516</v>
      </c>
      <c r="E518" s="36">
        <v>4205407.0</v>
      </c>
      <c r="F518" s="42">
        <v>11.0</v>
      </c>
      <c r="G518" s="44" t="s">
        <v>500</v>
      </c>
      <c r="H518" s="36">
        <v>4.0</v>
      </c>
      <c r="I518" s="20"/>
    </row>
    <row r="519" ht="15.75" customHeight="1">
      <c r="A519" s="70"/>
      <c r="B519" s="75"/>
      <c r="C519" s="38"/>
      <c r="D519" s="39" t="s">
        <v>516</v>
      </c>
      <c r="E519" s="36">
        <v>4205407.0</v>
      </c>
      <c r="F519" s="42">
        <v>12.0</v>
      </c>
      <c r="G519" s="44" t="s">
        <v>501</v>
      </c>
      <c r="H519" s="36">
        <v>1.0</v>
      </c>
      <c r="I519" s="20"/>
    </row>
    <row r="520" ht="15.75" customHeight="1">
      <c r="A520" s="70"/>
      <c r="B520" s="75"/>
      <c r="C520" s="38"/>
      <c r="D520" s="39" t="s">
        <v>516</v>
      </c>
      <c r="E520" s="36">
        <v>4205407.0</v>
      </c>
      <c r="F520" s="42">
        <v>15.0</v>
      </c>
      <c r="G520" s="44" t="s">
        <v>503</v>
      </c>
      <c r="H520" s="36">
        <v>2.0</v>
      </c>
      <c r="I520" s="20"/>
    </row>
    <row r="521" ht="15.75" customHeight="1">
      <c r="A521" s="70"/>
      <c r="B521" s="75"/>
      <c r="C521" s="38"/>
      <c r="D521" s="39" t="s">
        <v>516</v>
      </c>
      <c r="E521" s="36">
        <v>4205407.0</v>
      </c>
      <c r="F521" s="42">
        <v>16.0</v>
      </c>
      <c r="G521" s="44" t="s">
        <v>522</v>
      </c>
      <c r="H521" s="36">
        <v>13.0</v>
      </c>
      <c r="I521" s="20"/>
    </row>
    <row r="522" ht="15.75" customHeight="1">
      <c r="A522" s="70"/>
      <c r="B522" s="75"/>
      <c r="C522" s="38"/>
      <c r="D522" s="39" t="s">
        <v>516</v>
      </c>
      <c r="E522" s="36">
        <v>4205407.0</v>
      </c>
      <c r="F522" s="42">
        <v>27.0</v>
      </c>
      <c r="G522" s="44" t="s">
        <v>505</v>
      </c>
      <c r="H522" s="36">
        <v>3.0</v>
      </c>
      <c r="I522" s="20"/>
    </row>
    <row r="523" ht="15.75" customHeight="1">
      <c r="A523" s="70"/>
      <c r="B523" s="75"/>
      <c r="C523" s="38"/>
      <c r="D523" s="39" t="s">
        <v>516</v>
      </c>
      <c r="E523" s="36">
        <v>4205407.0</v>
      </c>
      <c r="F523" s="42">
        <v>28.0</v>
      </c>
      <c r="G523" s="44" t="s">
        <v>506</v>
      </c>
      <c r="H523" s="36">
        <v>5.0</v>
      </c>
      <c r="I523" s="20"/>
    </row>
    <row r="524" ht="15.75" customHeight="1">
      <c r="A524" s="70"/>
      <c r="B524" s="75"/>
      <c r="C524" s="38"/>
      <c r="D524" s="39" t="s">
        <v>516</v>
      </c>
      <c r="E524" s="36">
        <v>4205407.0</v>
      </c>
      <c r="F524" s="42">
        <v>29.0</v>
      </c>
      <c r="G524" s="44" t="s">
        <v>507</v>
      </c>
      <c r="H524" s="36">
        <v>6.0</v>
      </c>
      <c r="I524" s="20"/>
    </row>
    <row r="525" ht="15.75" customHeight="1">
      <c r="A525" s="70"/>
      <c r="B525" s="75"/>
      <c r="C525" s="38"/>
      <c r="D525" s="39" t="s">
        <v>516</v>
      </c>
      <c r="E525" s="36">
        <v>4205407.0</v>
      </c>
      <c r="F525" s="42">
        <v>30.0</v>
      </c>
      <c r="G525" s="44" t="s">
        <v>508</v>
      </c>
      <c r="H525" s="36">
        <v>7.0</v>
      </c>
      <c r="I525" s="20"/>
    </row>
    <row r="526" ht="15.75" customHeight="1">
      <c r="A526" s="70"/>
      <c r="B526" s="75"/>
      <c r="C526" s="38"/>
      <c r="D526" s="39" t="s">
        <v>516</v>
      </c>
      <c r="E526" s="36">
        <v>4205407.0</v>
      </c>
      <c r="F526" s="42">
        <v>31.0</v>
      </c>
      <c r="G526" s="44" t="s">
        <v>509</v>
      </c>
      <c r="H526" s="36">
        <v>9.0</v>
      </c>
      <c r="I526" s="20"/>
    </row>
    <row r="527" ht="15.75" customHeight="1">
      <c r="A527" s="70"/>
      <c r="B527" s="75"/>
      <c r="C527" s="38"/>
      <c r="D527" s="39" t="s">
        <v>516</v>
      </c>
      <c r="E527" s="36">
        <v>4205407.0</v>
      </c>
      <c r="F527" s="42">
        <v>32.0</v>
      </c>
      <c r="G527" s="44" t="s">
        <v>523</v>
      </c>
      <c r="H527" s="36">
        <v>10.0</v>
      </c>
      <c r="I527" s="20"/>
    </row>
    <row r="528" ht="15.75" customHeight="1">
      <c r="A528" s="70"/>
      <c r="B528" s="75"/>
      <c r="C528" s="38"/>
      <c r="D528" s="39" t="s">
        <v>516</v>
      </c>
      <c r="E528" s="36">
        <v>4205407.0</v>
      </c>
      <c r="F528" s="42">
        <v>33.0</v>
      </c>
      <c r="G528" s="44" t="s">
        <v>524</v>
      </c>
      <c r="H528" s="36">
        <v>11.0</v>
      </c>
      <c r="I528" s="20"/>
    </row>
    <row r="529" ht="15.75" customHeight="1">
      <c r="A529" s="70"/>
      <c r="B529" s="75"/>
      <c r="C529" s="38"/>
      <c r="D529" s="39" t="s">
        <v>516</v>
      </c>
      <c r="E529" s="36">
        <v>4205407.0</v>
      </c>
      <c r="F529" s="42">
        <v>34.0</v>
      </c>
      <c r="G529" s="44" t="s">
        <v>514</v>
      </c>
      <c r="H529" s="36">
        <v>15.0</v>
      </c>
      <c r="I529" s="20"/>
    </row>
    <row r="530" ht="15.75" customHeight="1">
      <c r="A530" s="70"/>
      <c r="B530" s="75"/>
      <c r="C530" s="38"/>
      <c r="D530" s="39" t="s">
        <v>516</v>
      </c>
      <c r="E530" s="36">
        <v>4205407.0</v>
      </c>
      <c r="F530" s="42">
        <v>35.0</v>
      </c>
      <c r="G530" s="44" t="s">
        <v>525</v>
      </c>
      <c r="H530" s="36">
        <v>16.0</v>
      </c>
      <c r="I530" s="20"/>
    </row>
    <row r="531" ht="15.75" customHeight="1">
      <c r="A531" s="70"/>
      <c r="B531" s="75"/>
      <c r="C531" s="38"/>
      <c r="D531" s="39" t="s">
        <v>526</v>
      </c>
      <c r="E531" s="36">
        <v>0.0</v>
      </c>
      <c r="F531" s="42">
        <v>3.0</v>
      </c>
      <c r="G531" s="44" t="s">
        <v>352</v>
      </c>
      <c r="H531" s="36">
        <v>3.0</v>
      </c>
      <c r="I531" s="20"/>
    </row>
    <row r="532" ht="15.75" customHeight="1">
      <c r="A532" s="70"/>
      <c r="B532" s="75"/>
      <c r="C532" s="38"/>
      <c r="D532" s="39" t="s">
        <v>526</v>
      </c>
      <c r="E532" s="36">
        <v>0.0</v>
      </c>
      <c r="F532" s="42">
        <v>4.0</v>
      </c>
      <c r="G532" s="44" t="s">
        <v>51</v>
      </c>
      <c r="H532" s="36">
        <v>2.0</v>
      </c>
      <c r="I532" s="20"/>
    </row>
    <row r="533" ht="15.75" customHeight="1">
      <c r="A533" s="70"/>
      <c r="B533" s="75"/>
      <c r="C533" s="38"/>
      <c r="D533" s="39" t="s">
        <v>526</v>
      </c>
      <c r="E533" s="36">
        <v>0.0</v>
      </c>
      <c r="F533" s="42">
        <v>5.0</v>
      </c>
      <c r="G533" s="44" t="s">
        <v>54</v>
      </c>
      <c r="H533" s="36">
        <v>4.0</v>
      </c>
      <c r="I533" s="20"/>
    </row>
    <row r="534" ht="15.75" customHeight="1">
      <c r="A534" s="70"/>
      <c r="B534" s="75"/>
      <c r="C534" s="38"/>
      <c r="D534" s="39" t="s">
        <v>526</v>
      </c>
      <c r="E534" s="36">
        <v>0.0</v>
      </c>
      <c r="F534" s="42">
        <v>6.0</v>
      </c>
      <c r="G534" s="44" t="s">
        <v>213</v>
      </c>
      <c r="H534" s="36">
        <v>5.0</v>
      </c>
      <c r="I534" s="20"/>
    </row>
    <row r="535" ht="15.75" customHeight="1">
      <c r="A535" s="70"/>
      <c r="B535" s="75"/>
      <c r="C535" s="38"/>
      <c r="D535" s="39" t="s">
        <v>526</v>
      </c>
      <c r="E535" s="36">
        <v>0.0</v>
      </c>
      <c r="F535" s="42">
        <v>7.0</v>
      </c>
      <c r="G535" s="44" t="s">
        <v>258</v>
      </c>
      <c r="H535" s="36">
        <v>1.0</v>
      </c>
      <c r="I535" s="20"/>
    </row>
    <row r="536" ht="15.75" customHeight="1">
      <c r="A536" s="70"/>
      <c r="B536" s="75"/>
      <c r="C536" s="38"/>
      <c r="D536" s="39" t="s">
        <v>529</v>
      </c>
      <c r="E536" s="36">
        <v>0.0</v>
      </c>
      <c r="F536" s="42">
        <v>1.0</v>
      </c>
      <c r="G536" s="44" t="s">
        <v>43</v>
      </c>
      <c r="H536" s="36">
        <v>1.0</v>
      </c>
      <c r="I536" s="20"/>
    </row>
    <row r="537" ht="15.75" customHeight="1">
      <c r="A537" s="70"/>
      <c r="B537" s="75"/>
      <c r="C537" s="38"/>
      <c r="D537" s="39" t="s">
        <v>529</v>
      </c>
      <c r="E537" s="36">
        <v>0.0</v>
      </c>
      <c r="F537" s="42">
        <v>2.0</v>
      </c>
      <c r="G537" s="44" t="s">
        <v>47</v>
      </c>
      <c r="H537" s="36">
        <v>2.0</v>
      </c>
      <c r="I537" s="20"/>
    </row>
    <row r="538" ht="15.75" customHeight="1">
      <c r="A538" s="70"/>
      <c r="B538" s="75"/>
      <c r="C538" s="38"/>
      <c r="D538" s="39" t="s">
        <v>529</v>
      </c>
      <c r="E538" s="36">
        <v>0.0</v>
      </c>
      <c r="F538" s="42">
        <v>3.0</v>
      </c>
      <c r="G538" s="44" t="s">
        <v>50</v>
      </c>
      <c r="H538" s="36">
        <v>3.0</v>
      </c>
      <c r="I538" s="20"/>
    </row>
    <row r="539" ht="15.75" customHeight="1">
      <c r="A539" s="70"/>
      <c r="B539" s="75"/>
      <c r="C539" s="38"/>
      <c r="D539" s="39" t="s">
        <v>529</v>
      </c>
      <c r="E539" s="36">
        <v>0.0</v>
      </c>
      <c r="F539" s="42">
        <v>4.0</v>
      </c>
      <c r="G539" s="44" t="s">
        <v>51</v>
      </c>
      <c r="H539" s="36">
        <v>4.0</v>
      </c>
      <c r="I539" s="20"/>
    </row>
    <row r="540" ht="15.75" customHeight="1">
      <c r="A540" s="70"/>
      <c r="B540" s="75"/>
      <c r="C540" s="38"/>
      <c r="D540" s="39" t="s">
        <v>529</v>
      </c>
      <c r="E540" s="36">
        <v>0.0</v>
      </c>
      <c r="F540" s="42">
        <v>5.0</v>
      </c>
      <c r="G540" s="44" t="s">
        <v>54</v>
      </c>
      <c r="H540" s="36">
        <v>5.0</v>
      </c>
      <c r="I540" s="20"/>
    </row>
    <row r="541" ht="15.75" customHeight="1">
      <c r="A541" s="70"/>
      <c r="B541" s="75"/>
      <c r="C541" s="38"/>
      <c r="D541" s="39" t="s">
        <v>529</v>
      </c>
      <c r="E541" s="36">
        <v>0.0</v>
      </c>
      <c r="F541" s="42">
        <v>6.0</v>
      </c>
      <c r="G541" s="44" t="s">
        <v>213</v>
      </c>
      <c r="H541" s="36">
        <v>6.0</v>
      </c>
      <c r="I541" s="20"/>
    </row>
    <row r="542" ht="15.75" customHeight="1">
      <c r="A542" s="70"/>
      <c r="B542" s="75"/>
      <c r="C542" s="38"/>
      <c r="D542" s="39" t="s">
        <v>532</v>
      </c>
      <c r="E542" s="36">
        <v>0.0</v>
      </c>
      <c r="F542" s="42">
        <v>3.0</v>
      </c>
      <c r="G542" s="44" t="s">
        <v>50</v>
      </c>
      <c r="H542" s="36">
        <v>3.0</v>
      </c>
      <c r="I542" s="20"/>
    </row>
    <row r="543" ht="15.75" customHeight="1">
      <c r="A543" s="70"/>
      <c r="B543" s="75"/>
      <c r="C543" s="38"/>
      <c r="D543" s="39" t="s">
        <v>532</v>
      </c>
      <c r="E543" s="36">
        <v>0.0</v>
      </c>
      <c r="F543" s="42">
        <v>4.0</v>
      </c>
      <c r="G543" s="44" t="s">
        <v>52</v>
      </c>
      <c r="H543" s="36">
        <v>5.0</v>
      </c>
      <c r="I543" s="20"/>
    </row>
    <row r="544" ht="15.75" customHeight="1">
      <c r="A544" s="70"/>
      <c r="B544" s="75"/>
      <c r="C544" s="38"/>
      <c r="D544" s="39" t="s">
        <v>532</v>
      </c>
      <c r="E544" s="36">
        <v>0.0</v>
      </c>
      <c r="F544" s="42">
        <v>5.0</v>
      </c>
      <c r="G544" s="44" t="s">
        <v>54</v>
      </c>
      <c r="H544" s="36">
        <v>6.0</v>
      </c>
      <c r="I544" s="20"/>
    </row>
    <row r="545" ht="15.75" customHeight="1">
      <c r="A545" s="70"/>
      <c r="B545" s="75"/>
      <c r="C545" s="38"/>
      <c r="D545" s="39" t="s">
        <v>532</v>
      </c>
      <c r="E545" s="36">
        <v>0.0</v>
      </c>
      <c r="F545" s="42">
        <v>6.0</v>
      </c>
      <c r="G545" s="44" t="s">
        <v>213</v>
      </c>
      <c r="H545" s="36">
        <v>7.0</v>
      </c>
      <c r="I545" s="20"/>
    </row>
    <row r="546" ht="15.75" customHeight="1">
      <c r="A546" s="70"/>
      <c r="B546" s="75"/>
      <c r="C546" s="38"/>
      <c r="D546" s="39" t="s">
        <v>532</v>
      </c>
      <c r="E546" s="36">
        <v>0.0</v>
      </c>
      <c r="F546" s="42">
        <v>7.0</v>
      </c>
      <c r="G546" s="44" t="s">
        <v>59</v>
      </c>
      <c r="H546" s="36">
        <v>1.0</v>
      </c>
      <c r="I546" s="20"/>
    </row>
    <row r="547" ht="15.75" customHeight="1">
      <c r="A547" s="70"/>
      <c r="B547" s="75"/>
      <c r="C547" s="38"/>
      <c r="D547" s="39" t="s">
        <v>532</v>
      </c>
      <c r="E547" s="36">
        <v>0.0</v>
      </c>
      <c r="F547" s="42">
        <v>8.0</v>
      </c>
      <c r="G547" s="44" t="s">
        <v>225</v>
      </c>
      <c r="H547" s="36">
        <v>2.0</v>
      </c>
      <c r="I547" s="20"/>
    </row>
    <row r="548" ht="15.75" customHeight="1">
      <c r="A548" s="70"/>
      <c r="B548" s="75"/>
      <c r="C548" s="38"/>
      <c r="D548" s="39" t="s">
        <v>532</v>
      </c>
      <c r="E548" s="36">
        <v>0.0</v>
      </c>
      <c r="F548" s="42">
        <v>9.0</v>
      </c>
      <c r="G548" s="44" t="s">
        <v>63</v>
      </c>
      <c r="H548" s="36">
        <v>4.0</v>
      </c>
      <c r="I548" s="20"/>
    </row>
    <row r="549" ht="15.75" customHeight="1">
      <c r="A549" s="70"/>
      <c r="B549" s="75"/>
      <c r="C549" s="38"/>
      <c r="D549" s="39" t="s">
        <v>534</v>
      </c>
      <c r="E549" s="36">
        <v>0.0</v>
      </c>
      <c r="F549" s="42">
        <v>1.0</v>
      </c>
      <c r="G549" s="44" t="s">
        <v>535</v>
      </c>
      <c r="H549" s="36" t="s">
        <v>269</v>
      </c>
      <c r="I549" s="20"/>
    </row>
    <row r="550" ht="15.75" customHeight="1">
      <c r="A550" s="70"/>
      <c r="B550" s="75"/>
      <c r="C550" s="38"/>
      <c r="D550" s="39" t="s">
        <v>534</v>
      </c>
      <c r="E550" s="36">
        <v>0.0</v>
      </c>
      <c r="F550" s="42">
        <v>2.0</v>
      </c>
      <c r="G550" s="44" t="s">
        <v>538</v>
      </c>
      <c r="H550" s="36" t="s">
        <v>282</v>
      </c>
      <c r="I550" s="20"/>
    </row>
    <row r="551" ht="15.75" customHeight="1">
      <c r="A551" s="70"/>
      <c r="B551" s="75"/>
      <c r="C551" s="38"/>
      <c r="D551" s="39" t="s">
        <v>534</v>
      </c>
      <c r="E551" s="36">
        <v>0.0</v>
      </c>
      <c r="F551" s="42">
        <v>3.0</v>
      </c>
      <c r="G551" s="44" t="s">
        <v>539</v>
      </c>
      <c r="H551" s="36" t="s">
        <v>275</v>
      </c>
      <c r="I551" s="20"/>
    </row>
    <row r="552" ht="15.75" customHeight="1">
      <c r="A552" s="70"/>
      <c r="B552" s="75"/>
      <c r="C552" s="38"/>
      <c r="D552" s="39" t="s">
        <v>534</v>
      </c>
      <c r="E552" s="36">
        <v>0.0</v>
      </c>
      <c r="F552" s="42">
        <v>5.0</v>
      </c>
      <c r="G552" s="44" t="s">
        <v>541</v>
      </c>
      <c r="H552" s="36" t="s">
        <v>542</v>
      </c>
      <c r="I552" s="20"/>
    </row>
    <row r="553" ht="15.75" customHeight="1">
      <c r="A553" s="70"/>
      <c r="B553" s="75"/>
      <c r="C553" s="38"/>
      <c r="D553" s="39" t="s">
        <v>534</v>
      </c>
      <c r="E553" s="36">
        <v>0.0</v>
      </c>
      <c r="F553" s="42">
        <v>14.0</v>
      </c>
      <c r="G553" s="44" t="s">
        <v>70</v>
      </c>
      <c r="H553" s="36" t="s">
        <v>281</v>
      </c>
      <c r="I553" s="20"/>
    </row>
    <row r="554" ht="15.75" customHeight="1">
      <c r="A554" s="70"/>
      <c r="B554" s="75"/>
      <c r="C554" s="38"/>
      <c r="D554" s="39" t="s">
        <v>543</v>
      </c>
      <c r="E554" s="36">
        <v>0.0</v>
      </c>
      <c r="F554" s="42">
        <v>1.0</v>
      </c>
      <c r="G554" s="44" t="s">
        <v>544</v>
      </c>
      <c r="H554" s="36" t="s">
        <v>269</v>
      </c>
      <c r="I554" s="20"/>
    </row>
    <row r="555" ht="15.75" customHeight="1">
      <c r="A555" s="70"/>
      <c r="B555" s="75"/>
      <c r="C555" s="38"/>
      <c r="D555" s="39" t="s">
        <v>543</v>
      </c>
      <c r="E555" s="36">
        <v>0.0</v>
      </c>
      <c r="F555" s="42">
        <v>2.0</v>
      </c>
      <c r="G555" s="44" t="s">
        <v>545</v>
      </c>
      <c r="H555" s="36" t="s">
        <v>282</v>
      </c>
      <c r="I555" s="20"/>
    </row>
    <row r="556" ht="15.75" customHeight="1">
      <c r="A556" s="70"/>
      <c r="B556" s="75"/>
      <c r="C556" s="38"/>
      <c r="D556" s="39" t="s">
        <v>543</v>
      </c>
      <c r="E556" s="36">
        <v>0.0</v>
      </c>
      <c r="F556" s="42">
        <v>3.0</v>
      </c>
      <c r="G556" s="44" t="s">
        <v>546</v>
      </c>
      <c r="H556" s="36" t="s">
        <v>275</v>
      </c>
      <c r="I556" s="20"/>
    </row>
    <row r="557" ht="15.75" customHeight="1">
      <c r="A557" s="70"/>
      <c r="B557" s="75"/>
      <c r="C557" s="38"/>
      <c r="D557" s="39" t="s">
        <v>543</v>
      </c>
      <c r="E557" s="36">
        <v>0.0</v>
      </c>
      <c r="F557" s="42">
        <v>4.0</v>
      </c>
      <c r="G557" s="44" t="s">
        <v>51</v>
      </c>
      <c r="H557" s="36" t="s">
        <v>275</v>
      </c>
      <c r="I557" s="20"/>
    </row>
    <row r="558" ht="15.75" customHeight="1">
      <c r="A558" s="70"/>
      <c r="B558" s="75"/>
      <c r="C558" s="38"/>
      <c r="D558" s="39" t="s">
        <v>543</v>
      </c>
      <c r="E558" s="36">
        <v>0.0</v>
      </c>
      <c r="F558" s="42">
        <v>5.0</v>
      </c>
      <c r="G558" s="44" t="s">
        <v>320</v>
      </c>
      <c r="H558" s="36" t="s">
        <v>542</v>
      </c>
      <c r="I558" s="20"/>
    </row>
    <row r="559" ht="15.75" customHeight="1">
      <c r="A559" s="70"/>
      <c r="B559" s="75"/>
      <c r="C559" s="38"/>
      <c r="D559" s="39" t="s">
        <v>550</v>
      </c>
      <c r="E559" s="36">
        <v>0.0</v>
      </c>
      <c r="F559" s="42">
        <v>1.0</v>
      </c>
      <c r="G559" s="44" t="s">
        <v>43</v>
      </c>
      <c r="H559" s="36">
        <v>1.0</v>
      </c>
      <c r="I559" s="20"/>
    </row>
    <row r="560" ht="15.75" customHeight="1">
      <c r="A560" s="70"/>
      <c r="B560" s="75"/>
      <c r="C560" s="38"/>
      <c r="D560" s="39" t="s">
        <v>550</v>
      </c>
      <c r="E560" s="36">
        <v>0.0</v>
      </c>
      <c r="F560" s="42">
        <v>2.0</v>
      </c>
      <c r="G560" s="44" t="s">
        <v>47</v>
      </c>
      <c r="H560" s="36">
        <v>2.0</v>
      </c>
      <c r="I560" s="20"/>
    </row>
    <row r="561" ht="15.75" customHeight="1">
      <c r="A561" s="70"/>
      <c r="B561" s="75"/>
      <c r="C561" s="38"/>
      <c r="D561" s="39" t="s">
        <v>550</v>
      </c>
      <c r="E561" s="36">
        <v>0.0</v>
      </c>
      <c r="F561" s="42">
        <v>3.0</v>
      </c>
      <c r="G561" s="44" t="s">
        <v>50</v>
      </c>
      <c r="H561" s="36">
        <v>3.0</v>
      </c>
      <c r="I561" s="20"/>
    </row>
    <row r="562" ht="15.75" customHeight="1">
      <c r="A562" s="70"/>
      <c r="B562" s="75"/>
      <c r="C562" s="38"/>
      <c r="D562" s="39" t="s">
        <v>550</v>
      </c>
      <c r="E562" s="36">
        <v>0.0</v>
      </c>
      <c r="F562" s="42">
        <v>4.0</v>
      </c>
      <c r="G562" s="44" t="s">
        <v>51</v>
      </c>
      <c r="H562" s="36">
        <v>4.0</v>
      </c>
      <c r="I562" s="20"/>
    </row>
    <row r="563" ht="15.75" customHeight="1">
      <c r="A563" s="70"/>
      <c r="B563" s="75"/>
      <c r="C563" s="38"/>
      <c r="D563" s="39" t="s">
        <v>550</v>
      </c>
      <c r="E563" s="36">
        <v>0.0</v>
      </c>
      <c r="F563" s="42">
        <v>5.0</v>
      </c>
      <c r="G563" s="44" t="s">
        <v>54</v>
      </c>
      <c r="H563" s="36">
        <v>5.0</v>
      </c>
      <c r="I563" s="20"/>
    </row>
    <row r="564" ht="15.75" customHeight="1">
      <c r="A564" s="70"/>
      <c r="B564" s="75"/>
      <c r="C564" s="38"/>
      <c r="D564" s="39" t="s">
        <v>550</v>
      </c>
      <c r="E564" s="36">
        <v>0.0</v>
      </c>
      <c r="F564" s="42">
        <v>6.0</v>
      </c>
      <c r="G564" s="44" t="s">
        <v>57</v>
      </c>
      <c r="H564" s="36">
        <v>6.0</v>
      </c>
      <c r="I564" s="20"/>
    </row>
    <row r="565" ht="15.75" customHeight="1">
      <c r="A565" s="70"/>
      <c r="B565" s="75"/>
      <c r="C565" s="38"/>
      <c r="D565" s="39" t="s">
        <v>551</v>
      </c>
      <c r="E565" s="36">
        <v>0.0</v>
      </c>
      <c r="F565" s="42">
        <v>1.0</v>
      </c>
      <c r="G565" s="44" t="s">
        <v>43</v>
      </c>
      <c r="H565" s="36">
        <v>1.0</v>
      </c>
      <c r="I565" s="20"/>
    </row>
    <row r="566" ht="15.75" customHeight="1">
      <c r="A566" s="70"/>
      <c r="B566" s="75"/>
      <c r="C566" s="38"/>
      <c r="D566" s="39" t="s">
        <v>551</v>
      </c>
      <c r="E566" s="36">
        <v>0.0</v>
      </c>
      <c r="F566" s="42">
        <v>2.0</v>
      </c>
      <c r="G566" s="44" t="s">
        <v>47</v>
      </c>
      <c r="H566" s="36">
        <v>2.0</v>
      </c>
      <c r="I566" s="20"/>
    </row>
    <row r="567" ht="15.75" customHeight="1">
      <c r="A567" s="70"/>
      <c r="B567" s="75"/>
      <c r="C567" s="38"/>
      <c r="D567" s="39" t="s">
        <v>551</v>
      </c>
      <c r="E567" s="36">
        <v>0.0</v>
      </c>
      <c r="F567" s="42">
        <v>3.0</v>
      </c>
      <c r="G567" s="44" t="s">
        <v>50</v>
      </c>
      <c r="H567" s="36">
        <v>3.0</v>
      </c>
      <c r="I567" s="20"/>
    </row>
    <row r="568" ht="15.75" customHeight="1">
      <c r="A568" s="70"/>
      <c r="B568" s="75"/>
      <c r="C568" s="38"/>
      <c r="D568" s="39" t="s">
        <v>551</v>
      </c>
      <c r="E568" s="36">
        <v>0.0</v>
      </c>
      <c r="F568" s="42">
        <v>4.0</v>
      </c>
      <c r="G568" s="44" t="s">
        <v>51</v>
      </c>
      <c r="H568" s="36">
        <v>4.0</v>
      </c>
      <c r="I568" s="20"/>
    </row>
    <row r="569" ht="15.75" customHeight="1">
      <c r="A569" s="70"/>
      <c r="B569" s="75"/>
      <c r="C569" s="38"/>
      <c r="D569" s="39" t="s">
        <v>551</v>
      </c>
      <c r="E569" s="36">
        <v>0.0</v>
      </c>
      <c r="F569" s="42">
        <v>5.0</v>
      </c>
      <c r="G569" s="44" t="s">
        <v>54</v>
      </c>
      <c r="H569" s="36">
        <v>5.0</v>
      </c>
      <c r="I569" s="20"/>
    </row>
    <row r="570" ht="15.75" customHeight="1">
      <c r="A570" s="70"/>
      <c r="B570" s="75"/>
      <c r="C570" s="38"/>
      <c r="D570" s="39" t="s">
        <v>551</v>
      </c>
      <c r="E570" s="36">
        <v>0.0</v>
      </c>
      <c r="F570" s="42">
        <v>6.0</v>
      </c>
      <c r="G570" s="44" t="s">
        <v>57</v>
      </c>
      <c r="H570" s="36">
        <v>6.0</v>
      </c>
      <c r="I570" s="20"/>
    </row>
    <row r="571" ht="15.75" customHeight="1">
      <c r="A571" s="70"/>
      <c r="B571" s="75"/>
      <c r="C571" s="38"/>
      <c r="D571" s="39" t="s">
        <v>554</v>
      </c>
      <c r="E571" s="36">
        <v>0.0</v>
      </c>
      <c r="F571" s="42">
        <v>1.0</v>
      </c>
      <c r="G571" s="44" t="s">
        <v>43</v>
      </c>
      <c r="H571" s="36">
        <v>1.0</v>
      </c>
      <c r="I571" s="20"/>
    </row>
    <row r="572" ht="15.75" customHeight="1">
      <c r="A572" s="70"/>
      <c r="B572" s="75"/>
      <c r="C572" s="38"/>
      <c r="D572" s="39" t="s">
        <v>554</v>
      </c>
      <c r="E572" s="36">
        <v>0.0</v>
      </c>
      <c r="F572" s="42">
        <v>2.0</v>
      </c>
      <c r="G572" s="44" t="s">
        <v>47</v>
      </c>
      <c r="H572" s="36">
        <v>2.0</v>
      </c>
      <c r="I572" s="20"/>
    </row>
    <row r="573" ht="15.75" customHeight="1">
      <c r="A573" s="70"/>
      <c r="B573" s="75"/>
      <c r="C573" s="38"/>
      <c r="D573" s="39" t="s">
        <v>554</v>
      </c>
      <c r="E573" s="36">
        <v>0.0</v>
      </c>
      <c r="F573" s="42">
        <v>3.0</v>
      </c>
      <c r="G573" s="44" t="s">
        <v>50</v>
      </c>
      <c r="H573" s="36">
        <v>3.0</v>
      </c>
      <c r="I573" s="20"/>
    </row>
    <row r="574" ht="15.75" customHeight="1">
      <c r="A574" s="70"/>
      <c r="B574" s="75"/>
      <c r="C574" s="38"/>
      <c r="D574" s="39" t="s">
        <v>554</v>
      </c>
      <c r="E574" s="36">
        <v>0.0</v>
      </c>
      <c r="F574" s="42">
        <v>4.0</v>
      </c>
      <c r="G574" s="44" t="s">
        <v>51</v>
      </c>
      <c r="H574" s="36">
        <v>4.0</v>
      </c>
      <c r="I574" s="20"/>
    </row>
    <row r="575" ht="15.75" customHeight="1">
      <c r="A575" s="70"/>
      <c r="B575" s="75"/>
      <c r="C575" s="38"/>
      <c r="D575" s="39" t="s">
        <v>554</v>
      </c>
      <c r="E575" s="36">
        <v>0.0</v>
      </c>
      <c r="F575" s="42">
        <v>5.0</v>
      </c>
      <c r="G575" s="44" t="s">
        <v>54</v>
      </c>
      <c r="H575" s="36">
        <v>5.0</v>
      </c>
      <c r="I575" s="20"/>
    </row>
    <row r="576" ht="15.75" customHeight="1">
      <c r="A576" s="70"/>
      <c r="B576" s="75"/>
      <c r="C576" s="38"/>
      <c r="D576" s="39" t="s">
        <v>554</v>
      </c>
      <c r="E576" s="36">
        <v>0.0</v>
      </c>
      <c r="F576" s="42">
        <v>6.0</v>
      </c>
      <c r="G576" s="44" t="s">
        <v>57</v>
      </c>
      <c r="H576" s="36">
        <v>6.0</v>
      </c>
      <c r="I576" s="20"/>
    </row>
    <row r="577" ht="15.75" customHeight="1">
      <c r="A577" s="70"/>
      <c r="B577" s="75"/>
      <c r="C577" s="38"/>
      <c r="D577" s="39" t="s">
        <v>556</v>
      </c>
      <c r="E577" s="36">
        <v>0.0</v>
      </c>
      <c r="F577" s="42">
        <v>3.0</v>
      </c>
      <c r="G577" s="44" t="s">
        <v>50</v>
      </c>
      <c r="H577" s="36">
        <v>3.0</v>
      </c>
      <c r="I577" s="20"/>
    </row>
    <row r="578" ht="15.75" customHeight="1">
      <c r="A578" s="70"/>
      <c r="B578" s="75"/>
      <c r="C578" s="38"/>
      <c r="D578" s="39" t="s">
        <v>556</v>
      </c>
      <c r="E578" s="36">
        <v>0.0</v>
      </c>
      <c r="F578" s="42">
        <v>4.0</v>
      </c>
      <c r="G578" s="44" t="s">
        <v>52</v>
      </c>
      <c r="H578" s="36">
        <v>5.0</v>
      </c>
      <c r="I578" s="20"/>
    </row>
    <row r="579" ht="15.75" customHeight="1">
      <c r="A579" s="70"/>
      <c r="B579" s="75"/>
      <c r="C579" s="38"/>
      <c r="D579" s="39" t="s">
        <v>556</v>
      </c>
      <c r="E579" s="36">
        <v>0.0</v>
      </c>
      <c r="F579" s="42">
        <v>5.0</v>
      </c>
      <c r="G579" s="44" t="s">
        <v>54</v>
      </c>
      <c r="H579" s="36">
        <v>6.0</v>
      </c>
      <c r="I579" s="20"/>
    </row>
    <row r="580" ht="15.75" customHeight="1">
      <c r="A580" s="70"/>
      <c r="B580" s="75"/>
      <c r="C580" s="38"/>
      <c r="D580" s="39" t="s">
        <v>556</v>
      </c>
      <c r="E580" s="36">
        <v>0.0</v>
      </c>
      <c r="F580" s="42">
        <v>6.0</v>
      </c>
      <c r="G580" s="44" t="s">
        <v>57</v>
      </c>
      <c r="H580" s="36">
        <v>7.0</v>
      </c>
      <c r="I580" s="20"/>
    </row>
    <row r="581" ht="15.75" customHeight="1">
      <c r="A581" s="70"/>
      <c r="B581" s="75"/>
      <c r="C581" s="38"/>
      <c r="D581" s="39" t="s">
        <v>556</v>
      </c>
      <c r="E581" s="36">
        <v>0.0</v>
      </c>
      <c r="F581" s="42">
        <v>7.0</v>
      </c>
      <c r="G581" s="44" t="s">
        <v>59</v>
      </c>
      <c r="H581" s="36">
        <v>1.0</v>
      </c>
      <c r="I581" s="20"/>
    </row>
    <row r="582" ht="15.75" customHeight="1">
      <c r="A582" s="70"/>
      <c r="B582" s="75"/>
      <c r="C582" s="38"/>
      <c r="D582" s="39" t="s">
        <v>556</v>
      </c>
      <c r="E582" s="36">
        <v>0.0</v>
      </c>
      <c r="F582" s="42">
        <v>8.0</v>
      </c>
      <c r="G582" s="44" t="s">
        <v>62</v>
      </c>
      <c r="H582" s="36">
        <v>2.0</v>
      </c>
      <c r="I582" s="20"/>
    </row>
    <row r="583" ht="15.75" customHeight="1">
      <c r="A583" s="70"/>
      <c r="B583" s="75"/>
      <c r="C583" s="38"/>
      <c r="D583" s="39" t="s">
        <v>556</v>
      </c>
      <c r="E583" s="36">
        <v>0.0</v>
      </c>
      <c r="F583" s="42">
        <v>9.0</v>
      </c>
      <c r="G583" s="44" t="s">
        <v>63</v>
      </c>
      <c r="H583" s="36">
        <v>4.0</v>
      </c>
      <c r="I583" s="20"/>
    </row>
    <row r="584" ht="15.75" customHeight="1">
      <c r="A584" s="70"/>
      <c r="B584" s="75"/>
      <c r="C584" s="38"/>
      <c r="D584" s="39" t="s">
        <v>560</v>
      </c>
      <c r="E584" s="36">
        <v>0.0</v>
      </c>
      <c r="F584" s="42">
        <v>3.0</v>
      </c>
      <c r="G584" s="44" t="s">
        <v>50</v>
      </c>
      <c r="H584" s="36">
        <v>3.0</v>
      </c>
      <c r="I584" s="20"/>
    </row>
    <row r="585" ht="15.75" customHeight="1">
      <c r="A585" s="70"/>
      <c r="B585" s="75"/>
      <c r="C585" s="38"/>
      <c r="D585" s="39" t="s">
        <v>560</v>
      </c>
      <c r="E585" s="36">
        <v>0.0</v>
      </c>
      <c r="F585" s="42">
        <v>4.0</v>
      </c>
      <c r="G585" s="44" t="s">
        <v>52</v>
      </c>
      <c r="H585" s="36">
        <v>5.0</v>
      </c>
      <c r="I585" s="20"/>
    </row>
    <row r="586" ht="15.75" customHeight="1">
      <c r="A586" s="70"/>
      <c r="B586" s="75"/>
      <c r="C586" s="38"/>
      <c r="D586" s="39" t="s">
        <v>560</v>
      </c>
      <c r="E586" s="36">
        <v>0.0</v>
      </c>
      <c r="F586" s="42">
        <v>5.0</v>
      </c>
      <c r="G586" s="44" t="s">
        <v>54</v>
      </c>
      <c r="H586" s="36">
        <v>6.0</v>
      </c>
      <c r="I586" s="20"/>
    </row>
    <row r="587" ht="15.75" customHeight="1">
      <c r="A587" s="70"/>
      <c r="B587" s="75"/>
      <c r="C587" s="38"/>
      <c r="D587" s="39" t="s">
        <v>560</v>
      </c>
      <c r="E587" s="36">
        <v>0.0</v>
      </c>
      <c r="F587" s="42">
        <v>6.0</v>
      </c>
      <c r="G587" s="44" t="s">
        <v>57</v>
      </c>
      <c r="H587" s="36">
        <v>7.0</v>
      </c>
      <c r="I587" s="20"/>
    </row>
    <row r="588" ht="15.75" customHeight="1">
      <c r="A588" s="70"/>
      <c r="B588" s="75"/>
      <c r="C588" s="38"/>
      <c r="D588" s="39" t="s">
        <v>560</v>
      </c>
      <c r="E588" s="36">
        <v>0.0</v>
      </c>
      <c r="F588" s="42">
        <v>7.0</v>
      </c>
      <c r="G588" s="44" t="s">
        <v>59</v>
      </c>
      <c r="H588" s="36">
        <v>1.0</v>
      </c>
      <c r="I588" s="20"/>
    </row>
    <row r="589" ht="15.75" customHeight="1">
      <c r="A589" s="70"/>
      <c r="B589" s="75"/>
      <c r="C589" s="38"/>
      <c r="D589" s="39" t="s">
        <v>560</v>
      </c>
      <c r="E589" s="36">
        <v>0.0</v>
      </c>
      <c r="F589" s="42">
        <v>8.0</v>
      </c>
      <c r="G589" s="44" t="s">
        <v>62</v>
      </c>
      <c r="H589" s="36">
        <v>2.0</v>
      </c>
      <c r="I589" s="20"/>
    </row>
    <row r="590" ht="15.75" customHeight="1">
      <c r="A590" s="70"/>
      <c r="B590" s="75"/>
      <c r="C590" s="38"/>
      <c r="D590" s="39" t="s">
        <v>560</v>
      </c>
      <c r="E590" s="36">
        <v>0.0</v>
      </c>
      <c r="F590" s="42">
        <v>9.0</v>
      </c>
      <c r="G590" s="44" t="s">
        <v>63</v>
      </c>
      <c r="H590" s="36">
        <v>4.0</v>
      </c>
      <c r="I590" s="20"/>
    </row>
    <row r="591" ht="15.75" customHeight="1">
      <c r="A591" s="70"/>
      <c r="B591" s="75"/>
      <c r="C591" s="38"/>
      <c r="D591" s="39" t="s">
        <v>562</v>
      </c>
      <c r="E591" s="36">
        <v>0.0</v>
      </c>
      <c r="F591" s="42">
        <v>1.0</v>
      </c>
      <c r="G591" s="44" t="s">
        <v>43</v>
      </c>
      <c r="H591" s="36">
        <v>1.0</v>
      </c>
      <c r="I591" s="20"/>
    </row>
    <row r="592" ht="15.75" customHeight="1">
      <c r="A592" s="70"/>
      <c r="B592" s="75"/>
      <c r="C592" s="38"/>
      <c r="D592" s="39" t="s">
        <v>562</v>
      </c>
      <c r="E592" s="36">
        <v>0.0</v>
      </c>
      <c r="F592" s="42">
        <v>2.0</v>
      </c>
      <c r="G592" s="44" t="s">
        <v>47</v>
      </c>
      <c r="H592" s="36">
        <v>2.0</v>
      </c>
      <c r="I592" s="20"/>
    </row>
    <row r="593" ht="15.75" customHeight="1">
      <c r="A593" s="70"/>
      <c r="B593" s="75"/>
      <c r="C593" s="38"/>
      <c r="D593" s="39" t="s">
        <v>562</v>
      </c>
      <c r="E593" s="36">
        <v>0.0</v>
      </c>
      <c r="F593" s="42">
        <v>3.0</v>
      </c>
      <c r="G593" s="44" t="s">
        <v>50</v>
      </c>
      <c r="H593" s="36">
        <v>3.0</v>
      </c>
      <c r="I593" s="20"/>
    </row>
    <row r="594" ht="15.75" customHeight="1">
      <c r="A594" s="70"/>
      <c r="B594" s="75"/>
      <c r="C594" s="38"/>
      <c r="D594" s="39" t="s">
        <v>562</v>
      </c>
      <c r="E594" s="36">
        <v>0.0</v>
      </c>
      <c r="F594" s="42">
        <v>4.0</v>
      </c>
      <c r="G594" s="44" t="s">
        <v>51</v>
      </c>
      <c r="H594" s="36">
        <v>4.0</v>
      </c>
      <c r="I594" s="20"/>
    </row>
    <row r="595" ht="15.75" customHeight="1">
      <c r="A595" s="70"/>
      <c r="B595" s="75"/>
      <c r="C595" s="38"/>
      <c r="D595" s="39" t="s">
        <v>562</v>
      </c>
      <c r="E595" s="36">
        <v>0.0</v>
      </c>
      <c r="F595" s="42">
        <v>5.0</v>
      </c>
      <c r="G595" s="44" t="s">
        <v>54</v>
      </c>
      <c r="H595" s="36">
        <v>5.0</v>
      </c>
      <c r="I595" s="20"/>
    </row>
    <row r="596" ht="15.75" customHeight="1">
      <c r="A596" s="70"/>
      <c r="B596" s="75"/>
      <c r="C596" s="38"/>
      <c r="D596" s="39" t="s">
        <v>562</v>
      </c>
      <c r="E596" s="36">
        <v>0.0</v>
      </c>
      <c r="F596" s="42">
        <v>6.0</v>
      </c>
      <c r="G596" s="44" t="s">
        <v>57</v>
      </c>
      <c r="H596" s="36">
        <v>6.0</v>
      </c>
      <c r="I596" s="20"/>
    </row>
    <row r="597" ht="15.75" customHeight="1">
      <c r="A597" s="70"/>
      <c r="B597" s="75"/>
      <c r="C597" s="38"/>
      <c r="D597" s="39" t="s">
        <v>564</v>
      </c>
      <c r="E597" s="36">
        <v>0.0</v>
      </c>
      <c r="F597" s="42">
        <v>1.0</v>
      </c>
      <c r="G597" s="44" t="s">
        <v>565</v>
      </c>
      <c r="H597" s="36">
        <v>101.0</v>
      </c>
      <c r="I597" s="20"/>
    </row>
    <row r="598" ht="15.75" customHeight="1">
      <c r="A598" s="70"/>
      <c r="B598" s="75"/>
      <c r="C598" s="38"/>
      <c r="D598" s="39" t="s">
        <v>564</v>
      </c>
      <c r="E598" s="36">
        <v>0.0</v>
      </c>
      <c r="F598" s="42">
        <v>2.0</v>
      </c>
      <c r="G598" s="44" t="s">
        <v>566</v>
      </c>
      <c r="H598" s="36">
        <v>111.0</v>
      </c>
      <c r="I598" s="20"/>
    </row>
    <row r="599" ht="15.75" customHeight="1">
      <c r="A599" s="70"/>
      <c r="B599" s="75"/>
      <c r="C599" s="38"/>
      <c r="D599" s="39" t="s">
        <v>564</v>
      </c>
      <c r="E599" s="36">
        <v>0.0</v>
      </c>
      <c r="F599" s="42">
        <v>3.0</v>
      </c>
      <c r="G599" s="44" t="s">
        <v>567</v>
      </c>
      <c r="H599" s="36">
        <v>301.0</v>
      </c>
      <c r="I599" s="20"/>
    </row>
    <row r="600" ht="15.75" customHeight="1">
      <c r="A600" s="70"/>
      <c r="B600" s="75"/>
      <c r="C600" s="38"/>
      <c r="D600" s="39" t="s">
        <v>564</v>
      </c>
      <c r="E600" s="36">
        <v>0.0</v>
      </c>
      <c r="F600" s="42">
        <v>10.0</v>
      </c>
      <c r="G600" s="44" t="s">
        <v>568</v>
      </c>
      <c r="H600" s="36">
        <v>121.0</v>
      </c>
      <c r="I600" s="20"/>
    </row>
    <row r="601" ht="15.75" customHeight="1">
      <c r="A601" s="70"/>
      <c r="B601" s="75"/>
      <c r="C601" s="38"/>
      <c r="D601" s="39" t="s">
        <v>564</v>
      </c>
      <c r="E601" s="36">
        <v>0.0</v>
      </c>
      <c r="F601" s="42">
        <v>15.0</v>
      </c>
      <c r="G601" s="44" t="s">
        <v>71</v>
      </c>
      <c r="H601" s="36">
        <v>201.0</v>
      </c>
      <c r="I601" s="20"/>
    </row>
    <row r="602" ht="15.75" customHeight="1">
      <c r="A602" s="70"/>
      <c r="B602" s="75"/>
      <c r="C602" s="38"/>
      <c r="D602" s="39" t="s">
        <v>564</v>
      </c>
      <c r="E602" s="36">
        <v>0.0</v>
      </c>
      <c r="F602" s="42">
        <v>17.0</v>
      </c>
      <c r="G602" s="44" t="s">
        <v>569</v>
      </c>
      <c r="H602" s="36">
        <v>541.0</v>
      </c>
      <c r="I602" s="20"/>
    </row>
    <row r="603" ht="15.75" customHeight="1">
      <c r="A603" s="70"/>
      <c r="B603" s="75"/>
      <c r="C603" s="38"/>
      <c r="D603" s="39" t="s">
        <v>564</v>
      </c>
      <c r="E603" s="36">
        <v>0.0</v>
      </c>
      <c r="F603" s="42">
        <v>502.0</v>
      </c>
      <c r="G603" s="44" t="s">
        <v>201</v>
      </c>
      <c r="H603" s="36">
        <v>511.0</v>
      </c>
      <c r="I603" s="20"/>
    </row>
    <row r="604" ht="15.75" customHeight="1">
      <c r="A604" s="70"/>
      <c r="B604" s="75"/>
      <c r="C604" s="38"/>
      <c r="D604" s="39" t="s">
        <v>564</v>
      </c>
      <c r="E604" s="36">
        <v>0.0</v>
      </c>
      <c r="F604" s="42">
        <v>601.0</v>
      </c>
      <c r="G604" s="44" t="s">
        <v>204</v>
      </c>
      <c r="H604" s="36">
        <v>601.0</v>
      </c>
      <c r="I604" s="20"/>
    </row>
    <row r="605" ht="15.75" customHeight="1">
      <c r="A605" s="70"/>
      <c r="B605" s="75"/>
      <c r="C605" s="38"/>
      <c r="D605" s="39" t="s">
        <v>564</v>
      </c>
      <c r="E605" s="36">
        <v>0.0</v>
      </c>
      <c r="F605" s="42">
        <v>701.0</v>
      </c>
      <c r="G605" s="44" t="s">
        <v>570</v>
      </c>
      <c r="H605" s="36">
        <v>701.0</v>
      </c>
      <c r="I605" s="20"/>
    </row>
    <row r="606" ht="15.75" customHeight="1">
      <c r="A606" s="70"/>
      <c r="B606" s="75"/>
      <c r="C606" s="38"/>
      <c r="D606" s="39" t="s">
        <v>564</v>
      </c>
      <c r="E606" s="36">
        <v>3168705.0</v>
      </c>
      <c r="F606" s="42">
        <v>1.0</v>
      </c>
      <c r="G606" s="44" t="s">
        <v>571</v>
      </c>
      <c r="H606" s="36">
        <v>1.0</v>
      </c>
      <c r="I606" s="20"/>
    </row>
    <row r="607" ht="15.75" customHeight="1">
      <c r="A607" s="70"/>
      <c r="B607" s="75"/>
      <c r="C607" s="38"/>
      <c r="D607" s="39" t="s">
        <v>564</v>
      </c>
      <c r="E607" s="36">
        <v>3168705.0</v>
      </c>
      <c r="F607" s="42">
        <v>2.0</v>
      </c>
      <c r="G607" s="44" t="s">
        <v>572</v>
      </c>
      <c r="H607" s="36">
        <v>2.0</v>
      </c>
      <c r="I607" s="20"/>
    </row>
    <row r="608" ht="15.75" customHeight="1">
      <c r="A608" s="70"/>
      <c r="B608" s="75"/>
      <c r="C608" s="38"/>
      <c r="D608" s="39" t="s">
        <v>564</v>
      </c>
      <c r="E608" s="36">
        <v>3168705.0</v>
      </c>
      <c r="F608" s="42">
        <v>3.0</v>
      </c>
      <c r="G608" s="44" t="s">
        <v>567</v>
      </c>
      <c r="H608" s="36">
        <v>3.0</v>
      </c>
      <c r="I608" s="20"/>
    </row>
    <row r="609" ht="15.75" customHeight="1">
      <c r="A609" s="70"/>
      <c r="B609" s="75"/>
      <c r="C609" s="38"/>
      <c r="D609" s="39" t="s">
        <v>564</v>
      </c>
      <c r="E609" s="36">
        <v>3168705.0</v>
      </c>
      <c r="F609" s="42">
        <v>10.0</v>
      </c>
      <c r="G609" s="44" t="s">
        <v>576</v>
      </c>
      <c r="H609" s="36">
        <v>13.0</v>
      </c>
      <c r="I609" s="20"/>
    </row>
    <row r="610" ht="15.75" customHeight="1">
      <c r="A610" s="70"/>
      <c r="B610" s="75"/>
      <c r="C610" s="38"/>
      <c r="D610" s="39" t="s">
        <v>564</v>
      </c>
      <c r="E610" s="36">
        <v>3168705.0</v>
      </c>
      <c r="F610" s="42">
        <v>12.0</v>
      </c>
      <c r="G610" s="44" t="s">
        <v>66</v>
      </c>
      <c r="H610" s="36">
        <v>8.0</v>
      </c>
      <c r="I610" s="20"/>
    </row>
    <row r="611" ht="15.75" customHeight="1">
      <c r="A611" s="70"/>
      <c r="B611" s="75"/>
      <c r="C611" s="38"/>
      <c r="D611" s="39" t="s">
        <v>564</v>
      </c>
      <c r="E611" s="36">
        <v>3168705.0</v>
      </c>
      <c r="F611" s="42">
        <v>15.0</v>
      </c>
      <c r="G611" s="44" t="s">
        <v>578</v>
      </c>
      <c r="H611" s="36">
        <v>7.0</v>
      </c>
      <c r="I611" s="20"/>
    </row>
    <row r="612" ht="15.75" customHeight="1">
      <c r="A612" s="70"/>
      <c r="B612" s="75"/>
      <c r="C612" s="38"/>
      <c r="D612" s="39" t="s">
        <v>564</v>
      </c>
      <c r="E612" s="36">
        <v>3168705.0</v>
      </c>
      <c r="F612" s="42">
        <v>601.0</v>
      </c>
      <c r="G612" s="44" t="s">
        <v>579</v>
      </c>
      <c r="H612" s="36">
        <v>12.0</v>
      </c>
      <c r="I612" s="20"/>
    </row>
    <row r="613" ht="15.75" customHeight="1">
      <c r="A613" s="70"/>
      <c r="B613" s="75"/>
      <c r="C613" s="38"/>
      <c r="D613" s="39" t="s">
        <v>564</v>
      </c>
      <c r="E613" s="36">
        <v>3168705.0</v>
      </c>
      <c r="F613" s="42">
        <v>701.0</v>
      </c>
      <c r="G613" s="44" t="s">
        <v>206</v>
      </c>
      <c r="H613" s="36">
        <v>10.0</v>
      </c>
      <c r="I613" s="20"/>
    </row>
    <row r="614" ht="15.75" customHeight="1">
      <c r="A614" s="70"/>
      <c r="B614" s="75"/>
      <c r="C614" s="38"/>
      <c r="D614" s="39" t="s">
        <v>564</v>
      </c>
      <c r="E614" s="36">
        <v>4210100.0</v>
      </c>
      <c r="F614" s="42">
        <v>1.0</v>
      </c>
      <c r="G614" s="44" t="s">
        <v>580</v>
      </c>
      <c r="H614" s="36">
        <v>101.0</v>
      </c>
      <c r="I614" s="20"/>
    </row>
    <row r="615" ht="15.75" customHeight="1">
      <c r="A615" s="70"/>
      <c r="B615" s="75"/>
      <c r="C615" s="38"/>
      <c r="D615" s="39" t="s">
        <v>564</v>
      </c>
      <c r="E615" s="36">
        <v>4210100.0</v>
      </c>
      <c r="F615" s="42">
        <v>2.0</v>
      </c>
      <c r="G615" s="44" t="s">
        <v>581</v>
      </c>
      <c r="H615" s="36">
        <v>102.0</v>
      </c>
      <c r="I615" s="20"/>
    </row>
    <row r="616" ht="15.75" customHeight="1">
      <c r="A616" s="70"/>
      <c r="B616" s="75"/>
      <c r="C616" s="38"/>
      <c r="D616" s="39" t="s">
        <v>564</v>
      </c>
      <c r="E616" s="36">
        <v>4210100.0</v>
      </c>
      <c r="F616" s="42">
        <v>3.0</v>
      </c>
      <c r="G616" s="44" t="s">
        <v>582</v>
      </c>
      <c r="H616" s="36">
        <v>103.0</v>
      </c>
      <c r="I616" s="20"/>
    </row>
    <row r="617" ht="15.75" customHeight="1">
      <c r="A617" s="70"/>
      <c r="B617" s="75"/>
      <c r="C617" s="38"/>
      <c r="D617" s="39" t="s">
        <v>564</v>
      </c>
      <c r="E617" s="36">
        <v>4210100.0</v>
      </c>
      <c r="F617" s="42">
        <v>4.0</v>
      </c>
      <c r="G617" s="44" t="s">
        <v>583</v>
      </c>
      <c r="H617" s="36">
        <v>104.0</v>
      </c>
      <c r="I617" s="20"/>
    </row>
    <row r="618" ht="15.75" customHeight="1">
      <c r="A618" s="70"/>
      <c r="B618" s="75"/>
      <c r="C618" s="38"/>
      <c r="D618" s="39" t="s">
        <v>564</v>
      </c>
      <c r="E618" s="36">
        <v>4210100.0</v>
      </c>
      <c r="F618" s="42">
        <v>10.0</v>
      </c>
      <c r="G618" s="44" t="s">
        <v>584</v>
      </c>
      <c r="H618" s="36">
        <v>106.0</v>
      </c>
      <c r="I618" s="20"/>
    </row>
    <row r="619" ht="15.75" customHeight="1">
      <c r="A619" s="70"/>
      <c r="B619" s="75"/>
      <c r="C619" s="38"/>
      <c r="D619" s="39" t="s">
        <v>564</v>
      </c>
      <c r="E619" s="36">
        <v>4210100.0</v>
      </c>
      <c r="F619" s="42">
        <v>12.0</v>
      </c>
      <c r="G619" s="44" t="s">
        <v>585</v>
      </c>
      <c r="H619" s="36">
        <v>107.0</v>
      </c>
      <c r="I619" s="20"/>
    </row>
    <row r="620" ht="15.75" customHeight="1">
      <c r="A620" s="70"/>
      <c r="B620" s="75"/>
      <c r="C620" s="38"/>
      <c r="D620" s="39" t="s">
        <v>564</v>
      </c>
      <c r="E620" s="36">
        <v>4210100.0</v>
      </c>
      <c r="F620" s="42">
        <v>15.0</v>
      </c>
      <c r="G620" s="44" t="s">
        <v>587</v>
      </c>
      <c r="H620" s="36">
        <v>105.0</v>
      </c>
      <c r="I620" s="20"/>
    </row>
    <row r="621" ht="15.75" customHeight="1">
      <c r="A621" s="70"/>
      <c r="B621" s="75"/>
      <c r="C621" s="38"/>
      <c r="D621" s="39" t="s">
        <v>564</v>
      </c>
      <c r="E621" s="36">
        <v>4210100.0</v>
      </c>
      <c r="F621" s="42">
        <v>17.0</v>
      </c>
      <c r="G621" s="44" t="s">
        <v>254</v>
      </c>
      <c r="H621" s="36">
        <v>109.0</v>
      </c>
      <c r="I621" s="20"/>
    </row>
    <row r="622" ht="15.75" customHeight="1">
      <c r="A622" s="70"/>
      <c r="B622" s="75"/>
      <c r="C622" s="38"/>
      <c r="D622" s="39" t="s">
        <v>564</v>
      </c>
      <c r="E622" s="36">
        <v>4210100.0</v>
      </c>
      <c r="F622" s="42">
        <v>502.0</v>
      </c>
      <c r="G622" s="44" t="s">
        <v>588</v>
      </c>
      <c r="H622" s="36">
        <v>108.0</v>
      </c>
      <c r="I622" s="20"/>
    </row>
    <row r="623" ht="15.75" customHeight="1">
      <c r="A623" s="70"/>
      <c r="B623" s="75"/>
      <c r="C623" s="38"/>
      <c r="D623" s="39" t="s">
        <v>564</v>
      </c>
      <c r="E623" s="36">
        <v>4210100.0</v>
      </c>
      <c r="F623" s="42">
        <v>601.0</v>
      </c>
      <c r="G623" s="44" t="s">
        <v>589</v>
      </c>
      <c r="H623" s="36">
        <v>110.0</v>
      </c>
      <c r="I623" s="20"/>
    </row>
    <row r="624" ht="15.75" customHeight="1">
      <c r="A624" s="70"/>
      <c r="B624" s="75"/>
      <c r="C624" s="38"/>
      <c r="D624" s="39" t="s">
        <v>590</v>
      </c>
      <c r="E624" s="36">
        <v>0.0</v>
      </c>
      <c r="F624" s="42">
        <v>3.0</v>
      </c>
      <c r="G624" s="44" t="s">
        <v>50</v>
      </c>
      <c r="H624" s="36">
        <v>3.0</v>
      </c>
      <c r="I624" s="20"/>
    </row>
    <row r="625" ht="15.75" customHeight="1">
      <c r="A625" s="70"/>
      <c r="B625" s="75"/>
      <c r="C625" s="38"/>
      <c r="D625" s="39" t="s">
        <v>590</v>
      </c>
      <c r="E625" s="36">
        <v>0.0</v>
      </c>
      <c r="F625" s="42">
        <v>4.0</v>
      </c>
      <c r="G625" s="44" t="s">
        <v>52</v>
      </c>
      <c r="H625" s="36">
        <v>5.0</v>
      </c>
      <c r="I625" s="20"/>
    </row>
    <row r="626" ht="15.75" customHeight="1">
      <c r="A626" s="70"/>
      <c r="B626" s="75"/>
      <c r="C626" s="38"/>
      <c r="D626" s="39" t="s">
        <v>590</v>
      </c>
      <c r="E626" s="36">
        <v>0.0</v>
      </c>
      <c r="F626" s="42">
        <v>5.0</v>
      </c>
      <c r="G626" s="44" t="s">
        <v>54</v>
      </c>
      <c r="H626" s="36">
        <v>6.0</v>
      </c>
      <c r="I626" s="20"/>
    </row>
    <row r="627" ht="15.75" customHeight="1">
      <c r="A627" s="70"/>
      <c r="B627" s="75"/>
      <c r="C627" s="38"/>
      <c r="D627" s="39" t="s">
        <v>590</v>
      </c>
      <c r="E627" s="36">
        <v>0.0</v>
      </c>
      <c r="F627" s="42">
        <v>6.0</v>
      </c>
      <c r="G627" s="44" t="s">
        <v>57</v>
      </c>
      <c r="H627" s="36">
        <v>7.0</v>
      </c>
      <c r="I627" s="20"/>
    </row>
    <row r="628" ht="15.75" customHeight="1">
      <c r="A628" s="70"/>
      <c r="B628" s="75"/>
      <c r="C628" s="38"/>
      <c r="D628" s="39" t="s">
        <v>590</v>
      </c>
      <c r="E628" s="36">
        <v>0.0</v>
      </c>
      <c r="F628" s="42">
        <v>7.0</v>
      </c>
      <c r="G628" s="44" t="s">
        <v>59</v>
      </c>
      <c r="H628" s="36">
        <v>1.0</v>
      </c>
      <c r="I628" s="20"/>
    </row>
    <row r="629" ht="15.75" customHeight="1">
      <c r="A629" s="70"/>
      <c r="B629" s="75"/>
      <c r="C629" s="38"/>
      <c r="D629" s="39" t="s">
        <v>590</v>
      </c>
      <c r="E629" s="36">
        <v>0.0</v>
      </c>
      <c r="F629" s="42">
        <v>8.0</v>
      </c>
      <c r="G629" s="44" t="s">
        <v>62</v>
      </c>
      <c r="H629" s="36">
        <v>2.0</v>
      </c>
      <c r="I629" s="20"/>
    </row>
    <row r="630" ht="15.75" customHeight="1">
      <c r="A630" s="70"/>
      <c r="B630" s="75"/>
      <c r="C630" s="38"/>
      <c r="D630" s="39" t="s">
        <v>590</v>
      </c>
      <c r="E630" s="36">
        <v>0.0</v>
      </c>
      <c r="F630" s="42">
        <v>9.0</v>
      </c>
      <c r="G630" s="44" t="s">
        <v>63</v>
      </c>
      <c r="H630" s="36">
        <v>4.0</v>
      </c>
      <c r="I630" s="20"/>
    </row>
    <row r="631" ht="15.75" customHeight="1">
      <c r="A631" s="70"/>
      <c r="B631" s="75"/>
      <c r="C631" s="38"/>
      <c r="D631" s="39" t="s">
        <v>594</v>
      </c>
      <c r="E631" s="36">
        <v>0.0</v>
      </c>
      <c r="F631" s="42">
        <v>3.0</v>
      </c>
      <c r="G631" s="44" t="s">
        <v>50</v>
      </c>
      <c r="H631" s="36">
        <v>3.0</v>
      </c>
      <c r="I631" s="20"/>
    </row>
    <row r="632" ht="15.75" customHeight="1">
      <c r="A632" s="70"/>
      <c r="B632" s="75"/>
      <c r="C632" s="38"/>
      <c r="D632" s="39" t="s">
        <v>594</v>
      </c>
      <c r="E632" s="36">
        <v>0.0</v>
      </c>
      <c r="F632" s="42">
        <v>4.0</v>
      </c>
      <c r="G632" s="44" t="s">
        <v>52</v>
      </c>
      <c r="H632" s="36">
        <v>5.0</v>
      </c>
      <c r="I632" s="20"/>
    </row>
    <row r="633" ht="15.75" customHeight="1">
      <c r="A633" s="70"/>
      <c r="B633" s="75"/>
      <c r="C633" s="38"/>
      <c r="D633" s="39" t="s">
        <v>594</v>
      </c>
      <c r="E633" s="36">
        <v>0.0</v>
      </c>
      <c r="F633" s="42">
        <v>5.0</v>
      </c>
      <c r="G633" s="44" t="s">
        <v>54</v>
      </c>
      <c r="H633" s="36">
        <v>6.0</v>
      </c>
      <c r="I633" s="20"/>
    </row>
    <row r="634" ht="15.75" customHeight="1">
      <c r="A634" s="70"/>
      <c r="B634" s="75"/>
      <c r="C634" s="38"/>
      <c r="D634" s="39" t="s">
        <v>594</v>
      </c>
      <c r="E634" s="36">
        <v>0.0</v>
      </c>
      <c r="F634" s="42">
        <v>6.0</v>
      </c>
      <c r="G634" s="44" t="s">
        <v>57</v>
      </c>
      <c r="H634" s="36">
        <v>7.0</v>
      </c>
      <c r="I634" s="20"/>
    </row>
    <row r="635" ht="15.75" customHeight="1">
      <c r="A635" s="70"/>
      <c r="B635" s="75"/>
      <c r="C635" s="38"/>
      <c r="D635" s="39" t="s">
        <v>594</v>
      </c>
      <c r="E635" s="36">
        <v>0.0</v>
      </c>
      <c r="F635" s="42">
        <v>7.0</v>
      </c>
      <c r="G635" s="44" t="s">
        <v>59</v>
      </c>
      <c r="H635" s="36">
        <v>1.0</v>
      </c>
      <c r="I635" s="20"/>
    </row>
    <row r="636" ht="15.75" customHeight="1">
      <c r="A636" s="70"/>
      <c r="B636" s="75"/>
      <c r="C636" s="38"/>
      <c r="D636" s="39" t="s">
        <v>594</v>
      </c>
      <c r="E636" s="36">
        <v>0.0</v>
      </c>
      <c r="F636" s="42">
        <v>8.0</v>
      </c>
      <c r="G636" s="44" t="s">
        <v>62</v>
      </c>
      <c r="H636" s="36">
        <v>2.0</v>
      </c>
      <c r="I636" s="20"/>
    </row>
    <row r="637" ht="15.75" customHeight="1">
      <c r="A637" s="70"/>
      <c r="B637" s="75"/>
      <c r="C637" s="38"/>
      <c r="D637" s="39" t="s">
        <v>594</v>
      </c>
      <c r="E637" s="36">
        <v>0.0</v>
      </c>
      <c r="F637" s="42">
        <v>9.0</v>
      </c>
      <c r="G637" s="44" t="s">
        <v>63</v>
      </c>
      <c r="H637" s="36">
        <v>4.0</v>
      </c>
      <c r="I637" s="20"/>
    </row>
    <row r="638" ht="15.75" customHeight="1">
      <c r="A638" s="70"/>
      <c r="B638" s="75"/>
      <c r="C638" s="38"/>
      <c r="D638" s="39" t="s">
        <v>595</v>
      </c>
      <c r="E638" s="36">
        <v>0.0</v>
      </c>
      <c r="F638" s="42">
        <v>3.0</v>
      </c>
      <c r="G638" s="44" t="s">
        <v>50</v>
      </c>
      <c r="H638" s="36">
        <v>3.0</v>
      </c>
      <c r="I638" s="20"/>
    </row>
    <row r="639" ht="15.75" customHeight="1">
      <c r="A639" s="70"/>
      <c r="B639" s="75"/>
      <c r="C639" s="38"/>
      <c r="D639" s="39" t="s">
        <v>595</v>
      </c>
      <c r="E639" s="36">
        <v>0.0</v>
      </c>
      <c r="F639" s="42">
        <v>4.0</v>
      </c>
      <c r="G639" s="44" t="s">
        <v>596</v>
      </c>
      <c r="H639" s="36">
        <v>5.0</v>
      </c>
      <c r="I639" s="20"/>
    </row>
    <row r="640" ht="15.75" customHeight="1">
      <c r="A640" s="70"/>
      <c r="B640" s="75"/>
      <c r="C640" s="38"/>
      <c r="D640" s="39" t="s">
        <v>595</v>
      </c>
      <c r="E640" s="36">
        <v>0.0</v>
      </c>
      <c r="F640" s="42">
        <v>5.0</v>
      </c>
      <c r="G640" s="44" t="s">
        <v>320</v>
      </c>
      <c r="H640" s="36">
        <v>6.0</v>
      </c>
      <c r="I640" s="20"/>
    </row>
    <row r="641" ht="15.75" customHeight="1">
      <c r="A641" s="70"/>
      <c r="B641" s="75"/>
      <c r="C641" s="38"/>
      <c r="D641" s="39" t="s">
        <v>595</v>
      </c>
      <c r="E641" s="36">
        <v>0.0</v>
      </c>
      <c r="F641" s="42">
        <v>6.0</v>
      </c>
      <c r="G641" s="44" t="s">
        <v>598</v>
      </c>
      <c r="H641" s="36">
        <v>7.0</v>
      </c>
      <c r="I641" s="20"/>
    </row>
    <row r="642" ht="15.75" customHeight="1">
      <c r="A642" s="70"/>
      <c r="B642" s="75"/>
      <c r="C642" s="38"/>
      <c r="D642" s="39" t="s">
        <v>595</v>
      </c>
      <c r="E642" s="36">
        <v>0.0</v>
      </c>
      <c r="F642" s="42">
        <v>7.0</v>
      </c>
      <c r="G642" s="44" t="s">
        <v>59</v>
      </c>
      <c r="H642" s="36">
        <v>1.0</v>
      </c>
      <c r="I642" s="20"/>
    </row>
    <row r="643" ht="15.75" customHeight="1">
      <c r="A643" s="70"/>
      <c r="B643" s="75"/>
      <c r="C643" s="38"/>
      <c r="D643" s="39" t="s">
        <v>595</v>
      </c>
      <c r="E643" s="36">
        <v>0.0</v>
      </c>
      <c r="F643" s="42">
        <v>8.0</v>
      </c>
      <c r="G643" s="44" t="s">
        <v>600</v>
      </c>
      <c r="H643" s="36">
        <v>2.0</v>
      </c>
      <c r="I643" s="20"/>
    </row>
    <row r="644" ht="15.75" customHeight="1">
      <c r="A644" s="70"/>
      <c r="B644" s="75"/>
      <c r="C644" s="38"/>
      <c r="D644" s="39" t="s">
        <v>595</v>
      </c>
      <c r="E644" s="36">
        <v>0.0</v>
      </c>
      <c r="F644" s="42">
        <v>9.0</v>
      </c>
      <c r="G644" s="44" t="s">
        <v>601</v>
      </c>
      <c r="H644" s="36">
        <v>4.0</v>
      </c>
      <c r="I644" s="20"/>
    </row>
    <row r="645" ht="15.75" customHeight="1">
      <c r="A645" s="70"/>
      <c r="B645" s="75"/>
      <c r="C645" s="38"/>
      <c r="D645" s="39" t="s">
        <v>602</v>
      </c>
      <c r="E645" s="36">
        <v>0.0</v>
      </c>
      <c r="F645" s="42">
        <v>3.0</v>
      </c>
      <c r="G645" s="44" t="s">
        <v>50</v>
      </c>
      <c r="H645" s="36">
        <v>3.0</v>
      </c>
      <c r="I645" s="20"/>
    </row>
    <row r="646" ht="15.75" customHeight="1">
      <c r="A646" s="70"/>
      <c r="B646" s="75"/>
      <c r="C646" s="38"/>
      <c r="D646" s="39" t="s">
        <v>602</v>
      </c>
      <c r="E646" s="36">
        <v>0.0</v>
      </c>
      <c r="F646" s="42">
        <v>4.0</v>
      </c>
      <c r="G646" s="44" t="s">
        <v>52</v>
      </c>
      <c r="H646" s="36">
        <v>5.0</v>
      </c>
      <c r="I646" s="20"/>
    </row>
    <row r="647" ht="15.75" customHeight="1">
      <c r="A647" s="70"/>
      <c r="B647" s="75"/>
      <c r="C647" s="38"/>
      <c r="D647" s="39" t="s">
        <v>602</v>
      </c>
      <c r="E647" s="36">
        <v>0.0</v>
      </c>
      <c r="F647" s="42">
        <v>5.0</v>
      </c>
      <c r="G647" s="44" t="s">
        <v>54</v>
      </c>
      <c r="H647" s="36">
        <v>6.0</v>
      </c>
      <c r="I647" s="20"/>
    </row>
    <row r="648" ht="15.75" customHeight="1">
      <c r="A648" s="70"/>
      <c r="B648" s="75"/>
      <c r="C648" s="38"/>
      <c r="D648" s="39" t="s">
        <v>602</v>
      </c>
      <c r="E648" s="36">
        <v>0.0</v>
      </c>
      <c r="F648" s="42">
        <v>6.0</v>
      </c>
      <c r="G648" s="44" t="s">
        <v>57</v>
      </c>
      <c r="H648" s="36">
        <v>7.0</v>
      </c>
      <c r="I648" s="20"/>
    </row>
    <row r="649" ht="15.75" customHeight="1">
      <c r="A649" s="70"/>
      <c r="B649" s="75"/>
      <c r="C649" s="38"/>
      <c r="D649" s="39" t="s">
        <v>602</v>
      </c>
      <c r="E649" s="36">
        <v>0.0</v>
      </c>
      <c r="F649" s="42">
        <v>7.0</v>
      </c>
      <c r="G649" s="44" t="s">
        <v>59</v>
      </c>
      <c r="H649" s="36">
        <v>1.0</v>
      </c>
      <c r="I649" s="20"/>
    </row>
    <row r="650" ht="15.75" customHeight="1">
      <c r="A650" s="70"/>
      <c r="B650" s="75"/>
      <c r="C650" s="38"/>
      <c r="D650" s="39" t="s">
        <v>602</v>
      </c>
      <c r="E650" s="36">
        <v>0.0</v>
      </c>
      <c r="F650" s="42">
        <v>8.0</v>
      </c>
      <c r="G650" s="44" t="s">
        <v>62</v>
      </c>
      <c r="H650" s="36">
        <v>2.0</v>
      </c>
      <c r="I650" s="20"/>
    </row>
    <row r="651" ht="15.75" customHeight="1">
      <c r="A651" s="70"/>
      <c r="B651" s="75"/>
      <c r="C651" s="38"/>
      <c r="D651" s="39" t="s">
        <v>602</v>
      </c>
      <c r="E651" s="36">
        <v>0.0</v>
      </c>
      <c r="F651" s="42">
        <v>9.0</v>
      </c>
      <c r="G651" s="44" t="s">
        <v>63</v>
      </c>
      <c r="H651" s="36">
        <v>4.0</v>
      </c>
      <c r="I651" s="20"/>
    </row>
    <row r="652" ht="15.75" customHeight="1">
      <c r="A652" s="70"/>
      <c r="B652" s="75"/>
      <c r="C652" s="38"/>
      <c r="D652" s="39" t="s">
        <v>603</v>
      </c>
      <c r="E652" s="36">
        <v>0.0</v>
      </c>
      <c r="F652" s="42">
        <v>3.0</v>
      </c>
      <c r="G652" s="44" t="s">
        <v>50</v>
      </c>
      <c r="H652" s="36">
        <v>3.0</v>
      </c>
      <c r="I652" s="20"/>
    </row>
    <row r="653" ht="15.75" customHeight="1">
      <c r="A653" s="70"/>
      <c r="B653" s="75"/>
      <c r="C653" s="38"/>
      <c r="D653" s="39" t="s">
        <v>603</v>
      </c>
      <c r="E653" s="36">
        <v>0.0</v>
      </c>
      <c r="F653" s="42">
        <v>4.0</v>
      </c>
      <c r="G653" s="44" t="s">
        <v>52</v>
      </c>
      <c r="H653" s="36">
        <v>5.0</v>
      </c>
      <c r="I653" s="20"/>
    </row>
    <row r="654" ht="15.75" customHeight="1">
      <c r="A654" s="70"/>
      <c r="B654" s="75"/>
      <c r="C654" s="38"/>
      <c r="D654" s="39" t="s">
        <v>603</v>
      </c>
      <c r="E654" s="36">
        <v>0.0</v>
      </c>
      <c r="F654" s="42">
        <v>5.0</v>
      </c>
      <c r="G654" s="44" t="s">
        <v>54</v>
      </c>
      <c r="H654" s="36">
        <v>6.0</v>
      </c>
      <c r="I654" s="20"/>
    </row>
    <row r="655" ht="15.75" customHeight="1">
      <c r="A655" s="70"/>
      <c r="B655" s="75"/>
      <c r="C655" s="38"/>
      <c r="D655" s="39" t="s">
        <v>603</v>
      </c>
      <c r="E655" s="36">
        <v>0.0</v>
      </c>
      <c r="F655" s="42">
        <v>6.0</v>
      </c>
      <c r="G655" s="44" t="s">
        <v>57</v>
      </c>
      <c r="H655" s="36">
        <v>7.0</v>
      </c>
      <c r="I655" s="20"/>
    </row>
    <row r="656" ht="15.75" customHeight="1">
      <c r="A656" s="70"/>
      <c r="B656" s="75"/>
      <c r="C656" s="38"/>
      <c r="D656" s="39" t="s">
        <v>603</v>
      </c>
      <c r="E656" s="36">
        <v>0.0</v>
      </c>
      <c r="F656" s="42">
        <v>7.0</v>
      </c>
      <c r="G656" s="44" t="s">
        <v>59</v>
      </c>
      <c r="H656" s="36">
        <v>1.0</v>
      </c>
      <c r="I656" s="20"/>
    </row>
    <row r="657" ht="15.75" customHeight="1">
      <c r="A657" s="70"/>
      <c r="B657" s="75"/>
      <c r="C657" s="38"/>
      <c r="D657" s="39" t="s">
        <v>603</v>
      </c>
      <c r="E657" s="36">
        <v>0.0</v>
      </c>
      <c r="F657" s="42">
        <v>8.0</v>
      </c>
      <c r="G657" s="44" t="s">
        <v>62</v>
      </c>
      <c r="H657" s="36">
        <v>2.0</v>
      </c>
      <c r="I657" s="20"/>
    </row>
    <row r="658" ht="15.75" customHeight="1">
      <c r="A658" s="70"/>
      <c r="B658" s="75"/>
      <c r="C658" s="38"/>
      <c r="D658" s="39" t="s">
        <v>603</v>
      </c>
      <c r="E658" s="36">
        <v>0.0</v>
      </c>
      <c r="F658" s="42">
        <v>9.0</v>
      </c>
      <c r="G658" s="44" t="s">
        <v>63</v>
      </c>
      <c r="H658" s="36">
        <v>4.0</v>
      </c>
      <c r="I658" s="20"/>
    </row>
    <row r="659" ht="15.75" customHeight="1">
      <c r="A659" s="70"/>
      <c r="B659" s="75"/>
      <c r="C659" s="38"/>
      <c r="D659" s="39" t="s">
        <v>607</v>
      </c>
      <c r="E659" s="36">
        <v>0.0</v>
      </c>
      <c r="F659" s="42">
        <v>3.0</v>
      </c>
      <c r="G659" s="44" t="s">
        <v>50</v>
      </c>
      <c r="H659" s="36">
        <v>3.0</v>
      </c>
      <c r="I659" s="20"/>
    </row>
    <row r="660" ht="15.75" customHeight="1">
      <c r="A660" s="70"/>
      <c r="B660" s="75"/>
      <c r="C660" s="38"/>
      <c r="D660" s="39" t="s">
        <v>607</v>
      </c>
      <c r="E660" s="36">
        <v>0.0</v>
      </c>
      <c r="F660" s="42">
        <v>4.0</v>
      </c>
      <c r="G660" s="44" t="s">
        <v>52</v>
      </c>
      <c r="H660" s="36">
        <v>5.0</v>
      </c>
      <c r="I660" s="20"/>
    </row>
    <row r="661" ht="15.75" customHeight="1">
      <c r="A661" s="70"/>
      <c r="B661" s="75"/>
      <c r="C661" s="38"/>
      <c r="D661" s="39" t="s">
        <v>607</v>
      </c>
      <c r="E661" s="36">
        <v>0.0</v>
      </c>
      <c r="F661" s="42">
        <v>5.0</v>
      </c>
      <c r="G661" s="44" t="s">
        <v>54</v>
      </c>
      <c r="H661" s="36">
        <v>6.0</v>
      </c>
      <c r="I661" s="20"/>
    </row>
    <row r="662" ht="15.75" customHeight="1">
      <c r="A662" s="70"/>
      <c r="B662" s="75"/>
      <c r="C662" s="38"/>
      <c r="D662" s="39" t="s">
        <v>607</v>
      </c>
      <c r="E662" s="36">
        <v>0.0</v>
      </c>
      <c r="F662" s="42">
        <v>6.0</v>
      </c>
      <c r="G662" s="44" t="s">
        <v>57</v>
      </c>
      <c r="H662" s="36">
        <v>7.0</v>
      </c>
      <c r="I662" s="20"/>
    </row>
    <row r="663" ht="15.75" customHeight="1">
      <c r="A663" s="70"/>
      <c r="B663" s="75"/>
      <c r="C663" s="38"/>
      <c r="D663" s="39" t="s">
        <v>607</v>
      </c>
      <c r="E663" s="36">
        <v>0.0</v>
      </c>
      <c r="F663" s="42">
        <v>7.0</v>
      </c>
      <c r="G663" s="44" t="s">
        <v>59</v>
      </c>
      <c r="H663" s="36">
        <v>1.0</v>
      </c>
      <c r="I663" s="20"/>
    </row>
    <row r="664" ht="15.75" customHeight="1">
      <c r="A664" s="70"/>
      <c r="B664" s="75"/>
      <c r="C664" s="38"/>
      <c r="D664" s="39" t="s">
        <v>607</v>
      </c>
      <c r="E664" s="36">
        <v>0.0</v>
      </c>
      <c r="F664" s="42">
        <v>8.0</v>
      </c>
      <c r="G664" s="44" t="s">
        <v>62</v>
      </c>
      <c r="H664" s="36">
        <v>2.0</v>
      </c>
      <c r="I664" s="20"/>
    </row>
    <row r="665" ht="15.75" customHeight="1">
      <c r="A665" s="70"/>
      <c r="B665" s="75"/>
      <c r="C665" s="38"/>
      <c r="D665" s="39" t="s">
        <v>607</v>
      </c>
      <c r="E665" s="36">
        <v>0.0</v>
      </c>
      <c r="F665" s="42">
        <v>9.0</v>
      </c>
      <c r="G665" s="44" t="s">
        <v>63</v>
      </c>
      <c r="H665" s="36">
        <v>4.0</v>
      </c>
      <c r="I665" s="20"/>
    </row>
    <row r="666" ht="15.75" customHeight="1">
      <c r="A666" s="70"/>
      <c r="B666" s="75"/>
      <c r="C666" s="38"/>
      <c r="D666" s="39" t="s">
        <v>608</v>
      </c>
      <c r="E666" s="36">
        <v>0.0</v>
      </c>
      <c r="F666" s="42">
        <v>1.0</v>
      </c>
      <c r="G666" s="44" t="s">
        <v>609</v>
      </c>
      <c r="H666" s="36" t="s">
        <v>610</v>
      </c>
      <c r="I666" s="20"/>
    </row>
    <row r="667" ht="15.75" customHeight="1">
      <c r="A667" s="70"/>
      <c r="B667" s="75"/>
      <c r="C667" s="38"/>
      <c r="D667" s="39" t="s">
        <v>608</v>
      </c>
      <c r="E667" s="36">
        <v>0.0</v>
      </c>
      <c r="F667" s="42">
        <v>2.0</v>
      </c>
      <c r="G667" s="44" t="s">
        <v>613</v>
      </c>
      <c r="H667" s="36" t="s">
        <v>479</v>
      </c>
      <c r="I667" s="20"/>
    </row>
    <row r="668" ht="15.75" customHeight="1">
      <c r="A668" s="70"/>
      <c r="B668" s="75"/>
      <c r="C668" s="38"/>
      <c r="D668" s="39" t="s">
        <v>608</v>
      </c>
      <c r="E668" s="36">
        <v>0.0</v>
      </c>
      <c r="F668" s="42">
        <v>16.0</v>
      </c>
      <c r="G668" s="44" t="s">
        <v>614</v>
      </c>
      <c r="H668" s="36"/>
      <c r="I668" s="20"/>
    </row>
    <row r="669" ht="15.75" customHeight="1">
      <c r="A669" s="70"/>
      <c r="B669" s="75"/>
      <c r="C669" s="38"/>
      <c r="D669" s="39" t="s">
        <v>615</v>
      </c>
      <c r="E669" s="36">
        <v>0.0</v>
      </c>
      <c r="F669" s="42">
        <v>1.0</v>
      </c>
      <c r="G669" s="44" t="s">
        <v>609</v>
      </c>
      <c r="H669" s="36" t="s">
        <v>616</v>
      </c>
      <c r="I669" s="20"/>
    </row>
    <row r="670" ht="15.75" customHeight="1">
      <c r="A670" s="70"/>
      <c r="B670" s="75"/>
      <c r="C670" s="38"/>
      <c r="D670" s="39" t="s">
        <v>615</v>
      </c>
      <c r="E670" s="36">
        <v>0.0</v>
      </c>
      <c r="F670" s="42">
        <v>2.0</v>
      </c>
      <c r="G670" s="44" t="s">
        <v>617</v>
      </c>
      <c r="H670" s="36" t="s">
        <v>618</v>
      </c>
      <c r="I670" s="20"/>
    </row>
    <row r="671" ht="15.75" customHeight="1">
      <c r="A671" s="70"/>
      <c r="B671" s="75"/>
      <c r="C671" s="38"/>
      <c r="D671" s="39" t="s">
        <v>615</v>
      </c>
      <c r="E671" s="36">
        <v>0.0</v>
      </c>
      <c r="F671" s="42">
        <v>3.0</v>
      </c>
      <c r="G671" s="44" t="s">
        <v>619</v>
      </c>
      <c r="H671" s="36" t="s">
        <v>620</v>
      </c>
      <c r="I671" s="20"/>
    </row>
    <row r="672" ht="15.75" customHeight="1">
      <c r="A672" s="70"/>
      <c r="B672" s="75"/>
      <c r="C672" s="38"/>
      <c r="D672" s="39" t="s">
        <v>615</v>
      </c>
      <c r="E672" s="36">
        <v>0.0</v>
      </c>
      <c r="F672" s="42">
        <v>4.0</v>
      </c>
      <c r="G672" s="44" t="s">
        <v>596</v>
      </c>
      <c r="H672" s="36" t="s">
        <v>622</v>
      </c>
      <c r="I672" s="20"/>
    </row>
    <row r="673" ht="15.75" customHeight="1">
      <c r="A673" s="70"/>
      <c r="B673" s="75"/>
      <c r="C673" s="38"/>
      <c r="D673" s="39" t="s">
        <v>615</v>
      </c>
      <c r="E673" s="36">
        <v>0.0</v>
      </c>
      <c r="F673" s="42">
        <v>15.0</v>
      </c>
      <c r="G673" s="44" t="s">
        <v>623</v>
      </c>
      <c r="H673" s="36" t="s">
        <v>624</v>
      </c>
      <c r="I673" s="20"/>
    </row>
    <row r="674" ht="15.75" customHeight="1">
      <c r="A674" s="70"/>
      <c r="B674" s="75"/>
      <c r="C674" s="38"/>
      <c r="D674" s="39" t="s">
        <v>625</v>
      </c>
      <c r="E674" s="36">
        <v>0.0</v>
      </c>
      <c r="F674" s="42">
        <v>1.0</v>
      </c>
      <c r="G674" s="44" t="s">
        <v>609</v>
      </c>
      <c r="H674" s="36" t="s">
        <v>616</v>
      </c>
      <c r="I674" s="20"/>
    </row>
    <row r="675" ht="15.75" customHeight="1">
      <c r="A675" s="70"/>
      <c r="B675" s="75"/>
      <c r="C675" s="38"/>
      <c r="D675" s="39" t="s">
        <v>625</v>
      </c>
      <c r="E675" s="36">
        <v>0.0</v>
      </c>
      <c r="F675" s="42">
        <v>2.0</v>
      </c>
      <c r="G675" s="44" t="s">
        <v>114</v>
      </c>
      <c r="H675" s="36" t="s">
        <v>618</v>
      </c>
      <c r="I675" s="20"/>
    </row>
    <row r="676" ht="15.75" customHeight="1">
      <c r="A676" s="70"/>
      <c r="B676" s="75"/>
      <c r="C676" s="38"/>
      <c r="D676" s="39" t="s">
        <v>625</v>
      </c>
      <c r="E676" s="36">
        <v>0.0</v>
      </c>
      <c r="F676" s="42">
        <v>3.0</v>
      </c>
      <c r="G676" s="44" t="s">
        <v>387</v>
      </c>
      <c r="H676" s="36" t="s">
        <v>620</v>
      </c>
      <c r="I676" s="20"/>
    </row>
    <row r="677" ht="15.75" customHeight="1">
      <c r="A677" s="70"/>
      <c r="B677" s="75"/>
      <c r="C677" s="38"/>
      <c r="D677" s="39" t="s">
        <v>625</v>
      </c>
      <c r="E677" s="36">
        <v>0.0</v>
      </c>
      <c r="F677" s="42">
        <v>4.0</v>
      </c>
      <c r="G677" s="44" t="s">
        <v>51</v>
      </c>
      <c r="H677" s="36" t="s">
        <v>622</v>
      </c>
      <c r="I677" s="20"/>
    </row>
    <row r="678" ht="15.75" customHeight="1">
      <c r="A678" s="70"/>
      <c r="B678" s="75"/>
      <c r="C678" s="38"/>
      <c r="D678" s="39" t="s">
        <v>625</v>
      </c>
      <c r="E678" s="36">
        <v>0.0</v>
      </c>
      <c r="F678" s="42">
        <v>15.0</v>
      </c>
      <c r="G678" s="44" t="s">
        <v>613</v>
      </c>
      <c r="H678" s="36" t="s">
        <v>624</v>
      </c>
      <c r="I678" s="20"/>
    </row>
    <row r="679" ht="15.75" customHeight="1">
      <c r="A679" s="70"/>
      <c r="B679" s="75"/>
      <c r="C679" s="38"/>
      <c r="D679" s="39" t="s">
        <v>626</v>
      </c>
      <c r="E679" s="36">
        <v>0.0</v>
      </c>
      <c r="F679" s="42">
        <v>1.0</v>
      </c>
      <c r="G679" s="44" t="s">
        <v>609</v>
      </c>
      <c r="H679" s="36" t="s">
        <v>616</v>
      </c>
      <c r="I679" s="20"/>
    </row>
    <row r="680" ht="15.75" customHeight="1">
      <c r="A680" s="70"/>
      <c r="B680" s="75"/>
      <c r="C680" s="38"/>
      <c r="D680" s="39" t="s">
        <v>626</v>
      </c>
      <c r="E680" s="36">
        <v>0.0</v>
      </c>
      <c r="F680" s="42">
        <v>2.0</v>
      </c>
      <c r="G680" s="44" t="s">
        <v>114</v>
      </c>
      <c r="H680" s="36" t="s">
        <v>618</v>
      </c>
      <c r="I680" s="20"/>
    </row>
    <row r="681" ht="15.75" customHeight="1">
      <c r="A681" s="70"/>
      <c r="B681" s="75"/>
      <c r="C681" s="38"/>
      <c r="D681" s="39" t="s">
        <v>626</v>
      </c>
      <c r="E681" s="36">
        <v>0.0</v>
      </c>
      <c r="F681" s="42">
        <v>3.0</v>
      </c>
      <c r="G681" s="44" t="s">
        <v>387</v>
      </c>
      <c r="H681" s="36" t="s">
        <v>620</v>
      </c>
      <c r="I681" s="20"/>
    </row>
    <row r="682" ht="15.75" customHeight="1">
      <c r="A682" s="70"/>
      <c r="B682" s="75"/>
      <c r="C682" s="38"/>
      <c r="D682" s="39" t="s">
        <v>626</v>
      </c>
      <c r="E682" s="36">
        <v>0.0</v>
      </c>
      <c r="F682" s="42">
        <v>4.0</v>
      </c>
      <c r="G682" s="44" t="s">
        <v>51</v>
      </c>
      <c r="H682" s="36" t="s">
        <v>622</v>
      </c>
      <c r="I682" s="20"/>
    </row>
    <row r="683" ht="15.75" customHeight="1">
      <c r="A683" s="70"/>
      <c r="B683" s="75"/>
      <c r="C683" s="38"/>
      <c r="D683" s="39" t="s">
        <v>626</v>
      </c>
      <c r="E683" s="36">
        <v>0.0</v>
      </c>
      <c r="F683" s="42">
        <v>15.0</v>
      </c>
      <c r="G683" s="44" t="s">
        <v>623</v>
      </c>
      <c r="H683" s="36" t="s">
        <v>624</v>
      </c>
      <c r="I683" s="20"/>
    </row>
    <row r="684" ht="15.75" customHeight="1">
      <c r="A684" s="70"/>
      <c r="B684" s="75"/>
      <c r="C684" s="38"/>
      <c r="D684" s="39" t="s">
        <v>629</v>
      </c>
      <c r="E684" s="36">
        <v>0.0</v>
      </c>
      <c r="F684" s="42">
        <v>1.0</v>
      </c>
      <c r="G684" s="44" t="s">
        <v>630</v>
      </c>
      <c r="H684" s="36" t="s">
        <v>616</v>
      </c>
      <c r="I684" s="20"/>
    </row>
    <row r="685" ht="15.75" customHeight="1">
      <c r="A685" s="70"/>
      <c r="B685" s="75"/>
      <c r="C685" s="38"/>
      <c r="D685" s="39" t="s">
        <v>629</v>
      </c>
      <c r="E685" s="36">
        <v>0.0</v>
      </c>
      <c r="F685" s="42">
        <v>2.0</v>
      </c>
      <c r="G685" s="44" t="s">
        <v>631</v>
      </c>
      <c r="H685" s="36" t="s">
        <v>618</v>
      </c>
      <c r="I685" s="20"/>
    </row>
    <row r="686" ht="15.75" customHeight="1">
      <c r="A686" s="70"/>
      <c r="B686" s="75"/>
      <c r="C686" s="38"/>
      <c r="D686" s="39" t="s">
        <v>629</v>
      </c>
      <c r="E686" s="36">
        <v>0.0</v>
      </c>
      <c r="F686" s="42">
        <v>3.0</v>
      </c>
      <c r="G686" s="44" t="s">
        <v>387</v>
      </c>
      <c r="H686" s="36" t="s">
        <v>620</v>
      </c>
      <c r="I686" s="20"/>
    </row>
    <row r="687" ht="15.75" customHeight="1">
      <c r="A687" s="70"/>
      <c r="B687" s="75"/>
      <c r="C687" s="38"/>
      <c r="D687" s="39" t="s">
        <v>629</v>
      </c>
      <c r="E687" s="36">
        <v>0.0</v>
      </c>
      <c r="F687" s="42">
        <v>4.0</v>
      </c>
      <c r="G687" s="44" t="s">
        <v>51</v>
      </c>
      <c r="H687" s="36" t="s">
        <v>622</v>
      </c>
      <c r="I687" s="20"/>
    </row>
    <row r="688" ht="15.75" customHeight="1">
      <c r="A688" s="70"/>
      <c r="B688" s="75"/>
      <c r="C688" s="38"/>
      <c r="D688" s="39" t="s">
        <v>629</v>
      </c>
      <c r="E688" s="36">
        <v>0.0</v>
      </c>
      <c r="F688" s="42">
        <v>9.0</v>
      </c>
      <c r="G688" s="44" t="s">
        <v>63</v>
      </c>
      <c r="H688" s="36" t="s">
        <v>632</v>
      </c>
      <c r="I688" s="20"/>
    </row>
    <row r="689" ht="15.75" customHeight="1">
      <c r="A689" s="70"/>
      <c r="B689" s="75"/>
      <c r="C689" s="38"/>
      <c r="D689" s="39" t="s">
        <v>629</v>
      </c>
      <c r="E689" s="36">
        <v>0.0</v>
      </c>
      <c r="F689" s="42">
        <v>10.0</v>
      </c>
      <c r="G689" s="44" t="s">
        <v>633</v>
      </c>
      <c r="H689" s="36" t="s">
        <v>634</v>
      </c>
      <c r="I689" s="20"/>
    </row>
    <row r="690" ht="15.75" customHeight="1">
      <c r="A690" s="70"/>
      <c r="B690" s="75"/>
      <c r="C690" s="38"/>
      <c r="D690" s="39" t="s">
        <v>629</v>
      </c>
      <c r="E690" s="36">
        <v>0.0</v>
      </c>
      <c r="F690" s="42">
        <v>14.0</v>
      </c>
      <c r="G690" s="44" t="s">
        <v>111</v>
      </c>
      <c r="H690" s="36" t="s">
        <v>635</v>
      </c>
      <c r="I690" s="20"/>
    </row>
    <row r="691" ht="15.75" customHeight="1">
      <c r="A691" s="70"/>
      <c r="B691" s="75"/>
      <c r="C691" s="38"/>
      <c r="D691" s="39" t="s">
        <v>629</v>
      </c>
      <c r="E691" s="36">
        <v>0.0</v>
      </c>
      <c r="F691" s="42">
        <v>15.0</v>
      </c>
      <c r="G691" s="44" t="s">
        <v>636</v>
      </c>
      <c r="H691" s="36" t="s">
        <v>624</v>
      </c>
      <c r="I691" s="20"/>
    </row>
    <row r="692" ht="15.75" customHeight="1">
      <c r="A692" s="70"/>
      <c r="B692" s="75"/>
      <c r="C692" s="38"/>
      <c r="D692" s="39" t="s">
        <v>637</v>
      </c>
      <c r="E692" s="36">
        <v>0.0</v>
      </c>
      <c r="F692" s="42">
        <v>1.0</v>
      </c>
      <c r="G692" s="44" t="s">
        <v>630</v>
      </c>
      <c r="H692" s="36" t="s">
        <v>616</v>
      </c>
      <c r="I692" s="20"/>
    </row>
    <row r="693" ht="15.75" customHeight="1">
      <c r="A693" s="70"/>
      <c r="B693" s="75"/>
      <c r="C693" s="38"/>
      <c r="D693" s="39" t="s">
        <v>637</v>
      </c>
      <c r="E693" s="36">
        <v>0.0</v>
      </c>
      <c r="F693" s="42">
        <v>2.0</v>
      </c>
      <c r="G693" s="44" t="s">
        <v>522</v>
      </c>
      <c r="H693" s="36" t="s">
        <v>618</v>
      </c>
      <c r="I693" s="20"/>
    </row>
    <row r="694" ht="15.75" customHeight="1">
      <c r="A694" s="70"/>
      <c r="B694" s="75"/>
      <c r="C694" s="38"/>
      <c r="D694" s="39" t="s">
        <v>637</v>
      </c>
      <c r="E694" s="36">
        <v>0.0</v>
      </c>
      <c r="F694" s="42">
        <v>3.0</v>
      </c>
      <c r="G694" s="44" t="s">
        <v>387</v>
      </c>
      <c r="H694" s="36" t="s">
        <v>620</v>
      </c>
      <c r="I694" s="20"/>
    </row>
    <row r="695" ht="15.75" customHeight="1">
      <c r="A695" s="70"/>
      <c r="B695" s="75"/>
      <c r="C695" s="38"/>
      <c r="D695" s="39" t="s">
        <v>637</v>
      </c>
      <c r="E695" s="36">
        <v>0.0</v>
      </c>
      <c r="F695" s="42">
        <v>4.0</v>
      </c>
      <c r="G695" s="44" t="s">
        <v>51</v>
      </c>
      <c r="H695" s="36" t="s">
        <v>622</v>
      </c>
      <c r="I695" s="20"/>
    </row>
    <row r="696" ht="15.75" customHeight="1">
      <c r="A696" s="70"/>
      <c r="B696" s="75"/>
      <c r="C696" s="38"/>
      <c r="D696" s="39" t="s">
        <v>637</v>
      </c>
      <c r="E696" s="36">
        <v>0.0</v>
      </c>
      <c r="F696" s="42">
        <v>15.0</v>
      </c>
      <c r="G696" s="44" t="s">
        <v>636</v>
      </c>
      <c r="H696" s="36" t="s">
        <v>624</v>
      </c>
      <c r="I696" s="20"/>
    </row>
    <row r="697" ht="15.75" customHeight="1">
      <c r="A697" s="70"/>
      <c r="B697" s="75"/>
      <c r="C697" s="38"/>
      <c r="D697" s="39" t="s">
        <v>640</v>
      </c>
      <c r="E697" s="36">
        <v>0.0</v>
      </c>
      <c r="F697" s="42">
        <v>1.0</v>
      </c>
      <c r="G697" s="44" t="s">
        <v>609</v>
      </c>
      <c r="H697" s="36" t="s">
        <v>616</v>
      </c>
      <c r="I697" s="20"/>
    </row>
    <row r="698" ht="15.75" customHeight="1">
      <c r="A698" s="70"/>
      <c r="B698" s="75"/>
      <c r="C698" s="38"/>
      <c r="D698" s="39" t="s">
        <v>640</v>
      </c>
      <c r="E698" s="36">
        <v>0.0</v>
      </c>
      <c r="F698" s="42">
        <v>2.0</v>
      </c>
      <c r="G698" s="44" t="s">
        <v>641</v>
      </c>
      <c r="H698" s="36" t="s">
        <v>624</v>
      </c>
      <c r="I698" s="20"/>
    </row>
    <row r="699" ht="15.75" customHeight="1">
      <c r="A699" s="70"/>
      <c r="B699" s="75"/>
      <c r="C699" s="38"/>
      <c r="D699" s="39" t="s">
        <v>640</v>
      </c>
      <c r="E699" s="36">
        <v>0.0</v>
      </c>
      <c r="F699" s="42">
        <v>3.0</v>
      </c>
      <c r="G699" s="44" t="s">
        <v>387</v>
      </c>
      <c r="H699" s="36" t="s">
        <v>620</v>
      </c>
      <c r="I699" s="20"/>
    </row>
    <row r="700" ht="15.75" customHeight="1">
      <c r="A700" s="70"/>
      <c r="B700" s="75"/>
      <c r="C700" s="38"/>
      <c r="D700" s="39" t="s">
        <v>640</v>
      </c>
      <c r="E700" s="36">
        <v>0.0</v>
      </c>
      <c r="F700" s="42">
        <v>4.0</v>
      </c>
      <c r="G700" s="44" t="s">
        <v>51</v>
      </c>
      <c r="H700" s="36" t="s">
        <v>622</v>
      </c>
      <c r="I700" s="20"/>
    </row>
    <row r="701" ht="15.75" customHeight="1">
      <c r="A701" s="70"/>
      <c r="B701" s="75"/>
      <c r="C701" s="38"/>
      <c r="D701" s="39" t="s">
        <v>640</v>
      </c>
      <c r="E701" s="36">
        <v>0.0</v>
      </c>
      <c r="F701" s="42">
        <v>16.0</v>
      </c>
      <c r="G701" s="44" t="s">
        <v>114</v>
      </c>
      <c r="H701" s="36" t="s">
        <v>618</v>
      </c>
      <c r="I701" s="20"/>
    </row>
    <row r="702" ht="15.75" customHeight="1">
      <c r="A702" s="70"/>
      <c r="B702" s="75"/>
      <c r="C702" s="38"/>
      <c r="D702" s="39" t="s">
        <v>643</v>
      </c>
      <c r="E702" s="36">
        <v>0.0</v>
      </c>
      <c r="F702" s="42">
        <v>1.0</v>
      </c>
      <c r="G702" s="44" t="s">
        <v>630</v>
      </c>
      <c r="H702" s="36" t="s">
        <v>616</v>
      </c>
      <c r="I702" s="20"/>
    </row>
    <row r="703" ht="15.75" customHeight="1">
      <c r="A703" s="70"/>
      <c r="B703" s="75"/>
      <c r="C703" s="38"/>
      <c r="D703" s="39" t="s">
        <v>643</v>
      </c>
      <c r="E703" s="36">
        <v>0.0</v>
      </c>
      <c r="F703" s="42">
        <v>2.0</v>
      </c>
      <c r="G703" s="44" t="s">
        <v>114</v>
      </c>
      <c r="H703" s="36" t="s">
        <v>618</v>
      </c>
      <c r="I703" s="20"/>
    </row>
    <row r="704" ht="15.75" customHeight="1">
      <c r="A704" s="70"/>
      <c r="B704" s="75"/>
      <c r="C704" s="38"/>
      <c r="D704" s="39" t="s">
        <v>643</v>
      </c>
      <c r="E704" s="36">
        <v>0.0</v>
      </c>
      <c r="F704" s="42">
        <v>3.0</v>
      </c>
      <c r="G704" s="44" t="s">
        <v>387</v>
      </c>
      <c r="H704" s="36" t="s">
        <v>620</v>
      </c>
      <c r="I704" s="20"/>
    </row>
    <row r="705" ht="15.75" customHeight="1">
      <c r="A705" s="70"/>
      <c r="B705" s="75"/>
      <c r="C705" s="38"/>
      <c r="D705" s="39" t="s">
        <v>643</v>
      </c>
      <c r="E705" s="36">
        <v>0.0</v>
      </c>
      <c r="F705" s="42">
        <v>4.0</v>
      </c>
      <c r="G705" s="44" t="s">
        <v>51</v>
      </c>
      <c r="H705" s="36" t="s">
        <v>622</v>
      </c>
      <c r="I705" s="20"/>
    </row>
    <row r="706" ht="15.75" customHeight="1">
      <c r="A706" s="70"/>
      <c r="B706" s="75"/>
      <c r="C706" s="38"/>
      <c r="D706" s="39" t="s">
        <v>643</v>
      </c>
      <c r="E706" s="36">
        <v>0.0</v>
      </c>
      <c r="F706" s="42">
        <v>9.0</v>
      </c>
      <c r="G706" s="44" t="s">
        <v>63</v>
      </c>
      <c r="H706" s="36" t="s">
        <v>632</v>
      </c>
      <c r="I706" s="20"/>
    </row>
    <row r="707" ht="15.75" customHeight="1">
      <c r="A707" s="70"/>
      <c r="B707" s="75"/>
      <c r="C707" s="38"/>
      <c r="D707" s="39" t="s">
        <v>643</v>
      </c>
      <c r="E707" s="36">
        <v>0.0</v>
      </c>
      <c r="F707" s="42">
        <v>10.0</v>
      </c>
      <c r="G707" s="44" t="s">
        <v>633</v>
      </c>
      <c r="H707" s="36" t="s">
        <v>634</v>
      </c>
      <c r="I707" s="20"/>
    </row>
    <row r="708" ht="15.75" customHeight="1">
      <c r="A708" s="70"/>
      <c r="B708" s="75"/>
      <c r="C708" s="38"/>
      <c r="D708" s="39" t="s">
        <v>643</v>
      </c>
      <c r="E708" s="36">
        <v>0.0</v>
      </c>
      <c r="F708" s="42">
        <v>14.0</v>
      </c>
      <c r="G708" s="44" t="s">
        <v>111</v>
      </c>
      <c r="H708" s="36" t="s">
        <v>635</v>
      </c>
      <c r="I708" s="20"/>
    </row>
    <row r="709" ht="15.75" customHeight="1">
      <c r="A709" s="70"/>
      <c r="B709" s="75"/>
      <c r="C709" s="38"/>
      <c r="D709" s="39" t="s">
        <v>643</v>
      </c>
      <c r="E709" s="36">
        <v>0.0</v>
      </c>
      <c r="F709" s="42">
        <v>15.0</v>
      </c>
      <c r="G709" s="44" t="s">
        <v>636</v>
      </c>
      <c r="H709" s="36" t="s">
        <v>624</v>
      </c>
      <c r="I709" s="20"/>
    </row>
    <row r="710" ht="15.75" customHeight="1">
      <c r="A710" s="70"/>
      <c r="B710" s="75"/>
      <c r="C710" s="38"/>
      <c r="D710" s="39" t="s">
        <v>643</v>
      </c>
      <c r="E710" s="36">
        <v>0.0</v>
      </c>
      <c r="F710" s="42">
        <v>16.0</v>
      </c>
      <c r="G710" s="44" t="s">
        <v>636</v>
      </c>
      <c r="H710" s="36" t="s">
        <v>624</v>
      </c>
      <c r="I710" s="20"/>
    </row>
    <row r="711" ht="15.75" customHeight="1">
      <c r="A711" s="70"/>
      <c r="B711" s="75"/>
      <c r="C711" s="38"/>
      <c r="D711" s="39" t="s">
        <v>643</v>
      </c>
      <c r="E711" s="36">
        <v>0.0</v>
      </c>
      <c r="F711" s="42">
        <v>20.0</v>
      </c>
      <c r="G711" s="44" t="s">
        <v>646</v>
      </c>
      <c r="H711" s="36" t="s">
        <v>647</v>
      </c>
      <c r="I711" s="20"/>
    </row>
    <row r="712" ht="15.75" customHeight="1">
      <c r="A712" s="70"/>
      <c r="B712" s="75"/>
      <c r="C712" s="38"/>
      <c r="D712" s="39" t="s">
        <v>648</v>
      </c>
      <c r="E712" s="36">
        <v>0.0</v>
      </c>
      <c r="F712" s="42">
        <v>1.0</v>
      </c>
      <c r="G712" s="44" t="s">
        <v>630</v>
      </c>
      <c r="H712" s="36" t="s">
        <v>616</v>
      </c>
      <c r="I712" s="20"/>
    </row>
    <row r="713" ht="15.75" customHeight="1">
      <c r="A713" s="70"/>
      <c r="B713" s="75"/>
      <c r="C713" s="38"/>
      <c r="D713" s="39" t="s">
        <v>648</v>
      </c>
      <c r="E713" s="36">
        <v>0.0</v>
      </c>
      <c r="F713" s="42">
        <v>2.0</v>
      </c>
      <c r="G713" s="44" t="s">
        <v>522</v>
      </c>
      <c r="H713" s="36" t="s">
        <v>618</v>
      </c>
      <c r="I713" s="20"/>
    </row>
    <row r="714" ht="15.75" customHeight="1">
      <c r="A714" s="70"/>
      <c r="B714" s="75"/>
      <c r="C714" s="38"/>
      <c r="D714" s="39" t="s">
        <v>648</v>
      </c>
      <c r="E714" s="36">
        <v>0.0</v>
      </c>
      <c r="F714" s="42">
        <v>3.0</v>
      </c>
      <c r="G714" s="44" t="s">
        <v>387</v>
      </c>
      <c r="H714" s="36" t="s">
        <v>620</v>
      </c>
      <c r="I714" s="20"/>
    </row>
    <row r="715" ht="15.75" customHeight="1">
      <c r="A715" s="70"/>
      <c r="B715" s="75"/>
      <c r="C715" s="38"/>
      <c r="D715" s="39" t="s">
        <v>648</v>
      </c>
      <c r="E715" s="36">
        <v>0.0</v>
      </c>
      <c r="F715" s="42">
        <v>4.0</v>
      </c>
      <c r="G715" s="44" t="s">
        <v>51</v>
      </c>
      <c r="H715" s="36" t="s">
        <v>622</v>
      </c>
      <c r="I715" s="20"/>
    </row>
    <row r="716" ht="15.75" customHeight="1">
      <c r="A716" s="70"/>
      <c r="B716" s="75"/>
      <c r="C716" s="38"/>
      <c r="D716" s="39" t="s">
        <v>648</v>
      </c>
      <c r="E716" s="36">
        <v>0.0</v>
      </c>
      <c r="F716" s="42">
        <v>15.0</v>
      </c>
      <c r="G716" s="44" t="s">
        <v>636</v>
      </c>
      <c r="H716" s="36" t="s">
        <v>624</v>
      </c>
      <c r="I716" s="20"/>
    </row>
    <row r="717" ht="15.75" customHeight="1">
      <c r="A717" s="70"/>
      <c r="B717" s="75"/>
      <c r="C717" s="38"/>
      <c r="D717" s="39" t="s">
        <v>649</v>
      </c>
      <c r="E717" s="36">
        <v>0.0</v>
      </c>
      <c r="F717" s="42">
        <v>1.0</v>
      </c>
      <c r="G717" s="44" t="s">
        <v>630</v>
      </c>
      <c r="H717" s="36" t="s">
        <v>616</v>
      </c>
      <c r="I717" s="20"/>
    </row>
    <row r="718" ht="15.75" customHeight="1">
      <c r="A718" s="70"/>
      <c r="B718" s="75"/>
      <c r="C718" s="38"/>
      <c r="D718" s="39" t="s">
        <v>649</v>
      </c>
      <c r="E718" s="36">
        <v>0.0</v>
      </c>
      <c r="F718" s="42">
        <v>2.0</v>
      </c>
      <c r="G718" s="44" t="s">
        <v>617</v>
      </c>
      <c r="H718" s="36" t="s">
        <v>618</v>
      </c>
      <c r="I718" s="20"/>
    </row>
    <row r="719" ht="15.75" customHeight="1">
      <c r="A719" s="70"/>
      <c r="B719" s="75"/>
      <c r="C719" s="38"/>
      <c r="D719" s="39" t="s">
        <v>649</v>
      </c>
      <c r="E719" s="36">
        <v>0.0</v>
      </c>
      <c r="F719" s="42">
        <v>3.0</v>
      </c>
      <c r="G719" s="44" t="s">
        <v>387</v>
      </c>
      <c r="H719" s="36" t="s">
        <v>620</v>
      </c>
      <c r="I719" s="20"/>
    </row>
    <row r="720" ht="15.75" customHeight="1">
      <c r="A720" s="70"/>
      <c r="B720" s="75"/>
      <c r="C720" s="38"/>
      <c r="D720" s="39" t="s">
        <v>649</v>
      </c>
      <c r="E720" s="36">
        <v>0.0</v>
      </c>
      <c r="F720" s="42">
        <v>4.0</v>
      </c>
      <c r="G720" s="44" t="s">
        <v>51</v>
      </c>
      <c r="H720" s="36" t="s">
        <v>622</v>
      </c>
      <c r="I720" s="20"/>
    </row>
    <row r="721" ht="15.75" customHeight="1">
      <c r="A721" s="70"/>
      <c r="B721" s="75"/>
      <c r="C721" s="38"/>
      <c r="D721" s="39" t="s">
        <v>649</v>
      </c>
      <c r="E721" s="36">
        <v>0.0</v>
      </c>
      <c r="F721" s="42">
        <v>9.0</v>
      </c>
      <c r="G721" s="44" t="s">
        <v>63</v>
      </c>
      <c r="H721" s="36" t="s">
        <v>632</v>
      </c>
      <c r="I721" s="20"/>
    </row>
    <row r="722" ht="15.75" customHeight="1">
      <c r="A722" s="70"/>
      <c r="B722" s="75"/>
      <c r="C722" s="38"/>
      <c r="D722" s="39" t="s">
        <v>649</v>
      </c>
      <c r="E722" s="36">
        <v>0.0</v>
      </c>
      <c r="F722" s="42">
        <v>10.0</v>
      </c>
      <c r="G722" s="44" t="s">
        <v>633</v>
      </c>
      <c r="H722" s="36" t="s">
        <v>634</v>
      </c>
      <c r="I722" s="20"/>
    </row>
    <row r="723" ht="15.75" customHeight="1">
      <c r="A723" s="70"/>
      <c r="B723" s="75"/>
      <c r="C723" s="38"/>
      <c r="D723" s="39" t="s">
        <v>649</v>
      </c>
      <c r="E723" s="36">
        <v>0.0</v>
      </c>
      <c r="F723" s="42">
        <v>14.0</v>
      </c>
      <c r="G723" s="44" t="s">
        <v>111</v>
      </c>
      <c r="H723" s="36" t="s">
        <v>635</v>
      </c>
      <c r="I723" s="20"/>
    </row>
    <row r="724" ht="15.75" customHeight="1">
      <c r="A724" s="70"/>
      <c r="B724" s="75"/>
      <c r="C724" s="38"/>
      <c r="D724" s="39" t="s">
        <v>649</v>
      </c>
      <c r="E724" s="36">
        <v>0.0</v>
      </c>
      <c r="F724" s="42">
        <v>15.0</v>
      </c>
      <c r="G724" s="44" t="s">
        <v>636</v>
      </c>
      <c r="H724" s="36" t="s">
        <v>624</v>
      </c>
      <c r="I724" s="20"/>
    </row>
    <row r="725" ht="15.75" customHeight="1">
      <c r="A725" s="70"/>
      <c r="B725" s="75"/>
      <c r="C725" s="38"/>
      <c r="D725" s="39" t="s">
        <v>649</v>
      </c>
      <c r="E725" s="36">
        <v>0.0</v>
      </c>
      <c r="F725" s="42">
        <v>16.0</v>
      </c>
      <c r="G725" s="44" t="s">
        <v>617</v>
      </c>
      <c r="H725" s="36" t="s">
        <v>618</v>
      </c>
      <c r="I725" s="20"/>
    </row>
    <row r="726" ht="15.75" customHeight="1">
      <c r="A726" s="70"/>
      <c r="B726" s="75"/>
      <c r="C726" s="38"/>
      <c r="D726" s="39" t="s">
        <v>653</v>
      </c>
      <c r="E726" s="36">
        <v>0.0</v>
      </c>
      <c r="F726" s="42">
        <v>1.0</v>
      </c>
      <c r="G726" s="44" t="s">
        <v>654</v>
      </c>
      <c r="H726" s="36" t="s">
        <v>269</v>
      </c>
      <c r="I726" s="20"/>
    </row>
    <row r="727" ht="15.75" customHeight="1">
      <c r="A727" s="70"/>
      <c r="B727" s="75"/>
      <c r="C727" s="38"/>
      <c r="D727" s="39" t="s">
        <v>653</v>
      </c>
      <c r="E727" s="36">
        <v>0.0</v>
      </c>
      <c r="F727" s="42">
        <v>2.0</v>
      </c>
      <c r="G727" s="44" t="s">
        <v>114</v>
      </c>
      <c r="H727" s="36" t="s">
        <v>479</v>
      </c>
      <c r="I727" s="20"/>
    </row>
    <row r="728" ht="15.75" customHeight="1">
      <c r="A728" s="70"/>
      <c r="B728" s="75"/>
      <c r="C728" s="38"/>
      <c r="D728" s="39" t="s">
        <v>653</v>
      </c>
      <c r="E728" s="36">
        <v>0.0</v>
      </c>
      <c r="F728" s="42">
        <v>3.0</v>
      </c>
      <c r="G728" s="44" t="s">
        <v>387</v>
      </c>
      <c r="H728" s="36" t="s">
        <v>275</v>
      </c>
      <c r="I728" s="20"/>
    </row>
    <row r="729" ht="15.75" customHeight="1">
      <c r="A729" s="70"/>
      <c r="B729" s="75"/>
      <c r="C729" s="38"/>
      <c r="D729" s="39" t="s">
        <v>653</v>
      </c>
      <c r="E729" s="36">
        <v>0.0</v>
      </c>
      <c r="F729" s="42">
        <v>4.0</v>
      </c>
      <c r="G729" s="44" t="s">
        <v>51</v>
      </c>
      <c r="H729" s="36" t="s">
        <v>655</v>
      </c>
      <c r="I729" s="20"/>
    </row>
    <row r="730" ht="15.75" customHeight="1">
      <c r="A730" s="70"/>
      <c r="B730" s="75"/>
      <c r="C730" s="38"/>
      <c r="D730" s="39" t="s">
        <v>653</v>
      </c>
      <c r="E730" s="36">
        <v>0.0</v>
      </c>
      <c r="F730" s="42">
        <v>14.0</v>
      </c>
      <c r="G730" s="44" t="s">
        <v>656</v>
      </c>
      <c r="H730" s="36" t="s">
        <v>281</v>
      </c>
      <c r="I730" s="20"/>
    </row>
    <row r="731" ht="15.75" customHeight="1">
      <c r="A731" s="70"/>
      <c r="B731" s="75"/>
      <c r="C731" s="38"/>
      <c r="D731" s="39" t="s">
        <v>653</v>
      </c>
      <c r="E731" s="36">
        <v>0.0</v>
      </c>
      <c r="F731" s="42">
        <v>15.0</v>
      </c>
      <c r="G731" s="44" t="s">
        <v>657</v>
      </c>
      <c r="H731" s="36" t="s">
        <v>273</v>
      </c>
      <c r="I731" s="20"/>
    </row>
    <row r="732" ht="15.75" customHeight="1">
      <c r="A732" s="70"/>
      <c r="B732" s="75"/>
      <c r="C732" s="38"/>
      <c r="D732" s="39" t="s">
        <v>659</v>
      </c>
      <c r="E732" s="36">
        <v>0.0</v>
      </c>
      <c r="F732" s="42">
        <v>1.0</v>
      </c>
      <c r="G732" s="44" t="s">
        <v>43</v>
      </c>
      <c r="H732" s="36">
        <v>1.0</v>
      </c>
      <c r="I732" s="20"/>
    </row>
    <row r="733" ht="15.75" customHeight="1">
      <c r="A733" s="70"/>
      <c r="B733" s="75"/>
      <c r="C733" s="38"/>
      <c r="D733" s="39" t="s">
        <v>659</v>
      </c>
      <c r="E733" s="36">
        <v>0.0</v>
      </c>
      <c r="F733" s="42">
        <v>2.0</v>
      </c>
      <c r="G733" s="44" t="s">
        <v>47</v>
      </c>
      <c r="H733" s="36">
        <v>2.0</v>
      </c>
      <c r="I733" s="20"/>
    </row>
    <row r="734" ht="15.75" customHeight="1">
      <c r="A734" s="70"/>
      <c r="B734" s="75"/>
      <c r="C734" s="38"/>
      <c r="D734" s="39" t="s">
        <v>659</v>
      </c>
      <c r="E734" s="36">
        <v>0.0</v>
      </c>
      <c r="F734" s="42">
        <v>3.0</v>
      </c>
      <c r="G734" s="44" t="s">
        <v>50</v>
      </c>
      <c r="H734" s="36">
        <v>3.0</v>
      </c>
      <c r="I734" s="20"/>
    </row>
    <row r="735" ht="15.75" customHeight="1">
      <c r="A735" s="70"/>
      <c r="B735" s="75"/>
      <c r="C735" s="38"/>
      <c r="D735" s="39" t="s">
        <v>659</v>
      </c>
      <c r="E735" s="36">
        <v>0.0</v>
      </c>
      <c r="F735" s="42">
        <v>4.0</v>
      </c>
      <c r="G735" s="44" t="s">
        <v>51</v>
      </c>
      <c r="H735" s="36">
        <v>4.0</v>
      </c>
      <c r="I735" s="20"/>
    </row>
    <row r="736" ht="15.75" customHeight="1">
      <c r="A736" s="70"/>
      <c r="B736" s="75"/>
      <c r="C736" s="38"/>
      <c r="D736" s="39" t="s">
        <v>659</v>
      </c>
      <c r="E736" s="36">
        <v>0.0</v>
      </c>
      <c r="F736" s="42">
        <v>5.0</v>
      </c>
      <c r="G736" s="44" t="s">
        <v>54</v>
      </c>
      <c r="H736" s="36">
        <v>5.0</v>
      </c>
      <c r="I736" s="20"/>
    </row>
    <row r="737" ht="15.75" customHeight="1">
      <c r="A737" s="70"/>
      <c r="B737" s="75"/>
      <c r="C737" s="38"/>
      <c r="D737" s="39" t="s">
        <v>659</v>
      </c>
      <c r="E737" s="36">
        <v>0.0</v>
      </c>
      <c r="F737" s="42">
        <v>6.0</v>
      </c>
      <c r="G737" s="44" t="s">
        <v>57</v>
      </c>
      <c r="H737" s="36">
        <v>6.0</v>
      </c>
      <c r="I737" s="20"/>
    </row>
    <row r="738" ht="15.75" customHeight="1">
      <c r="A738" s="70"/>
      <c r="B738" s="75"/>
      <c r="C738" s="38"/>
      <c r="D738" s="39" t="s">
        <v>661</v>
      </c>
      <c r="E738" s="36">
        <v>0.0</v>
      </c>
      <c r="F738" s="42">
        <v>1.0</v>
      </c>
      <c r="G738" s="44" t="s">
        <v>609</v>
      </c>
      <c r="H738" s="36" t="s">
        <v>616</v>
      </c>
      <c r="I738" s="20"/>
    </row>
    <row r="739" ht="15.75" customHeight="1">
      <c r="A739" s="70"/>
      <c r="B739" s="75"/>
      <c r="C739" s="38"/>
      <c r="D739" s="39" t="s">
        <v>661</v>
      </c>
      <c r="E739" s="36">
        <v>0.0</v>
      </c>
      <c r="F739" s="42">
        <v>3.0</v>
      </c>
      <c r="G739" s="44" t="s">
        <v>387</v>
      </c>
      <c r="H739" s="36" t="s">
        <v>620</v>
      </c>
      <c r="I739" s="20"/>
    </row>
    <row r="740" ht="15.75" customHeight="1">
      <c r="A740" s="70"/>
      <c r="B740" s="75"/>
      <c r="C740" s="38"/>
      <c r="D740" s="39" t="s">
        <v>661</v>
      </c>
      <c r="E740" s="36">
        <v>0.0</v>
      </c>
      <c r="F740" s="42">
        <v>4.0</v>
      </c>
      <c r="G740" s="44" t="s">
        <v>51</v>
      </c>
      <c r="H740" s="36" t="s">
        <v>622</v>
      </c>
      <c r="I740" s="20"/>
    </row>
    <row r="741" ht="15.75" customHeight="1">
      <c r="A741" s="70"/>
      <c r="B741" s="75"/>
      <c r="C741" s="38"/>
      <c r="D741" s="39" t="s">
        <v>661</v>
      </c>
      <c r="E741" s="36">
        <v>0.0</v>
      </c>
      <c r="F741" s="42">
        <v>15.0</v>
      </c>
      <c r="G741" s="44" t="s">
        <v>623</v>
      </c>
      <c r="H741" s="36" t="s">
        <v>624</v>
      </c>
      <c r="I741" s="20"/>
    </row>
    <row r="742" ht="15.75" customHeight="1">
      <c r="A742" s="70"/>
      <c r="B742" s="75"/>
      <c r="C742" s="38"/>
      <c r="D742" s="39" t="s">
        <v>664</v>
      </c>
      <c r="E742" s="36">
        <v>0.0</v>
      </c>
      <c r="F742" s="42">
        <v>1.0</v>
      </c>
      <c r="G742" s="44" t="s">
        <v>43</v>
      </c>
      <c r="H742" s="36">
        <v>1.0</v>
      </c>
      <c r="I742" s="20"/>
    </row>
    <row r="743" ht="15.75" customHeight="1">
      <c r="A743" s="70"/>
      <c r="B743" s="75"/>
      <c r="C743" s="38"/>
      <c r="D743" s="39" t="s">
        <v>664</v>
      </c>
      <c r="E743" s="36">
        <v>0.0</v>
      </c>
      <c r="F743" s="42">
        <v>2.0</v>
      </c>
      <c r="G743" s="44" t="s">
        <v>47</v>
      </c>
      <c r="H743" s="36">
        <v>2.0</v>
      </c>
      <c r="I743" s="20"/>
    </row>
    <row r="744" ht="15.75" customHeight="1">
      <c r="A744" s="70"/>
      <c r="B744" s="75"/>
      <c r="C744" s="38"/>
      <c r="D744" s="39" t="s">
        <v>664</v>
      </c>
      <c r="E744" s="36">
        <v>0.0</v>
      </c>
      <c r="F744" s="42">
        <v>3.0</v>
      </c>
      <c r="G744" s="44" t="s">
        <v>50</v>
      </c>
      <c r="H744" s="36">
        <v>3.0</v>
      </c>
      <c r="I744" s="20"/>
    </row>
    <row r="745" ht="15.75" customHeight="1">
      <c r="A745" s="70"/>
      <c r="B745" s="75"/>
      <c r="C745" s="38"/>
      <c r="D745" s="39" t="s">
        <v>664</v>
      </c>
      <c r="E745" s="36">
        <v>0.0</v>
      </c>
      <c r="F745" s="42">
        <v>4.0</v>
      </c>
      <c r="G745" s="44" t="s">
        <v>51</v>
      </c>
      <c r="H745" s="36">
        <v>4.0</v>
      </c>
      <c r="I745" s="20"/>
    </row>
    <row r="746" ht="15.75" customHeight="1">
      <c r="A746" s="70"/>
      <c r="B746" s="75"/>
      <c r="C746" s="38"/>
      <c r="D746" s="39" t="s">
        <v>664</v>
      </c>
      <c r="E746" s="36">
        <v>0.0</v>
      </c>
      <c r="F746" s="42">
        <v>5.0</v>
      </c>
      <c r="G746" s="44" t="s">
        <v>54</v>
      </c>
      <c r="H746" s="36">
        <v>5.0</v>
      </c>
      <c r="I746" s="20"/>
    </row>
    <row r="747" ht="15.75" customHeight="1">
      <c r="A747" s="70"/>
      <c r="B747" s="75"/>
      <c r="C747" s="38"/>
      <c r="D747" s="39" t="s">
        <v>664</v>
      </c>
      <c r="E747" s="36">
        <v>0.0</v>
      </c>
      <c r="F747" s="42">
        <v>6.0</v>
      </c>
      <c r="G747" s="44" t="s">
        <v>57</v>
      </c>
      <c r="H747" s="36">
        <v>6.0</v>
      </c>
      <c r="I747" s="20"/>
    </row>
    <row r="748" ht="15.75" customHeight="1">
      <c r="A748" s="70"/>
      <c r="B748" s="75"/>
      <c r="C748" s="38"/>
      <c r="D748" s="39" t="s">
        <v>665</v>
      </c>
      <c r="E748" s="36">
        <v>0.0</v>
      </c>
      <c r="F748" s="42">
        <v>3.0</v>
      </c>
      <c r="G748" s="44" t="s">
        <v>50</v>
      </c>
      <c r="H748" s="36">
        <v>3.0</v>
      </c>
      <c r="I748" s="20"/>
    </row>
    <row r="749" ht="15.75" customHeight="1">
      <c r="A749" s="70"/>
      <c r="B749" s="75"/>
      <c r="C749" s="38"/>
      <c r="D749" s="39" t="s">
        <v>665</v>
      </c>
      <c r="E749" s="36">
        <v>0.0</v>
      </c>
      <c r="F749" s="42">
        <v>4.0</v>
      </c>
      <c r="G749" s="44" t="s">
        <v>52</v>
      </c>
      <c r="H749" s="36">
        <v>5.0</v>
      </c>
      <c r="I749" s="20"/>
    </row>
    <row r="750" ht="15.75" customHeight="1">
      <c r="A750" s="70"/>
      <c r="B750" s="75"/>
      <c r="C750" s="38"/>
      <c r="D750" s="39" t="s">
        <v>665</v>
      </c>
      <c r="E750" s="36">
        <v>0.0</v>
      </c>
      <c r="F750" s="42">
        <v>5.0</v>
      </c>
      <c r="G750" s="44" t="s">
        <v>54</v>
      </c>
      <c r="H750" s="36">
        <v>6.0</v>
      </c>
      <c r="I750" s="20"/>
    </row>
    <row r="751" ht="15.75" customHeight="1">
      <c r="A751" s="70"/>
      <c r="B751" s="75"/>
      <c r="C751" s="38"/>
      <c r="D751" s="39" t="s">
        <v>665</v>
      </c>
      <c r="E751" s="36">
        <v>0.0</v>
      </c>
      <c r="F751" s="42">
        <v>6.0</v>
      </c>
      <c r="G751" s="44" t="s">
        <v>57</v>
      </c>
      <c r="H751" s="36">
        <v>7.0</v>
      </c>
      <c r="I751" s="20"/>
    </row>
    <row r="752" ht="15.75" customHeight="1">
      <c r="A752" s="70"/>
      <c r="B752" s="75"/>
      <c r="C752" s="38"/>
      <c r="D752" s="39" t="s">
        <v>665</v>
      </c>
      <c r="E752" s="36">
        <v>0.0</v>
      </c>
      <c r="F752" s="42">
        <v>7.0</v>
      </c>
      <c r="G752" s="44" t="s">
        <v>59</v>
      </c>
      <c r="H752" s="36">
        <v>1.0</v>
      </c>
      <c r="I752" s="20"/>
    </row>
    <row r="753" ht="15.75" customHeight="1">
      <c r="A753" s="70"/>
      <c r="B753" s="75"/>
      <c r="C753" s="38"/>
      <c r="D753" s="39" t="s">
        <v>665</v>
      </c>
      <c r="E753" s="36">
        <v>0.0</v>
      </c>
      <c r="F753" s="42">
        <v>8.0</v>
      </c>
      <c r="G753" s="44" t="s">
        <v>62</v>
      </c>
      <c r="H753" s="36">
        <v>2.0</v>
      </c>
      <c r="I753" s="20"/>
    </row>
    <row r="754" ht="15.75" customHeight="1">
      <c r="A754" s="70"/>
      <c r="B754" s="75"/>
      <c r="C754" s="38"/>
      <c r="D754" s="39" t="s">
        <v>665</v>
      </c>
      <c r="E754" s="36">
        <v>0.0</v>
      </c>
      <c r="F754" s="42">
        <v>9.0</v>
      </c>
      <c r="G754" s="44" t="s">
        <v>63</v>
      </c>
      <c r="H754" s="36">
        <v>4.0</v>
      </c>
      <c r="I754" s="20"/>
    </row>
    <row r="755" ht="15.75" customHeight="1">
      <c r="A755" s="70"/>
      <c r="B755" s="75"/>
      <c r="C755" s="38"/>
      <c r="D755" s="39" t="s">
        <v>668</v>
      </c>
      <c r="E755" s="36">
        <v>0.0</v>
      </c>
      <c r="F755" s="42">
        <v>3.0</v>
      </c>
      <c r="G755" s="44" t="s">
        <v>50</v>
      </c>
      <c r="H755" s="36">
        <v>3.0</v>
      </c>
      <c r="I755" s="20"/>
    </row>
    <row r="756" ht="15.75" customHeight="1">
      <c r="A756" s="70"/>
      <c r="B756" s="75"/>
      <c r="C756" s="38"/>
      <c r="D756" s="39" t="s">
        <v>668</v>
      </c>
      <c r="E756" s="36">
        <v>0.0</v>
      </c>
      <c r="F756" s="42">
        <v>4.0</v>
      </c>
      <c r="G756" s="44" t="s">
        <v>52</v>
      </c>
      <c r="H756" s="36">
        <v>5.0</v>
      </c>
      <c r="I756" s="20"/>
    </row>
    <row r="757" ht="15.75" customHeight="1">
      <c r="A757" s="70"/>
      <c r="B757" s="75"/>
      <c r="C757" s="38"/>
      <c r="D757" s="39" t="s">
        <v>668</v>
      </c>
      <c r="E757" s="36">
        <v>0.0</v>
      </c>
      <c r="F757" s="42">
        <v>5.0</v>
      </c>
      <c r="G757" s="44" t="s">
        <v>54</v>
      </c>
      <c r="H757" s="36">
        <v>6.0</v>
      </c>
      <c r="I757" s="20"/>
    </row>
    <row r="758" ht="15.75" customHeight="1">
      <c r="A758" s="70"/>
      <c r="B758" s="75"/>
      <c r="C758" s="38"/>
      <c r="D758" s="39" t="s">
        <v>668</v>
      </c>
      <c r="E758" s="36">
        <v>0.0</v>
      </c>
      <c r="F758" s="42">
        <v>6.0</v>
      </c>
      <c r="G758" s="44" t="s">
        <v>213</v>
      </c>
      <c r="H758" s="36">
        <v>7.0</v>
      </c>
      <c r="I758" s="20"/>
    </row>
    <row r="759" ht="15.75" customHeight="1">
      <c r="A759" s="70"/>
      <c r="B759" s="75"/>
      <c r="C759" s="38"/>
      <c r="D759" s="39" t="s">
        <v>668</v>
      </c>
      <c r="E759" s="36">
        <v>0.0</v>
      </c>
      <c r="F759" s="42">
        <v>7.0</v>
      </c>
      <c r="G759" s="44" t="s">
        <v>59</v>
      </c>
      <c r="H759" s="36">
        <v>1.0</v>
      </c>
      <c r="I759" s="20"/>
    </row>
    <row r="760" ht="15.75" customHeight="1">
      <c r="A760" s="70"/>
      <c r="B760" s="75"/>
      <c r="C760" s="38"/>
      <c r="D760" s="39" t="s">
        <v>668</v>
      </c>
      <c r="E760" s="36">
        <v>0.0</v>
      </c>
      <c r="F760" s="42">
        <v>8.0</v>
      </c>
      <c r="G760" s="44" t="s">
        <v>225</v>
      </c>
      <c r="H760" s="36">
        <v>2.0</v>
      </c>
      <c r="I760" s="20"/>
    </row>
    <row r="761" ht="15.75" customHeight="1">
      <c r="A761" s="70"/>
      <c r="B761" s="75"/>
      <c r="C761" s="38"/>
      <c r="D761" s="39" t="s">
        <v>668</v>
      </c>
      <c r="E761" s="36">
        <v>0.0</v>
      </c>
      <c r="F761" s="42">
        <v>9.0</v>
      </c>
      <c r="G761" s="44" t="s">
        <v>63</v>
      </c>
      <c r="H761" s="36">
        <v>4.0</v>
      </c>
      <c r="I761" s="20"/>
    </row>
    <row r="762" ht="15.75" customHeight="1">
      <c r="A762" s="70"/>
      <c r="B762" s="75"/>
      <c r="C762" s="38"/>
      <c r="D762" s="39" t="s">
        <v>671</v>
      </c>
      <c r="E762" s="36">
        <v>0.0</v>
      </c>
      <c r="F762" s="42">
        <v>1.0</v>
      </c>
      <c r="G762" s="44" t="s">
        <v>43</v>
      </c>
      <c r="H762" s="36">
        <v>1.0</v>
      </c>
      <c r="I762" s="20"/>
    </row>
    <row r="763" ht="15.75" customHeight="1">
      <c r="A763" s="70"/>
      <c r="B763" s="75"/>
      <c r="C763" s="38"/>
      <c r="D763" s="39" t="s">
        <v>671</v>
      </c>
      <c r="E763" s="36">
        <v>0.0</v>
      </c>
      <c r="F763" s="42">
        <v>2.0</v>
      </c>
      <c r="G763" s="44" t="s">
        <v>47</v>
      </c>
      <c r="H763" s="36">
        <v>2.0</v>
      </c>
      <c r="I763" s="20"/>
    </row>
    <row r="764" ht="15.75" customHeight="1">
      <c r="A764" s="70"/>
      <c r="B764" s="75"/>
      <c r="C764" s="38"/>
      <c r="D764" s="39" t="s">
        <v>671</v>
      </c>
      <c r="E764" s="36">
        <v>0.0</v>
      </c>
      <c r="F764" s="42">
        <v>3.0</v>
      </c>
      <c r="G764" s="44" t="s">
        <v>50</v>
      </c>
      <c r="H764" s="36">
        <v>3.0</v>
      </c>
      <c r="I764" s="20"/>
    </row>
    <row r="765" ht="15.75" customHeight="1">
      <c r="A765" s="70"/>
      <c r="B765" s="75"/>
      <c r="C765" s="38"/>
      <c r="D765" s="39" t="s">
        <v>671</v>
      </c>
      <c r="E765" s="36">
        <v>0.0</v>
      </c>
      <c r="F765" s="42">
        <v>4.0</v>
      </c>
      <c r="G765" s="44" t="s">
        <v>51</v>
      </c>
      <c r="H765" s="36">
        <v>4.0</v>
      </c>
      <c r="I765" s="20"/>
    </row>
    <row r="766" ht="15.75" customHeight="1">
      <c r="A766" s="70"/>
      <c r="B766" s="75"/>
      <c r="C766" s="38"/>
      <c r="D766" s="39" t="s">
        <v>671</v>
      </c>
      <c r="E766" s="36">
        <v>0.0</v>
      </c>
      <c r="F766" s="42">
        <v>5.0</v>
      </c>
      <c r="G766" s="44" t="s">
        <v>54</v>
      </c>
      <c r="H766" s="36">
        <v>5.0</v>
      </c>
      <c r="I766" s="20"/>
    </row>
    <row r="767" ht="15.75" customHeight="1">
      <c r="A767" s="70"/>
      <c r="B767" s="75"/>
      <c r="C767" s="38"/>
      <c r="D767" s="39" t="s">
        <v>671</v>
      </c>
      <c r="E767" s="36">
        <v>0.0</v>
      </c>
      <c r="F767" s="42">
        <v>6.0</v>
      </c>
      <c r="G767" s="44" t="s">
        <v>213</v>
      </c>
      <c r="H767" s="36">
        <v>6.0</v>
      </c>
      <c r="I767" s="20"/>
    </row>
    <row r="768" ht="15.75" customHeight="1">
      <c r="A768" s="70"/>
      <c r="B768" s="75"/>
      <c r="C768" s="38"/>
      <c r="D768" s="39" t="s">
        <v>672</v>
      </c>
      <c r="E768" s="36">
        <v>0.0</v>
      </c>
      <c r="F768" s="42">
        <v>3.0</v>
      </c>
      <c r="G768" s="44" t="s">
        <v>50</v>
      </c>
      <c r="H768" s="36">
        <v>3.0</v>
      </c>
      <c r="I768" s="20"/>
    </row>
    <row r="769" ht="15.75" customHeight="1">
      <c r="A769" s="70"/>
      <c r="B769" s="75"/>
      <c r="C769" s="38"/>
      <c r="D769" s="39" t="s">
        <v>672</v>
      </c>
      <c r="E769" s="36">
        <v>0.0</v>
      </c>
      <c r="F769" s="42">
        <v>4.0</v>
      </c>
      <c r="G769" s="44" t="s">
        <v>52</v>
      </c>
      <c r="H769" s="36">
        <v>5.0</v>
      </c>
      <c r="I769" s="20"/>
    </row>
    <row r="770" ht="15.75" customHeight="1">
      <c r="A770" s="70"/>
      <c r="B770" s="75"/>
      <c r="C770" s="38"/>
      <c r="D770" s="39" t="s">
        <v>672</v>
      </c>
      <c r="E770" s="36">
        <v>0.0</v>
      </c>
      <c r="F770" s="42">
        <v>5.0</v>
      </c>
      <c r="G770" s="44" t="s">
        <v>54</v>
      </c>
      <c r="H770" s="36">
        <v>6.0</v>
      </c>
      <c r="I770" s="20"/>
    </row>
    <row r="771" ht="15.75" customHeight="1">
      <c r="A771" s="70"/>
      <c r="B771" s="75"/>
      <c r="C771" s="38"/>
      <c r="D771" s="39" t="s">
        <v>672</v>
      </c>
      <c r="E771" s="36">
        <v>0.0</v>
      </c>
      <c r="F771" s="42">
        <v>6.0</v>
      </c>
      <c r="G771" s="44" t="s">
        <v>213</v>
      </c>
      <c r="H771" s="36">
        <v>7.0</v>
      </c>
      <c r="I771" s="20"/>
    </row>
    <row r="772" ht="15.75" customHeight="1">
      <c r="A772" s="70"/>
      <c r="B772" s="75"/>
      <c r="C772" s="38"/>
      <c r="D772" s="39" t="s">
        <v>672</v>
      </c>
      <c r="E772" s="36">
        <v>0.0</v>
      </c>
      <c r="F772" s="42">
        <v>7.0</v>
      </c>
      <c r="G772" s="44" t="s">
        <v>59</v>
      </c>
      <c r="H772" s="36">
        <v>1.0</v>
      </c>
      <c r="I772" s="20"/>
    </row>
    <row r="773" ht="15.75" customHeight="1">
      <c r="A773" s="70"/>
      <c r="B773" s="75"/>
      <c r="C773" s="38"/>
      <c r="D773" s="39" t="s">
        <v>672</v>
      </c>
      <c r="E773" s="36">
        <v>0.0</v>
      </c>
      <c r="F773" s="42">
        <v>8.0</v>
      </c>
      <c r="G773" s="44" t="s">
        <v>225</v>
      </c>
      <c r="H773" s="36">
        <v>2.0</v>
      </c>
      <c r="I773" s="20"/>
    </row>
    <row r="774" ht="15.75" customHeight="1">
      <c r="A774" s="70"/>
      <c r="B774" s="75"/>
      <c r="C774" s="38"/>
      <c r="D774" s="39" t="s">
        <v>672</v>
      </c>
      <c r="E774" s="36">
        <v>0.0</v>
      </c>
      <c r="F774" s="42">
        <v>9.0</v>
      </c>
      <c r="G774" s="44" t="s">
        <v>63</v>
      </c>
      <c r="H774" s="36">
        <v>4.0</v>
      </c>
      <c r="I774" s="20"/>
    </row>
    <row r="775" ht="15.75" customHeight="1">
      <c r="A775" s="70"/>
      <c r="B775" s="75"/>
      <c r="C775" s="38"/>
      <c r="D775" s="39" t="s">
        <v>677</v>
      </c>
      <c r="E775" s="36">
        <v>0.0</v>
      </c>
      <c r="F775" s="42">
        <v>3.0</v>
      </c>
      <c r="G775" s="44" t="s">
        <v>50</v>
      </c>
      <c r="H775" s="36">
        <v>3.0</v>
      </c>
      <c r="I775" s="20"/>
    </row>
    <row r="776" ht="15.75" customHeight="1">
      <c r="A776" s="70"/>
      <c r="B776" s="75"/>
      <c r="C776" s="38"/>
      <c r="D776" s="39" t="s">
        <v>677</v>
      </c>
      <c r="E776" s="36">
        <v>0.0</v>
      </c>
      <c r="F776" s="42">
        <v>4.0</v>
      </c>
      <c r="G776" s="44" t="s">
        <v>52</v>
      </c>
      <c r="H776" s="36">
        <v>5.0</v>
      </c>
      <c r="I776" s="20"/>
    </row>
    <row r="777" ht="15.75" customHeight="1">
      <c r="A777" s="70"/>
      <c r="B777" s="75"/>
      <c r="C777" s="38"/>
      <c r="D777" s="39" t="s">
        <v>677</v>
      </c>
      <c r="E777" s="36">
        <v>0.0</v>
      </c>
      <c r="F777" s="42">
        <v>5.0</v>
      </c>
      <c r="G777" s="44" t="s">
        <v>54</v>
      </c>
      <c r="H777" s="36">
        <v>6.0</v>
      </c>
      <c r="I777" s="20"/>
    </row>
    <row r="778" ht="15.75" customHeight="1">
      <c r="A778" s="70"/>
      <c r="B778" s="75"/>
      <c r="C778" s="38"/>
      <c r="D778" s="39" t="s">
        <v>677</v>
      </c>
      <c r="E778" s="36">
        <v>0.0</v>
      </c>
      <c r="F778" s="42">
        <v>6.0</v>
      </c>
      <c r="G778" s="44" t="s">
        <v>57</v>
      </c>
      <c r="H778" s="36">
        <v>7.0</v>
      </c>
      <c r="I778" s="20"/>
    </row>
    <row r="779" ht="15.75" customHeight="1">
      <c r="A779" s="70"/>
      <c r="B779" s="75"/>
      <c r="C779" s="38"/>
      <c r="D779" s="39" t="s">
        <v>677</v>
      </c>
      <c r="E779" s="36">
        <v>0.0</v>
      </c>
      <c r="F779" s="42">
        <v>7.0</v>
      </c>
      <c r="G779" s="44" t="s">
        <v>59</v>
      </c>
      <c r="H779" s="36">
        <v>1.0</v>
      </c>
      <c r="I779" s="20"/>
    </row>
    <row r="780" ht="15.75" customHeight="1">
      <c r="A780" s="70"/>
      <c r="B780" s="75"/>
      <c r="C780" s="38"/>
      <c r="D780" s="39" t="s">
        <v>677</v>
      </c>
      <c r="E780" s="36">
        <v>0.0</v>
      </c>
      <c r="F780" s="42">
        <v>8.0</v>
      </c>
      <c r="G780" s="44" t="s">
        <v>62</v>
      </c>
      <c r="H780" s="36">
        <v>2.0</v>
      </c>
      <c r="I780" s="20"/>
    </row>
    <row r="781" ht="15.75" customHeight="1">
      <c r="A781" s="70"/>
      <c r="B781" s="75"/>
      <c r="C781" s="38"/>
      <c r="D781" s="39" t="s">
        <v>677</v>
      </c>
      <c r="E781" s="36">
        <v>0.0</v>
      </c>
      <c r="F781" s="42">
        <v>9.0</v>
      </c>
      <c r="G781" s="44" t="s">
        <v>63</v>
      </c>
      <c r="H781" s="36">
        <v>4.0</v>
      </c>
      <c r="I781" s="20"/>
    </row>
    <row r="782" ht="15.75" customHeight="1">
      <c r="A782" s="70"/>
      <c r="B782" s="75"/>
      <c r="C782" s="38"/>
      <c r="D782" s="39" t="s">
        <v>678</v>
      </c>
      <c r="E782" s="36">
        <v>0.0</v>
      </c>
      <c r="F782" s="42">
        <v>1.0</v>
      </c>
      <c r="G782" s="44" t="s">
        <v>43</v>
      </c>
      <c r="H782" s="36">
        <v>1.0</v>
      </c>
      <c r="I782" s="20"/>
    </row>
    <row r="783" ht="15.75" customHeight="1">
      <c r="A783" s="70"/>
      <c r="B783" s="75"/>
      <c r="C783" s="38"/>
      <c r="D783" s="39" t="s">
        <v>678</v>
      </c>
      <c r="E783" s="36">
        <v>0.0</v>
      </c>
      <c r="F783" s="42">
        <v>2.0</v>
      </c>
      <c r="G783" s="44" t="s">
        <v>47</v>
      </c>
      <c r="H783" s="36">
        <v>2.0</v>
      </c>
      <c r="I783" s="20"/>
    </row>
    <row r="784" ht="15.75" customHeight="1">
      <c r="A784" s="70"/>
      <c r="B784" s="75"/>
      <c r="C784" s="38"/>
      <c r="D784" s="39" t="s">
        <v>678</v>
      </c>
      <c r="E784" s="36">
        <v>0.0</v>
      </c>
      <c r="F784" s="42">
        <v>3.0</v>
      </c>
      <c r="G784" s="44" t="s">
        <v>50</v>
      </c>
      <c r="H784" s="36">
        <v>3.0</v>
      </c>
      <c r="I784" s="20"/>
    </row>
    <row r="785" ht="15.75" customHeight="1">
      <c r="A785" s="70"/>
      <c r="B785" s="75"/>
      <c r="C785" s="38"/>
      <c r="D785" s="39" t="s">
        <v>678</v>
      </c>
      <c r="E785" s="36">
        <v>0.0</v>
      </c>
      <c r="F785" s="42">
        <v>4.0</v>
      </c>
      <c r="G785" s="44" t="s">
        <v>51</v>
      </c>
      <c r="H785" s="36">
        <v>4.0</v>
      </c>
      <c r="I785" s="20"/>
    </row>
    <row r="786" ht="15.75" customHeight="1">
      <c r="A786" s="70"/>
      <c r="B786" s="75"/>
      <c r="C786" s="38"/>
      <c r="D786" s="39" t="s">
        <v>678</v>
      </c>
      <c r="E786" s="36">
        <v>0.0</v>
      </c>
      <c r="F786" s="42">
        <v>5.0</v>
      </c>
      <c r="G786" s="44" t="s">
        <v>54</v>
      </c>
      <c r="H786" s="36">
        <v>5.0</v>
      </c>
      <c r="I786" s="20"/>
    </row>
    <row r="787" ht="15.75" customHeight="1">
      <c r="A787" s="70"/>
      <c r="B787" s="75"/>
      <c r="C787" s="38"/>
      <c r="D787" s="39" t="s">
        <v>678</v>
      </c>
      <c r="E787" s="36">
        <v>0.0</v>
      </c>
      <c r="F787" s="42">
        <v>6.0</v>
      </c>
      <c r="G787" s="44" t="s">
        <v>57</v>
      </c>
      <c r="H787" s="36">
        <v>6.0</v>
      </c>
      <c r="I787" s="20"/>
    </row>
    <row r="788" ht="15.75" customHeight="1">
      <c r="A788" s="70"/>
      <c r="B788" s="75"/>
      <c r="C788" s="38"/>
      <c r="D788" s="39" t="s">
        <v>679</v>
      </c>
      <c r="E788" s="36">
        <v>0.0</v>
      </c>
      <c r="F788" s="42">
        <v>1.0</v>
      </c>
      <c r="G788" s="44" t="s">
        <v>680</v>
      </c>
      <c r="H788" s="36">
        <v>51.0</v>
      </c>
      <c r="I788" s="20"/>
    </row>
    <row r="789" ht="15.75" customHeight="1">
      <c r="A789" s="70"/>
      <c r="B789" s="75"/>
      <c r="C789" s="38"/>
      <c r="D789" s="39" t="s">
        <v>679</v>
      </c>
      <c r="E789" s="36">
        <v>0.0</v>
      </c>
      <c r="F789" s="42">
        <v>51.0</v>
      </c>
      <c r="G789" s="44" t="s">
        <v>680</v>
      </c>
      <c r="H789" s="36">
        <v>51.0</v>
      </c>
      <c r="I789" s="20"/>
    </row>
    <row r="790" ht="15.75" customHeight="1">
      <c r="A790" s="70"/>
      <c r="B790" s="75"/>
      <c r="C790" s="38"/>
      <c r="D790" s="39" t="s">
        <v>679</v>
      </c>
      <c r="E790" s="36">
        <v>0.0</v>
      </c>
      <c r="F790" s="42">
        <v>52.0</v>
      </c>
      <c r="G790" s="44" t="s">
        <v>681</v>
      </c>
      <c r="H790" s="36">
        <v>52.0</v>
      </c>
      <c r="I790" s="20"/>
    </row>
    <row r="791" ht="15.75" customHeight="1">
      <c r="A791" s="70"/>
      <c r="B791" s="75"/>
      <c r="C791" s="38"/>
      <c r="D791" s="39" t="s">
        <v>679</v>
      </c>
      <c r="E791" s="36">
        <v>0.0</v>
      </c>
      <c r="F791" s="42">
        <v>53.0</v>
      </c>
      <c r="G791" s="44" t="s">
        <v>680</v>
      </c>
      <c r="H791" s="36">
        <v>53.0</v>
      </c>
      <c r="I791" s="20"/>
    </row>
    <row r="792" ht="15.75" customHeight="1">
      <c r="A792" s="70"/>
      <c r="B792" s="75"/>
      <c r="C792" s="38"/>
      <c r="D792" s="39" t="s">
        <v>679</v>
      </c>
      <c r="E792" s="36">
        <v>0.0</v>
      </c>
      <c r="F792" s="42">
        <v>54.0</v>
      </c>
      <c r="G792" s="44" t="s">
        <v>680</v>
      </c>
      <c r="H792" s="36">
        <v>54.0</v>
      </c>
      <c r="I792" s="20"/>
    </row>
    <row r="793" ht="15.75" customHeight="1">
      <c r="A793" s="70"/>
      <c r="B793" s="75"/>
      <c r="C793" s="38"/>
      <c r="D793" s="39" t="s">
        <v>679</v>
      </c>
      <c r="E793" s="36">
        <v>0.0</v>
      </c>
      <c r="F793" s="42">
        <v>55.0</v>
      </c>
      <c r="G793" s="44" t="s">
        <v>352</v>
      </c>
      <c r="H793" s="36">
        <v>55.0</v>
      </c>
      <c r="I793" s="20"/>
    </row>
    <row r="794" ht="15.75" customHeight="1">
      <c r="A794" s="70"/>
      <c r="B794" s="75"/>
      <c r="C794" s="38"/>
      <c r="D794" s="39" t="s">
        <v>679</v>
      </c>
      <c r="E794" s="36">
        <v>0.0</v>
      </c>
      <c r="F794" s="42">
        <v>56.0</v>
      </c>
      <c r="G794" s="44" t="s">
        <v>51</v>
      </c>
      <c r="H794" s="36">
        <v>56.0</v>
      </c>
      <c r="I794" s="20"/>
    </row>
    <row r="795" ht="15.75" customHeight="1">
      <c r="A795" s="70"/>
      <c r="B795" s="75"/>
      <c r="C795" s="38"/>
      <c r="D795" s="39" t="s">
        <v>679</v>
      </c>
      <c r="E795" s="36">
        <v>0.0</v>
      </c>
      <c r="F795" s="42">
        <v>57.0</v>
      </c>
      <c r="G795" s="44" t="s">
        <v>685</v>
      </c>
      <c r="H795" s="36">
        <v>57.0</v>
      </c>
      <c r="I795" s="20"/>
    </row>
    <row r="796" ht="15.75" customHeight="1">
      <c r="A796" s="70"/>
      <c r="B796" s="75"/>
      <c r="C796" s="38"/>
      <c r="D796" s="39" t="s">
        <v>679</v>
      </c>
      <c r="E796" s="36">
        <v>0.0</v>
      </c>
      <c r="F796" s="42">
        <v>58.0</v>
      </c>
      <c r="G796" s="44" t="s">
        <v>74</v>
      </c>
      <c r="H796" s="36">
        <v>58.0</v>
      </c>
      <c r="I796" s="20"/>
    </row>
    <row r="797" ht="15.75" customHeight="1">
      <c r="A797" s="70"/>
      <c r="B797" s="75"/>
      <c r="C797" s="38"/>
      <c r="D797" s="39" t="s">
        <v>679</v>
      </c>
      <c r="E797" s="36">
        <v>0.0</v>
      </c>
      <c r="F797" s="42">
        <v>59.0</v>
      </c>
      <c r="G797" s="44" t="s">
        <v>687</v>
      </c>
      <c r="H797" s="36">
        <v>59.0</v>
      </c>
      <c r="I797" s="20"/>
    </row>
    <row r="798" ht="15.75" customHeight="1">
      <c r="A798" s="70"/>
      <c r="B798" s="75"/>
      <c r="C798" s="38"/>
      <c r="D798" s="39" t="s">
        <v>679</v>
      </c>
      <c r="E798" s="36">
        <v>0.0</v>
      </c>
      <c r="F798" s="42">
        <v>61.0</v>
      </c>
      <c r="G798" s="44" t="s">
        <v>688</v>
      </c>
      <c r="H798" s="36">
        <v>61.0</v>
      </c>
      <c r="I798" s="20"/>
    </row>
    <row r="799" ht="15.75" customHeight="1">
      <c r="A799" s="70"/>
      <c r="B799" s="75"/>
      <c r="C799" s="38"/>
      <c r="D799" s="39" t="s">
        <v>679</v>
      </c>
      <c r="E799" s="36">
        <v>0.0</v>
      </c>
      <c r="F799" s="42">
        <v>62.0</v>
      </c>
      <c r="G799" s="44" t="s">
        <v>681</v>
      </c>
      <c r="H799" s="36">
        <v>62.0</v>
      </c>
      <c r="I799" s="20"/>
    </row>
    <row r="800" ht="15.75" customHeight="1">
      <c r="A800" s="70"/>
      <c r="B800" s="75"/>
      <c r="C800" s="38"/>
      <c r="D800" s="39" t="s">
        <v>679</v>
      </c>
      <c r="E800" s="36">
        <v>0.0</v>
      </c>
      <c r="F800" s="42">
        <v>63.0</v>
      </c>
      <c r="G800" s="44" t="s">
        <v>689</v>
      </c>
      <c r="H800" s="36">
        <v>63.0</v>
      </c>
      <c r="I800" s="20"/>
    </row>
    <row r="801" ht="15.75" customHeight="1">
      <c r="A801" s="70"/>
      <c r="B801" s="75"/>
      <c r="C801" s="38"/>
      <c r="D801" s="39" t="s">
        <v>679</v>
      </c>
      <c r="E801" s="36">
        <v>0.0</v>
      </c>
      <c r="F801" s="42">
        <v>64.0</v>
      </c>
      <c r="G801" s="44" t="s">
        <v>55</v>
      </c>
      <c r="H801" s="36">
        <v>64.0</v>
      </c>
      <c r="I801" s="20"/>
    </row>
    <row r="802" ht="15.75" customHeight="1">
      <c r="A802" s="70"/>
      <c r="B802" s="75"/>
      <c r="C802" s="38"/>
      <c r="D802" s="39" t="s">
        <v>679</v>
      </c>
      <c r="E802" s="36">
        <v>0.0</v>
      </c>
      <c r="F802" s="42">
        <v>65.0</v>
      </c>
      <c r="G802" s="44" t="s">
        <v>352</v>
      </c>
      <c r="H802" s="36">
        <v>65.0</v>
      </c>
      <c r="I802" s="20"/>
    </row>
    <row r="803" ht="15.75" customHeight="1">
      <c r="A803" s="70"/>
      <c r="B803" s="75"/>
      <c r="C803" s="38"/>
      <c r="D803" s="39" t="s">
        <v>679</v>
      </c>
      <c r="E803" s="36">
        <v>0.0</v>
      </c>
      <c r="F803" s="42">
        <v>66.0</v>
      </c>
      <c r="G803" s="44" t="s">
        <v>51</v>
      </c>
      <c r="H803" s="36">
        <v>66.0</v>
      </c>
      <c r="I803" s="20"/>
    </row>
    <row r="804" ht="15.75" customHeight="1">
      <c r="A804" s="70"/>
      <c r="B804" s="75"/>
      <c r="C804" s="38"/>
      <c r="D804" s="39" t="s">
        <v>679</v>
      </c>
      <c r="E804" s="36">
        <v>0.0</v>
      </c>
      <c r="F804" s="42">
        <v>67.0</v>
      </c>
      <c r="G804" s="44" t="s">
        <v>685</v>
      </c>
      <c r="H804" s="36">
        <v>67.0</v>
      </c>
      <c r="I804" s="20"/>
    </row>
    <row r="805" ht="15.75" customHeight="1">
      <c r="A805" s="70"/>
      <c r="B805" s="75"/>
      <c r="C805" s="38"/>
      <c r="D805" s="39" t="s">
        <v>679</v>
      </c>
      <c r="E805" s="36">
        <v>0.0</v>
      </c>
      <c r="F805" s="42">
        <v>68.0</v>
      </c>
      <c r="G805" s="44" t="s">
        <v>74</v>
      </c>
      <c r="H805" s="36">
        <v>68.0</v>
      </c>
      <c r="I805" s="20"/>
    </row>
    <row r="806" ht="15.75" customHeight="1">
      <c r="A806" s="70"/>
      <c r="B806" s="75"/>
      <c r="C806" s="38"/>
      <c r="D806" s="39" t="s">
        <v>679</v>
      </c>
      <c r="E806" s="36">
        <v>0.0</v>
      </c>
      <c r="F806" s="42">
        <v>69.0</v>
      </c>
      <c r="G806" s="44" t="s">
        <v>693</v>
      </c>
      <c r="H806" s="36">
        <v>69.0</v>
      </c>
      <c r="I806" s="20"/>
    </row>
    <row r="807" ht="15.75" customHeight="1">
      <c r="A807" s="70"/>
      <c r="B807" s="75"/>
      <c r="C807" s="38"/>
      <c r="D807" s="39" t="s">
        <v>679</v>
      </c>
      <c r="E807" s="36">
        <v>0.0</v>
      </c>
      <c r="F807" s="42">
        <v>71.0</v>
      </c>
      <c r="G807" s="44" t="s">
        <v>694</v>
      </c>
      <c r="H807" s="36">
        <v>71.0</v>
      </c>
      <c r="I807" s="20"/>
    </row>
    <row r="808" ht="15.75" customHeight="1">
      <c r="A808" s="70"/>
      <c r="B808" s="75"/>
      <c r="C808" s="38"/>
      <c r="D808" s="39" t="s">
        <v>679</v>
      </c>
      <c r="E808" s="36">
        <v>0.0</v>
      </c>
      <c r="F808" s="42">
        <v>72.0</v>
      </c>
      <c r="G808" s="44" t="s">
        <v>74</v>
      </c>
      <c r="H808" s="36">
        <v>72.0</v>
      </c>
      <c r="I808" s="20"/>
    </row>
    <row r="809" ht="15.75" customHeight="1">
      <c r="A809" s="70"/>
      <c r="B809" s="75"/>
      <c r="C809" s="38"/>
      <c r="D809" s="39" t="s">
        <v>679</v>
      </c>
      <c r="E809" s="36">
        <v>0.0</v>
      </c>
      <c r="F809" s="42">
        <v>78.0</v>
      </c>
      <c r="G809" s="44" t="s">
        <v>74</v>
      </c>
      <c r="H809" s="36">
        <v>78.0</v>
      </c>
      <c r="I809" s="20"/>
    </row>
    <row r="810" ht="15.75" customHeight="1">
      <c r="A810" s="70"/>
      <c r="B810" s="75"/>
      <c r="C810" s="38"/>
      <c r="D810" s="39" t="s">
        <v>679</v>
      </c>
      <c r="E810" s="36">
        <v>0.0</v>
      </c>
      <c r="F810" s="42">
        <v>79.0</v>
      </c>
      <c r="G810" s="44" t="s">
        <v>697</v>
      </c>
      <c r="H810" s="36">
        <v>79.0</v>
      </c>
      <c r="I810" s="20"/>
    </row>
    <row r="811" ht="15.75" customHeight="1">
      <c r="A811" s="70"/>
      <c r="B811" s="75"/>
      <c r="C811" s="38"/>
      <c r="D811" s="39" t="s">
        <v>679</v>
      </c>
      <c r="E811" s="36">
        <v>0.0</v>
      </c>
      <c r="F811" s="42">
        <v>81.0</v>
      </c>
      <c r="G811" s="44" t="s">
        <v>698</v>
      </c>
      <c r="H811" s="36">
        <v>81.0</v>
      </c>
      <c r="I811" s="20"/>
    </row>
    <row r="812" ht="15.75" customHeight="1">
      <c r="A812" s="70"/>
      <c r="B812" s="75"/>
      <c r="C812" s="38"/>
      <c r="D812" s="39" t="s">
        <v>679</v>
      </c>
      <c r="E812" s="36">
        <v>4303103.0</v>
      </c>
      <c r="F812" s="42">
        <v>52.0</v>
      </c>
      <c r="G812" s="44" t="s">
        <v>699</v>
      </c>
      <c r="H812" s="36">
        <v>52.0</v>
      </c>
      <c r="I812" s="20"/>
    </row>
    <row r="813" ht="15.75" customHeight="1">
      <c r="A813" s="70"/>
      <c r="B813" s="75"/>
      <c r="C813" s="38"/>
      <c r="D813" s="39" t="s">
        <v>679</v>
      </c>
      <c r="E813" s="36">
        <v>4303103.0</v>
      </c>
      <c r="F813" s="42">
        <v>53.0</v>
      </c>
      <c r="G813" s="44" t="s">
        <v>700</v>
      </c>
      <c r="H813" s="36">
        <v>53.0</v>
      </c>
      <c r="I813" s="20"/>
    </row>
    <row r="814" ht="15.75" customHeight="1">
      <c r="A814" s="70"/>
      <c r="B814" s="75"/>
      <c r="C814" s="38"/>
      <c r="D814" s="39" t="s">
        <v>679</v>
      </c>
      <c r="E814" s="36">
        <v>4303103.0</v>
      </c>
      <c r="F814" s="42">
        <v>58.0</v>
      </c>
      <c r="G814" s="44" t="s">
        <v>424</v>
      </c>
      <c r="H814" s="36">
        <v>58.0</v>
      </c>
      <c r="I814" s="20"/>
    </row>
    <row r="815" ht="15.75" customHeight="1">
      <c r="A815" s="70"/>
      <c r="B815" s="75"/>
      <c r="C815" s="38"/>
      <c r="D815" s="39" t="s">
        <v>679</v>
      </c>
      <c r="E815" s="36">
        <v>4303103.0</v>
      </c>
      <c r="F815" s="42">
        <v>59.0</v>
      </c>
      <c r="G815" s="44" t="s">
        <v>697</v>
      </c>
      <c r="H815" s="36">
        <v>59.0</v>
      </c>
      <c r="I815" s="20"/>
    </row>
    <row r="816" ht="15.75" customHeight="1">
      <c r="A816" s="70"/>
      <c r="B816" s="75"/>
      <c r="C816" s="38"/>
      <c r="D816" s="39" t="s">
        <v>679</v>
      </c>
      <c r="E816" s="36">
        <v>4303103.0</v>
      </c>
      <c r="F816" s="42">
        <v>62.0</v>
      </c>
      <c r="G816" s="44" t="s">
        <v>701</v>
      </c>
      <c r="H816" s="36">
        <v>62.0</v>
      </c>
      <c r="I816" s="20"/>
    </row>
    <row r="817" ht="15.75" customHeight="1">
      <c r="A817" s="70"/>
      <c r="B817" s="75"/>
      <c r="C817" s="38"/>
      <c r="D817" s="39" t="s">
        <v>679</v>
      </c>
      <c r="E817" s="36">
        <v>4303103.0</v>
      </c>
      <c r="F817" s="42">
        <v>63.0</v>
      </c>
      <c r="G817" s="44" t="s">
        <v>704</v>
      </c>
      <c r="H817" s="36">
        <v>63.0</v>
      </c>
      <c r="I817" s="20"/>
    </row>
    <row r="818" ht="15.75" customHeight="1">
      <c r="A818" s="70"/>
      <c r="B818" s="75"/>
      <c r="C818" s="38"/>
      <c r="D818" s="39" t="s">
        <v>679</v>
      </c>
      <c r="E818" s="36">
        <v>4303103.0</v>
      </c>
      <c r="F818" s="42">
        <v>64.0</v>
      </c>
      <c r="G818" s="44" t="s">
        <v>706</v>
      </c>
      <c r="H818" s="36">
        <v>64.0</v>
      </c>
      <c r="I818" s="20"/>
    </row>
    <row r="819" ht="15.75" customHeight="1">
      <c r="A819" s="70"/>
      <c r="B819" s="75"/>
      <c r="C819" s="38"/>
      <c r="D819" s="39" t="s">
        <v>679</v>
      </c>
      <c r="E819" s="36">
        <v>4303103.0</v>
      </c>
      <c r="F819" s="42">
        <v>68.0</v>
      </c>
      <c r="G819" s="44" t="s">
        <v>74</v>
      </c>
      <c r="H819" s="36">
        <v>68.0</v>
      </c>
      <c r="I819" s="20"/>
    </row>
    <row r="820" ht="15.75" customHeight="1">
      <c r="A820" s="70"/>
      <c r="B820" s="75"/>
      <c r="C820" s="38"/>
      <c r="D820" s="39" t="s">
        <v>679</v>
      </c>
      <c r="E820" s="36">
        <v>4303103.0</v>
      </c>
      <c r="F820" s="42">
        <v>69.0</v>
      </c>
      <c r="G820" s="44" t="s">
        <v>697</v>
      </c>
      <c r="H820" s="36">
        <v>69.0</v>
      </c>
      <c r="I820" s="20"/>
    </row>
    <row r="821" ht="15.75" customHeight="1">
      <c r="A821" s="70"/>
      <c r="B821" s="75"/>
      <c r="C821" s="38"/>
      <c r="D821" s="39" t="s">
        <v>679</v>
      </c>
      <c r="E821" s="36">
        <v>4303103.0</v>
      </c>
      <c r="F821" s="42">
        <v>78.0</v>
      </c>
      <c r="G821" s="44" t="s">
        <v>74</v>
      </c>
      <c r="H821" s="36">
        <v>78.0</v>
      </c>
      <c r="I821" s="20"/>
    </row>
    <row r="822" ht="15.75" customHeight="1">
      <c r="A822" s="70"/>
      <c r="B822" s="75"/>
      <c r="C822" s="38"/>
      <c r="D822" s="39" t="s">
        <v>679</v>
      </c>
      <c r="E822" s="36">
        <v>4303103.0</v>
      </c>
      <c r="F822" s="42">
        <v>79.0</v>
      </c>
      <c r="G822" s="44" t="s">
        <v>697</v>
      </c>
      <c r="H822" s="36">
        <v>79.0</v>
      </c>
      <c r="I822" s="20"/>
    </row>
    <row r="823" ht="15.75" customHeight="1">
      <c r="A823" s="70"/>
      <c r="B823" s="75"/>
      <c r="C823" s="38"/>
      <c r="D823" s="39" t="s">
        <v>679</v>
      </c>
      <c r="E823" s="36">
        <v>4303103.0</v>
      </c>
      <c r="F823" s="42">
        <v>81.0</v>
      </c>
      <c r="G823" s="44" t="s">
        <v>698</v>
      </c>
      <c r="H823" s="36">
        <v>81.0</v>
      </c>
      <c r="I823" s="20"/>
    </row>
    <row r="824" ht="15.75" customHeight="1">
      <c r="A824" s="70"/>
      <c r="B824" s="75"/>
      <c r="C824" s="38"/>
      <c r="D824" s="39" t="s">
        <v>679</v>
      </c>
      <c r="E824" s="36">
        <v>4314100.0</v>
      </c>
      <c r="F824" s="42">
        <v>2.0</v>
      </c>
      <c r="G824" s="44" t="s">
        <v>707</v>
      </c>
      <c r="H824" s="36">
        <v>64.0</v>
      </c>
      <c r="I824" s="20"/>
    </row>
    <row r="825" ht="15.75" customHeight="1">
      <c r="A825" s="70"/>
      <c r="B825" s="75"/>
      <c r="C825" s="38"/>
      <c r="D825" s="39" t="s">
        <v>679</v>
      </c>
      <c r="E825" s="36">
        <v>4314100.0</v>
      </c>
      <c r="F825" s="42">
        <v>5.0</v>
      </c>
      <c r="G825" s="44" t="s">
        <v>54</v>
      </c>
      <c r="H825" s="36">
        <v>57.0</v>
      </c>
      <c r="I825" s="20"/>
    </row>
    <row r="826" ht="15.75" customHeight="1">
      <c r="A826" s="70"/>
      <c r="B826" s="75"/>
      <c r="C826" s="38"/>
      <c r="D826" s="39" t="s">
        <v>679</v>
      </c>
      <c r="E826" s="36">
        <v>4314100.0</v>
      </c>
      <c r="F826" s="42">
        <v>10.0</v>
      </c>
      <c r="G826" s="44" t="s">
        <v>709</v>
      </c>
      <c r="H826" s="36">
        <v>68.0</v>
      </c>
      <c r="I826" s="20"/>
    </row>
    <row r="827" ht="15.75" customHeight="1">
      <c r="A827" s="70"/>
      <c r="B827" s="75"/>
      <c r="C827" s="38"/>
      <c r="D827" s="39" t="s">
        <v>679</v>
      </c>
      <c r="E827" s="36">
        <v>4314100.0</v>
      </c>
      <c r="F827" s="42">
        <v>12.0</v>
      </c>
      <c r="G827" s="44" t="s">
        <v>710</v>
      </c>
      <c r="H827" s="36">
        <v>53.0</v>
      </c>
      <c r="I827" s="20"/>
    </row>
    <row r="828" ht="15.75" customHeight="1">
      <c r="A828" s="70"/>
      <c r="B828" s="75"/>
      <c r="C828" s="38"/>
      <c r="D828" s="39" t="s">
        <v>679</v>
      </c>
      <c r="E828" s="36">
        <v>4314100.0</v>
      </c>
      <c r="F828" s="42">
        <v>16.0</v>
      </c>
      <c r="G828" s="44" t="s">
        <v>74</v>
      </c>
      <c r="H828" s="36">
        <v>72.0</v>
      </c>
      <c r="I828" s="20"/>
    </row>
    <row r="829" ht="15.75" customHeight="1">
      <c r="A829" s="70"/>
      <c r="B829" s="75"/>
      <c r="C829" s="38"/>
      <c r="D829" s="39" t="s">
        <v>679</v>
      </c>
      <c r="E829" s="36">
        <v>4314100.0</v>
      </c>
      <c r="F829" s="42">
        <v>51.0</v>
      </c>
      <c r="G829" s="44" t="s">
        <v>699</v>
      </c>
      <c r="H829" s="36">
        <v>51.0</v>
      </c>
      <c r="I829" s="20"/>
    </row>
    <row r="830" ht="15.75" customHeight="1">
      <c r="A830" s="70"/>
      <c r="B830" s="75"/>
      <c r="C830" s="38"/>
      <c r="D830" s="39" t="s">
        <v>679</v>
      </c>
      <c r="E830" s="36">
        <v>4314100.0</v>
      </c>
      <c r="F830" s="42">
        <v>52.0</v>
      </c>
      <c r="G830" s="44" t="s">
        <v>700</v>
      </c>
      <c r="H830" s="36">
        <v>52.0</v>
      </c>
      <c r="I830" s="20"/>
    </row>
    <row r="831" ht="15.75" customHeight="1">
      <c r="A831" s="70"/>
      <c r="B831" s="75"/>
      <c r="C831" s="38"/>
      <c r="D831" s="39" t="s">
        <v>679</v>
      </c>
      <c r="E831" s="36">
        <v>4314100.0</v>
      </c>
      <c r="F831" s="42">
        <v>57.0</v>
      </c>
      <c r="G831" s="44" t="s">
        <v>54</v>
      </c>
      <c r="H831" s="36">
        <v>57.0</v>
      </c>
      <c r="I831" s="20"/>
    </row>
    <row r="832" ht="15.75" customHeight="1">
      <c r="A832" s="70"/>
      <c r="B832" s="75"/>
      <c r="C832" s="38"/>
      <c r="D832" s="39" t="s">
        <v>679</v>
      </c>
      <c r="E832" s="36">
        <v>4314100.0</v>
      </c>
      <c r="F832" s="42">
        <v>63.0</v>
      </c>
      <c r="G832" s="44" t="s">
        <v>693</v>
      </c>
      <c r="H832" s="36">
        <v>63.0</v>
      </c>
      <c r="I832" s="20"/>
    </row>
    <row r="833" ht="15.75" customHeight="1">
      <c r="A833" s="70"/>
      <c r="B833" s="75"/>
      <c r="C833" s="38"/>
      <c r="D833" s="39" t="s">
        <v>679</v>
      </c>
      <c r="E833" s="36">
        <v>4314100.0</v>
      </c>
      <c r="F833" s="42">
        <v>64.0</v>
      </c>
      <c r="G833" s="44" t="s">
        <v>55</v>
      </c>
      <c r="H833" s="36">
        <v>64.0</v>
      </c>
      <c r="I833" s="20"/>
    </row>
    <row r="834" ht="15.75" customHeight="1">
      <c r="A834" s="70"/>
      <c r="B834" s="75"/>
      <c r="C834" s="38"/>
      <c r="D834" s="39" t="s">
        <v>679</v>
      </c>
      <c r="E834" s="36">
        <v>4314100.0</v>
      </c>
      <c r="F834" s="42">
        <v>67.0</v>
      </c>
      <c r="G834" s="44" t="s">
        <v>54</v>
      </c>
      <c r="H834" s="36">
        <v>67.0</v>
      </c>
      <c r="I834" s="20"/>
    </row>
    <row r="835" ht="15.75" customHeight="1">
      <c r="A835" s="70"/>
      <c r="B835" s="75"/>
      <c r="C835" s="38"/>
      <c r="D835" s="39" t="s">
        <v>679</v>
      </c>
      <c r="E835" s="36">
        <v>4314100.0</v>
      </c>
      <c r="F835" s="42">
        <v>68.0</v>
      </c>
      <c r="G835" s="44" t="s">
        <v>709</v>
      </c>
      <c r="H835" s="36">
        <v>68.0</v>
      </c>
      <c r="I835" s="20"/>
    </row>
    <row r="836" ht="15.75" customHeight="1">
      <c r="A836" s="70"/>
      <c r="B836" s="75"/>
      <c r="C836" s="38"/>
      <c r="D836" s="39" t="s">
        <v>679</v>
      </c>
      <c r="E836" s="36">
        <v>4314100.0</v>
      </c>
      <c r="F836" s="42">
        <v>69.0</v>
      </c>
      <c r="G836" s="44" t="s">
        <v>55</v>
      </c>
      <c r="H836" s="36">
        <v>69.0</v>
      </c>
      <c r="I836" s="20"/>
    </row>
    <row r="837" ht="15.75" customHeight="1">
      <c r="A837" s="70"/>
      <c r="B837" s="75"/>
      <c r="C837" s="38"/>
      <c r="D837" s="39" t="s">
        <v>714</v>
      </c>
      <c r="E837" s="36">
        <v>0.0</v>
      </c>
      <c r="F837" s="42">
        <v>1.0</v>
      </c>
      <c r="G837" s="44" t="s">
        <v>43</v>
      </c>
      <c r="H837" s="36">
        <v>1.0</v>
      </c>
      <c r="I837" s="20"/>
    </row>
    <row r="838" ht="15.75" customHeight="1">
      <c r="A838" s="70"/>
      <c r="B838" s="75"/>
      <c r="C838" s="38"/>
      <c r="D838" s="39" t="s">
        <v>714</v>
      </c>
      <c r="E838" s="36">
        <v>0.0</v>
      </c>
      <c r="F838" s="42">
        <v>2.0</v>
      </c>
      <c r="G838" s="44" t="s">
        <v>47</v>
      </c>
      <c r="H838" s="36">
        <v>2.0</v>
      </c>
      <c r="I838" s="20"/>
    </row>
    <row r="839" ht="15.75" customHeight="1">
      <c r="A839" s="70"/>
      <c r="B839" s="75"/>
      <c r="C839" s="38"/>
      <c r="D839" s="39" t="s">
        <v>714</v>
      </c>
      <c r="E839" s="36">
        <v>0.0</v>
      </c>
      <c r="F839" s="42">
        <v>3.0</v>
      </c>
      <c r="G839" s="44" t="s">
        <v>50</v>
      </c>
      <c r="H839" s="36">
        <v>3.0</v>
      </c>
      <c r="I839" s="20"/>
    </row>
    <row r="840" ht="15.75" customHeight="1">
      <c r="A840" s="70"/>
      <c r="B840" s="75"/>
      <c r="C840" s="38"/>
      <c r="D840" s="39" t="s">
        <v>714</v>
      </c>
      <c r="E840" s="36">
        <v>0.0</v>
      </c>
      <c r="F840" s="42">
        <v>4.0</v>
      </c>
      <c r="G840" s="44" t="s">
        <v>51</v>
      </c>
      <c r="H840" s="36">
        <v>4.0</v>
      </c>
      <c r="I840" s="20"/>
    </row>
    <row r="841" ht="15.75" customHeight="1">
      <c r="A841" s="70"/>
      <c r="B841" s="75"/>
      <c r="C841" s="38"/>
      <c r="D841" s="39" t="s">
        <v>714</v>
      </c>
      <c r="E841" s="36">
        <v>0.0</v>
      </c>
      <c r="F841" s="42">
        <v>5.0</v>
      </c>
      <c r="G841" s="44" t="s">
        <v>54</v>
      </c>
      <c r="H841" s="36">
        <v>5.0</v>
      </c>
      <c r="I841" s="20"/>
    </row>
    <row r="842" ht="15.75" customHeight="1">
      <c r="A842" s="70"/>
      <c r="B842" s="75"/>
      <c r="C842" s="38"/>
      <c r="D842" s="39" t="s">
        <v>714</v>
      </c>
      <c r="E842" s="36">
        <v>0.0</v>
      </c>
      <c r="F842" s="42">
        <v>6.0</v>
      </c>
      <c r="G842" s="44" t="s">
        <v>57</v>
      </c>
      <c r="H842" s="36">
        <v>6.0</v>
      </c>
      <c r="I842" s="20"/>
    </row>
    <row r="843" ht="15.75" customHeight="1">
      <c r="A843" s="70"/>
      <c r="B843" s="75"/>
      <c r="C843" s="38"/>
      <c r="D843" s="39" t="s">
        <v>716</v>
      </c>
      <c r="E843" s="36">
        <v>0.0</v>
      </c>
      <c r="F843" s="42">
        <v>1.0</v>
      </c>
      <c r="G843" s="44" t="s">
        <v>43</v>
      </c>
      <c r="H843" s="36">
        <v>1.0</v>
      </c>
      <c r="I843" s="20"/>
    </row>
    <row r="844" ht="15.75" customHeight="1">
      <c r="A844" s="70"/>
      <c r="B844" s="75"/>
      <c r="C844" s="38"/>
      <c r="D844" s="39" t="s">
        <v>716</v>
      </c>
      <c r="E844" s="36">
        <v>0.0</v>
      </c>
      <c r="F844" s="42">
        <v>2.0</v>
      </c>
      <c r="G844" s="44" t="s">
        <v>47</v>
      </c>
      <c r="H844" s="36">
        <v>2.0</v>
      </c>
      <c r="I844" s="20"/>
    </row>
    <row r="845" ht="15.75" customHeight="1">
      <c r="A845" s="70"/>
      <c r="B845" s="75"/>
      <c r="C845" s="38"/>
      <c r="D845" s="39" t="s">
        <v>716</v>
      </c>
      <c r="E845" s="36">
        <v>0.0</v>
      </c>
      <c r="F845" s="42">
        <v>3.0</v>
      </c>
      <c r="G845" s="44" t="s">
        <v>50</v>
      </c>
      <c r="H845" s="36">
        <v>3.0</v>
      </c>
      <c r="I845" s="20"/>
    </row>
    <row r="846" ht="15.75" customHeight="1">
      <c r="A846" s="70"/>
      <c r="B846" s="75"/>
      <c r="C846" s="38"/>
      <c r="D846" s="39" t="s">
        <v>716</v>
      </c>
      <c r="E846" s="36">
        <v>0.0</v>
      </c>
      <c r="F846" s="42">
        <v>4.0</v>
      </c>
      <c r="G846" s="44" t="s">
        <v>51</v>
      </c>
      <c r="H846" s="36">
        <v>4.0</v>
      </c>
      <c r="I846" s="20"/>
    </row>
    <row r="847" ht="15.75" customHeight="1">
      <c r="A847" s="70"/>
      <c r="B847" s="75"/>
      <c r="C847" s="38"/>
      <c r="D847" s="39" t="s">
        <v>716</v>
      </c>
      <c r="E847" s="36">
        <v>0.0</v>
      </c>
      <c r="F847" s="42">
        <v>5.0</v>
      </c>
      <c r="G847" s="44" t="s">
        <v>54</v>
      </c>
      <c r="H847" s="36">
        <v>5.0</v>
      </c>
      <c r="I847" s="20"/>
    </row>
    <row r="848" ht="15.75" customHeight="1">
      <c r="A848" s="70"/>
      <c r="B848" s="75"/>
      <c r="C848" s="38"/>
      <c r="D848" s="39" t="s">
        <v>716</v>
      </c>
      <c r="E848" s="36">
        <v>0.0</v>
      </c>
      <c r="F848" s="42">
        <v>6.0</v>
      </c>
      <c r="G848" s="44" t="s">
        <v>213</v>
      </c>
      <c r="H848" s="36">
        <v>6.0</v>
      </c>
      <c r="I848" s="20"/>
    </row>
    <row r="849" ht="15.75" customHeight="1">
      <c r="A849" s="70"/>
      <c r="B849" s="75"/>
      <c r="C849" s="38"/>
      <c r="D849" s="39" t="s">
        <v>720</v>
      </c>
      <c r="E849" s="36">
        <v>0.0</v>
      </c>
      <c r="F849" s="42">
        <v>1.0</v>
      </c>
      <c r="G849" s="44" t="s">
        <v>43</v>
      </c>
      <c r="H849" s="36">
        <v>1.0</v>
      </c>
      <c r="I849" s="20"/>
    </row>
    <row r="850" ht="15.75" customHeight="1">
      <c r="A850" s="70"/>
      <c r="B850" s="75"/>
      <c r="C850" s="38"/>
      <c r="D850" s="39" t="s">
        <v>720</v>
      </c>
      <c r="E850" s="36">
        <v>0.0</v>
      </c>
      <c r="F850" s="42">
        <v>2.0</v>
      </c>
      <c r="G850" s="44" t="s">
        <v>47</v>
      </c>
      <c r="H850" s="36">
        <v>2.0</v>
      </c>
      <c r="I850" s="20"/>
    </row>
    <row r="851" ht="15.75" customHeight="1">
      <c r="A851" s="70"/>
      <c r="B851" s="75"/>
      <c r="C851" s="38"/>
      <c r="D851" s="39" t="s">
        <v>720</v>
      </c>
      <c r="E851" s="36">
        <v>0.0</v>
      </c>
      <c r="F851" s="42">
        <v>3.0</v>
      </c>
      <c r="G851" s="44" t="s">
        <v>50</v>
      </c>
      <c r="H851" s="36">
        <v>3.0</v>
      </c>
      <c r="I851" s="20"/>
    </row>
    <row r="852" ht="15.75" customHeight="1">
      <c r="A852" s="70"/>
      <c r="B852" s="75"/>
      <c r="C852" s="38"/>
      <c r="D852" s="39" t="s">
        <v>720</v>
      </c>
      <c r="E852" s="36">
        <v>0.0</v>
      </c>
      <c r="F852" s="42">
        <v>4.0</v>
      </c>
      <c r="G852" s="44" t="s">
        <v>51</v>
      </c>
      <c r="H852" s="36">
        <v>4.0</v>
      </c>
      <c r="I852" s="20"/>
    </row>
    <row r="853" ht="15.75" customHeight="1">
      <c r="A853" s="70"/>
      <c r="B853" s="75"/>
      <c r="C853" s="38"/>
      <c r="D853" s="39" t="s">
        <v>720</v>
      </c>
      <c r="E853" s="36">
        <v>0.0</v>
      </c>
      <c r="F853" s="42">
        <v>5.0</v>
      </c>
      <c r="G853" s="44" t="s">
        <v>54</v>
      </c>
      <c r="H853" s="36">
        <v>5.0</v>
      </c>
      <c r="I853" s="20"/>
    </row>
    <row r="854" ht="15.75" customHeight="1">
      <c r="A854" s="70"/>
      <c r="B854" s="75"/>
      <c r="C854" s="38"/>
      <c r="D854" s="39" t="s">
        <v>720</v>
      </c>
      <c r="E854" s="36">
        <v>0.0</v>
      </c>
      <c r="F854" s="42">
        <v>6.0</v>
      </c>
      <c r="G854" s="44" t="s">
        <v>57</v>
      </c>
      <c r="H854" s="36">
        <v>6.0</v>
      </c>
      <c r="I854" s="20"/>
    </row>
    <row r="855" ht="15.75" customHeight="1">
      <c r="A855" s="70"/>
      <c r="B855" s="75"/>
      <c r="C855" s="38"/>
      <c r="D855" s="39" t="s">
        <v>721</v>
      </c>
      <c r="E855" s="36">
        <v>0.0</v>
      </c>
      <c r="F855" s="42">
        <v>1.0</v>
      </c>
      <c r="G855" s="44" t="s">
        <v>722</v>
      </c>
      <c r="H855" s="36" t="s">
        <v>269</v>
      </c>
      <c r="I855" s="20"/>
    </row>
    <row r="856" ht="15.75" customHeight="1">
      <c r="A856" s="70"/>
      <c r="B856" s="75"/>
      <c r="C856" s="38"/>
      <c r="D856" s="39" t="s">
        <v>721</v>
      </c>
      <c r="E856" s="36">
        <v>0.0</v>
      </c>
      <c r="F856" s="42">
        <v>2.0</v>
      </c>
      <c r="G856" s="44" t="s">
        <v>723</v>
      </c>
      <c r="H856" s="36" t="s">
        <v>282</v>
      </c>
      <c r="I856" s="20"/>
    </row>
    <row r="857" ht="15.75" customHeight="1">
      <c r="A857" s="70"/>
      <c r="B857" s="75"/>
      <c r="C857" s="38"/>
      <c r="D857" s="39" t="s">
        <v>721</v>
      </c>
      <c r="E857" s="36">
        <v>0.0</v>
      </c>
      <c r="F857" s="42">
        <v>3.0</v>
      </c>
      <c r="G857" s="44" t="s">
        <v>724</v>
      </c>
      <c r="H857" s="36" t="s">
        <v>275</v>
      </c>
      <c r="I857" s="20"/>
    </row>
    <row r="858" ht="15.75" customHeight="1">
      <c r="A858" s="70"/>
      <c r="B858" s="75"/>
      <c r="C858" s="38"/>
      <c r="D858" s="39" t="s">
        <v>721</v>
      </c>
      <c r="E858" s="36">
        <v>0.0</v>
      </c>
      <c r="F858" s="42">
        <v>5.0</v>
      </c>
      <c r="G858" s="44" t="s">
        <v>541</v>
      </c>
      <c r="H858" s="36" t="s">
        <v>542</v>
      </c>
      <c r="I858" s="20"/>
    </row>
    <row r="859" ht="15.75" customHeight="1">
      <c r="A859" s="70"/>
      <c r="B859" s="75"/>
      <c r="C859" s="38"/>
      <c r="D859" s="39" t="s">
        <v>721</v>
      </c>
      <c r="E859" s="36">
        <v>0.0</v>
      </c>
      <c r="F859" s="42">
        <v>14.0</v>
      </c>
      <c r="G859" s="44" t="s">
        <v>70</v>
      </c>
      <c r="H859" s="36" t="s">
        <v>281</v>
      </c>
      <c r="I859" s="20"/>
    </row>
    <row r="860" ht="15.75" customHeight="1">
      <c r="A860" s="70"/>
      <c r="B860" s="75"/>
      <c r="C860" s="38"/>
      <c r="D860" s="39" t="s">
        <v>728</v>
      </c>
      <c r="E860" s="36">
        <v>0.0</v>
      </c>
      <c r="F860" s="42">
        <v>3.0</v>
      </c>
      <c r="G860" s="44" t="s">
        <v>50</v>
      </c>
      <c r="H860" s="36">
        <v>3.0</v>
      </c>
      <c r="I860" s="20"/>
    </row>
    <row r="861" ht="15.75" customHeight="1">
      <c r="A861" s="70"/>
      <c r="B861" s="75"/>
      <c r="C861" s="38"/>
      <c r="D861" s="39" t="s">
        <v>728</v>
      </c>
      <c r="E861" s="36">
        <v>0.0</v>
      </c>
      <c r="F861" s="42">
        <v>4.0</v>
      </c>
      <c r="G861" s="44" t="s">
        <v>52</v>
      </c>
      <c r="H861" s="36">
        <v>5.0</v>
      </c>
      <c r="I861" s="20"/>
    </row>
    <row r="862" ht="15.75" customHeight="1">
      <c r="A862" s="70"/>
      <c r="B862" s="75"/>
      <c r="C862" s="38"/>
      <c r="D862" s="39" t="s">
        <v>728</v>
      </c>
      <c r="E862" s="36">
        <v>0.0</v>
      </c>
      <c r="F862" s="42">
        <v>5.0</v>
      </c>
      <c r="G862" s="44" t="s">
        <v>54</v>
      </c>
      <c r="H862" s="36">
        <v>6.0</v>
      </c>
      <c r="I862" s="20"/>
    </row>
    <row r="863" ht="15.75" customHeight="1">
      <c r="A863" s="70"/>
      <c r="B863" s="75"/>
      <c r="C863" s="38"/>
      <c r="D863" s="39" t="s">
        <v>728</v>
      </c>
      <c r="E863" s="36">
        <v>0.0</v>
      </c>
      <c r="F863" s="42">
        <v>6.0</v>
      </c>
      <c r="G863" s="44" t="s">
        <v>57</v>
      </c>
      <c r="H863" s="36">
        <v>7.0</v>
      </c>
      <c r="I863" s="20"/>
    </row>
    <row r="864" ht="15.75" customHeight="1">
      <c r="A864" s="70"/>
      <c r="B864" s="75"/>
      <c r="C864" s="38"/>
      <c r="D864" s="39" t="s">
        <v>728</v>
      </c>
      <c r="E864" s="36">
        <v>0.0</v>
      </c>
      <c r="F864" s="42">
        <v>7.0</v>
      </c>
      <c r="G864" s="44" t="s">
        <v>59</v>
      </c>
      <c r="H864" s="36">
        <v>1.0</v>
      </c>
      <c r="I864" s="20"/>
    </row>
    <row r="865" ht="15.75" customHeight="1">
      <c r="A865" s="70"/>
      <c r="B865" s="75"/>
      <c r="C865" s="38"/>
      <c r="D865" s="39" t="s">
        <v>728</v>
      </c>
      <c r="E865" s="36">
        <v>0.0</v>
      </c>
      <c r="F865" s="42">
        <v>8.0</v>
      </c>
      <c r="G865" s="44" t="s">
        <v>62</v>
      </c>
      <c r="H865" s="36">
        <v>2.0</v>
      </c>
      <c r="I865" s="20"/>
    </row>
    <row r="866" ht="15.75" customHeight="1">
      <c r="A866" s="70"/>
      <c r="B866" s="75"/>
      <c r="C866" s="38"/>
      <c r="D866" s="39" t="s">
        <v>728</v>
      </c>
      <c r="E866" s="36">
        <v>0.0</v>
      </c>
      <c r="F866" s="42">
        <v>9.0</v>
      </c>
      <c r="G866" s="44" t="s">
        <v>63</v>
      </c>
      <c r="H866" s="36">
        <v>4.0</v>
      </c>
      <c r="I866" s="20"/>
    </row>
    <row r="867" ht="15.75" customHeight="1">
      <c r="A867" s="70"/>
      <c r="B867" s="75"/>
      <c r="C867" s="38"/>
      <c r="D867" s="39" t="s">
        <v>731</v>
      </c>
      <c r="E867" s="36">
        <v>0.0</v>
      </c>
      <c r="F867" s="42">
        <v>1.0</v>
      </c>
      <c r="G867" s="44" t="s">
        <v>268</v>
      </c>
      <c r="H867" s="36" t="s">
        <v>479</v>
      </c>
      <c r="I867" s="20"/>
    </row>
    <row r="868" ht="15.75" customHeight="1">
      <c r="A868" s="70"/>
      <c r="B868" s="75"/>
      <c r="C868" s="38"/>
      <c r="D868" s="39" t="s">
        <v>731</v>
      </c>
      <c r="E868" s="36">
        <v>0.0</v>
      </c>
      <c r="F868" s="42">
        <v>2.0</v>
      </c>
      <c r="G868" s="44" t="s">
        <v>733</v>
      </c>
      <c r="H868" s="36" t="s">
        <v>273</v>
      </c>
      <c r="I868" s="20"/>
    </row>
    <row r="869" ht="15.75" customHeight="1">
      <c r="A869" s="70"/>
      <c r="B869" s="75"/>
      <c r="C869" s="38"/>
      <c r="D869" s="39" t="s">
        <v>731</v>
      </c>
      <c r="E869" s="36">
        <v>0.0</v>
      </c>
      <c r="F869" s="42">
        <v>3.0</v>
      </c>
      <c r="G869" s="44" t="s">
        <v>352</v>
      </c>
      <c r="H869" s="36" t="s">
        <v>273</v>
      </c>
      <c r="I869" s="20"/>
    </row>
    <row r="870" ht="15.75" customHeight="1">
      <c r="A870" s="70"/>
      <c r="B870" s="75"/>
      <c r="C870" s="38"/>
      <c r="D870" s="39" t="s">
        <v>731</v>
      </c>
      <c r="E870" s="36">
        <v>0.0</v>
      </c>
      <c r="F870" s="42">
        <v>4.0</v>
      </c>
      <c r="G870" s="44" t="s">
        <v>51</v>
      </c>
      <c r="H870" s="36" t="s">
        <v>273</v>
      </c>
      <c r="I870" s="20"/>
    </row>
    <row r="871" ht="15.75" customHeight="1">
      <c r="A871" s="70"/>
      <c r="B871" s="75"/>
      <c r="C871" s="38"/>
      <c r="D871" s="39" t="s">
        <v>731</v>
      </c>
      <c r="E871" s="36">
        <v>0.0</v>
      </c>
      <c r="F871" s="42">
        <v>10.0</v>
      </c>
      <c r="G871" s="44" t="s">
        <v>249</v>
      </c>
      <c r="H871" s="36" t="s">
        <v>273</v>
      </c>
      <c r="I871" s="20"/>
    </row>
    <row r="872" ht="15.75" customHeight="1">
      <c r="A872" s="70"/>
      <c r="B872" s="75"/>
      <c r="C872" s="38"/>
      <c r="D872" s="39" t="s">
        <v>731</v>
      </c>
      <c r="E872" s="36">
        <v>0.0</v>
      </c>
      <c r="F872" s="42">
        <v>12.0</v>
      </c>
      <c r="G872" s="44" t="s">
        <v>66</v>
      </c>
      <c r="H872" s="36" t="s">
        <v>470</v>
      </c>
      <c r="I872" s="20"/>
    </row>
    <row r="873" ht="15.75" customHeight="1">
      <c r="A873" s="70"/>
      <c r="B873" s="75"/>
      <c r="C873" s="38"/>
      <c r="D873" s="39" t="s">
        <v>731</v>
      </c>
      <c r="E873" s="36">
        <v>0.0</v>
      </c>
      <c r="F873" s="42">
        <v>17.0</v>
      </c>
      <c r="G873" s="44" t="s">
        <v>735</v>
      </c>
      <c r="H873" s="36" t="s">
        <v>470</v>
      </c>
      <c r="I873" s="20"/>
    </row>
    <row r="874" ht="15.75" customHeight="1">
      <c r="A874" s="70"/>
      <c r="B874" s="75"/>
      <c r="C874" s="38"/>
      <c r="D874" s="39" t="s">
        <v>731</v>
      </c>
      <c r="E874" s="36">
        <v>0.0</v>
      </c>
      <c r="F874" s="42">
        <v>51.0</v>
      </c>
      <c r="G874" s="44" t="s">
        <v>736</v>
      </c>
      <c r="H874" s="36" t="s">
        <v>269</v>
      </c>
      <c r="I874" s="20"/>
    </row>
    <row r="875" ht="15.75" customHeight="1">
      <c r="A875" s="70"/>
      <c r="B875" s="75"/>
      <c r="C875" s="38"/>
      <c r="D875" s="39" t="s">
        <v>738</v>
      </c>
      <c r="E875" s="36">
        <v>0.0</v>
      </c>
      <c r="F875" s="42">
        <v>1.0</v>
      </c>
      <c r="G875" s="44" t="s">
        <v>43</v>
      </c>
      <c r="H875" s="36">
        <v>1.0</v>
      </c>
      <c r="I875" s="20"/>
    </row>
    <row r="876" ht="15.75" customHeight="1">
      <c r="A876" s="70"/>
      <c r="B876" s="75"/>
      <c r="C876" s="38"/>
      <c r="D876" s="39" t="s">
        <v>738</v>
      </c>
      <c r="E876" s="36">
        <v>0.0</v>
      </c>
      <c r="F876" s="42">
        <v>2.0</v>
      </c>
      <c r="G876" s="44" t="s">
        <v>47</v>
      </c>
      <c r="H876" s="36">
        <v>2.0</v>
      </c>
      <c r="I876" s="20"/>
    </row>
    <row r="877" ht="15.75" customHeight="1">
      <c r="A877" s="70"/>
      <c r="B877" s="75"/>
      <c r="C877" s="38"/>
      <c r="D877" s="39" t="s">
        <v>738</v>
      </c>
      <c r="E877" s="36">
        <v>0.0</v>
      </c>
      <c r="F877" s="42">
        <v>3.0</v>
      </c>
      <c r="G877" s="44" t="s">
        <v>50</v>
      </c>
      <c r="H877" s="36">
        <v>3.0</v>
      </c>
      <c r="I877" s="20"/>
    </row>
    <row r="878" ht="15.75" customHeight="1">
      <c r="A878" s="70"/>
      <c r="B878" s="75"/>
      <c r="C878" s="38"/>
      <c r="D878" s="39" t="s">
        <v>738</v>
      </c>
      <c r="E878" s="36">
        <v>0.0</v>
      </c>
      <c r="F878" s="42">
        <v>4.0</v>
      </c>
      <c r="G878" s="44" t="s">
        <v>51</v>
      </c>
      <c r="H878" s="36">
        <v>4.0</v>
      </c>
      <c r="I878" s="20"/>
    </row>
    <row r="879" ht="15.75" customHeight="1">
      <c r="A879" s="70"/>
      <c r="B879" s="75"/>
      <c r="C879" s="38"/>
      <c r="D879" s="39" t="s">
        <v>738</v>
      </c>
      <c r="E879" s="36">
        <v>0.0</v>
      </c>
      <c r="F879" s="42">
        <v>5.0</v>
      </c>
      <c r="G879" s="44" t="s">
        <v>54</v>
      </c>
      <c r="H879" s="36">
        <v>5.0</v>
      </c>
      <c r="I879" s="20"/>
    </row>
    <row r="880" ht="15.75" customHeight="1">
      <c r="A880" s="70"/>
      <c r="B880" s="75"/>
      <c r="C880" s="38"/>
      <c r="D880" s="39" t="s">
        <v>738</v>
      </c>
      <c r="E880" s="36">
        <v>0.0</v>
      </c>
      <c r="F880" s="42">
        <v>6.0</v>
      </c>
      <c r="G880" s="44" t="s">
        <v>57</v>
      </c>
      <c r="H880" s="36">
        <v>6.0</v>
      </c>
      <c r="I880" s="20"/>
    </row>
    <row r="881" ht="15.75" customHeight="1">
      <c r="A881" s="70"/>
      <c r="B881" s="75"/>
      <c r="C881" s="38"/>
      <c r="D881" s="39" t="s">
        <v>741</v>
      </c>
      <c r="E881" s="36">
        <v>0.0</v>
      </c>
      <c r="F881" s="42">
        <v>3.0</v>
      </c>
      <c r="G881" s="44" t="s">
        <v>50</v>
      </c>
      <c r="H881" s="36">
        <v>3.0</v>
      </c>
      <c r="I881" s="20"/>
    </row>
    <row r="882" ht="15.75" customHeight="1">
      <c r="A882" s="70"/>
      <c r="B882" s="75"/>
      <c r="C882" s="38"/>
      <c r="D882" s="39" t="s">
        <v>741</v>
      </c>
      <c r="E882" s="36">
        <v>0.0</v>
      </c>
      <c r="F882" s="42">
        <v>4.0</v>
      </c>
      <c r="G882" s="44" t="s">
        <v>52</v>
      </c>
      <c r="H882" s="36">
        <v>5.0</v>
      </c>
      <c r="I882" s="20"/>
    </row>
    <row r="883" ht="15.75" customHeight="1">
      <c r="A883" s="70"/>
      <c r="B883" s="75"/>
      <c r="C883" s="38"/>
      <c r="D883" s="39" t="s">
        <v>741</v>
      </c>
      <c r="E883" s="36">
        <v>0.0</v>
      </c>
      <c r="F883" s="42">
        <v>5.0</v>
      </c>
      <c r="G883" s="44" t="s">
        <v>54</v>
      </c>
      <c r="H883" s="36">
        <v>6.0</v>
      </c>
      <c r="I883" s="20"/>
    </row>
    <row r="884" ht="15.75" customHeight="1">
      <c r="A884" s="70"/>
      <c r="B884" s="75"/>
      <c r="C884" s="38"/>
      <c r="D884" s="39" t="s">
        <v>741</v>
      </c>
      <c r="E884" s="36">
        <v>0.0</v>
      </c>
      <c r="F884" s="42">
        <v>6.0</v>
      </c>
      <c r="G884" s="44" t="s">
        <v>213</v>
      </c>
      <c r="H884" s="36">
        <v>7.0</v>
      </c>
      <c r="I884" s="20"/>
    </row>
    <row r="885" ht="15.75" customHeight="1">
      <c r="A885" s="70"/>
      <c r="B885" s="75"/>
      <c r="C885" s="38"/>
      <c r="D885" s="39" t="s">
        <v>741</v>
      </c>
      <c r="E885" s="36">
        <v>0.0</v>
      </c>
      <c r="F885" s="42">
        <v>7.0</v>
      </c>
      <c r="G885" s="44" t="s">
        <v>59</v>
      </c>
      <c r="H885" s="36">
        <v>1.0</v>
      </c>
      <c r="I885" s="20"/>
    </row>
    <row r="886" ht="15.75" customHeight="1">
      <c r="A886" s="70"/>
      <c r="B886" s="75"/>
      <c r="C886" s="38"/>
      <c r="D886" s="39" t="s">
        <v>741</v>
      </c>
      <c r="E886" s="36">
        <v>0.0</v>
      </c>
      <c r="F886" s="42">
        <v>8.0</v>
      </c>
      <c r="G886" s="44" t="s">
        <v>225</v>
      </c>
      <c r="H886" s="36">
        <v>2.0</v>
      </c>
      <c r="I886" s="20"/>
    </row>
    <row r="887" ht="15.75" customHeight="1">
      <c r="A887" s="70"/>
      <c r="B887" s="75"/>
      <c r="C887" s="38"/>
      <c r="D887" s="39" t="s">
        <v>741</v>
      </c>
      <c r="E887" s="36">
        <v>0.0</v>
      </c>
      <c r="F887" s="42">
        <v>9.0</v>
      </c>
      <c r="G887" s="44" t="s">
        <v>63</v>
      </c>
      <c r="H887" s="36">
        <v>4.0</v>
      </c>
      <c r="I887" s="20"/>
    </row>
    <row r="888" ht="15.75" customHeight="1">
      <c r="A888" s="70"/>
      <c r="B888" s="75"/>
      <c r="C888" s="38"/>
      <c r="D888" s="38"/>
      <c r="E888" s="70"/>
      <c r="F888" s="106"/>
      <c r="G888" s="20"/>
      <c r="H888" s="70"/>
      <c r="I888" s="20"/>
    </row>
    <row r="889" ht="15.75" customHeight="1">
      <c r="A889" s="70"/>
      <c r="B889" s="75"/>
      <c r="C889" s="38"/>
      <c r="D889" s="38"/>
      <c r="E889" s="70"/>
      <c r="F889" s="106"/>
      <c r="G889" s="20"/>
      <c r="H889" s="70"/>
      <c r="I889" s="20"/>
    </row>
  </sheetData>
  <mergeCells count="3">
    <mergeCell ref="D1:G1"/>
    <mergeCell ref="A2:B2"/>
    <mergeCell ref="D2:H2"/>
  </mergeCells>
  <printOptions/>
  <pageMargins bottom="0.7875" footer="0.0" header="0.0" left="0.511805555555555" right="0.511805555555555" top="0.78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13"/>
    <col customWidth="1" min="2" max="2" width="100.5"/>
  </cols>
  <sheetData>
    <row r="1">
      <c r="A1" s="4" t="s">
        <v>0</v>
      </c>
      <c r="B1" s="4" t="s">
        <v>4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10" t="s">
        <v>13</v>
      </c>
      <c r="B2" s="11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10" t="s">
        <v>15</v>
      </c>
      <c r="B3" s="10" t="s">
        <v>17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10" t="s">
        <v>19</v>
      </c>
      <c r="B4" s="10" t="s">
        <v>20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10" t="s">
        <v>22</v>
      </c>
      <c r="B5" s="10" t="s">
        <v>23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10" t="s">
        <v>27</v>
      </c>
      <c r="B6" s="10" t="s">
        <v>28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0" t="s">
        <v>31</v>
      </c>
      <c r="B7" s="10" t="s">
        <v>33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10" t="s">
        <v>36</v>
      </c>
      <c r="B8" s="10" t="s">
        <v>38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47"/>
      <c r="B9" s="47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B10" s="52" t="s">
        <v>56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47"/>
      <c r="B11" s="47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47"/>
      <c r="B12" s="47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47"/>
      <c r="B13" s="47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47"/>
      <c r="B14" s="47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47"/>
      <c r="B15" s="47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47"/>
      <c r="B16" s="47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47"/>
      <c r="B17" s="47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47"/>
      <c r="B18" s="47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47"/>
      <c r="B19" s="47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47"/>
      <c r="B20" s="47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47"/>
      <c r="B21" s="47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47"/>
      <c r="B22" s="47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47"/>
      <c r="B23" s="47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47"/>
      <c r="B24" s="47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47"/>
      <c r="B25" s="47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47"/>
      <c r="B26" s="47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47"/>
      <c r="B27" s="47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47"/>
      <c r="B28" s="47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47"/>
      <c r="B29" s="47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47"/>
      <c r="B30" s="47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47"/>
      <c r="B31" s="47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47"/>
      <c r="B32" s="47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47"/>
      <c r="B33" s="47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47"/>
      <c r="B34" s="47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47"/>
      <c r="B35" s="47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47"/>
      <c r="B36" s="47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47"/>
      <c r="B37" s="47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47"/>
      <c r="B38" s="47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47"/>
      <c r="B39" s="47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47"/>
      <c r="B40" s="47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47"/>
      <c r="B41" s="47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47"/>
      <c r="B42" s="47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47"/>
      <c r="B43" s="47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47"/>
      <c r="B44" s="47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47"/>
      <c r="B45" s="47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47"/>
      <c r="B46" s="47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47"/>
      <c r="B47" s="47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47"/>
      <c r="B48" s="47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47"/>
      <c r="B49" s="47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47"/>
      <c r="B50" s="47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47"/>
      <c r="B51" s="47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47"/>
      <c r="B52" s="47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47"/>
      <c r="B53" s="47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47"/>
      <c r="B54" s="47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47"/>
      <c r="B55" s="47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47"/>
      <c r="B56" s="47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47"/>
      <c r="B57" s="47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47"/>
      <c r="B58" s="47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47"/>
      <c r="B59" s="47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47"/>
      <c r="B60" s="47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47"/>
      <c r="B61" s="47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47"/>
      <c r="B62" s="47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47"/>
      <c r="B63" s="47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47"/>
      <c r="B64" s="47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47"/>
      <c r="B65" s="47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47"/>
      <c r="B66" s="47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47"/>
      <c r="B67" s="47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47"/>
      <c r="B68" s="47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47"/>
      <c r="B69" s="47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47"/>
      <c r="B70" s="47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47"/>
      <c r="B71" s="47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47"/>
      <c r="B72" s="47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47"/>
      <c r="B73" s="47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47"/>
      <c r="B74" s="47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47"/>
      <c r="B75" s="47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47"/>
      <c r="B76" s="47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47"/>
      <c r="B77" s="47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47"/>
      <c r="B78" s="47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47"/>
      <c r="B79" s="47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47"/>
      <c r="B80" s="47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47"/>
      <c r="B81" s="47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47"/>
      <c r="B82" s="47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47"/>
      <c r="B83" s="47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47"/>
      <c r="B84" s="47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47"/>
      <c r="B85" s="47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47"/>
      <c r="B86" s="47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47"/>
      <c r="B87" s="47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47"/>
      <c r="B88" s="47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47"/>
      <c r="B89" s="47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47"/>
      <c r="B90" s="47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47"/>
      <c r="B91" s="47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47"/>
      <c r="B92" s="47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47"/>
      <c r="B93" s="47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47"/>
      <c r="B94" s="47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47"/>
      <c r="B95" s="47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47"/>
      <c r="B96" s="47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47"/>
      <c r="B97" s="47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47"/>
      <c r="B98" s="47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47"/>
      <c r="B99" s="47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47"/>
      <c r="B100" s="47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47"/>
      <c r="B101" s="47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47"/>
      <c r="B102" s="47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47"/>
      <c r="B103" s="47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47"/>
      <c r="B104" s="47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47"/>
      <c r="B105" s="47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47"/>
      <c r="B106" s="47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47"/>
      <c r="B107" s="47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47"/>
      <c r="B108" s="47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47"/>
      <c r="B109" s="47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47"/>
      <c r="B110" s="47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47"/>
      <c r="B111" s="47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47"/>
      <c r="B112" s="47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47"/>
      <c r="B113" s="47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47"/>
      <c r="B114" s="47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47"/>
      <c r="B115" s="47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47"/>
      <c r="B116" s="47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47"/>
      <c r="B117" s="47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47"/>
      <c r="B118" s="47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47"/>
      <c r="B119" s="47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47"/>
      <c r="B120" s="47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47"/>
      <c r="B121" s="47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47"/>
      <c r="B122" s="47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47"/>
      <c r="B123" s="47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47"/>
      <c r="B124" s="47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47"/>
      <c r="B125" s="47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47"/>
      <c r="B126" s="47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47"/>
      <c r="B127" s="47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47"/>
      <c r="B128" s="47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47"/>
      <c r="B129" s="47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47"/>
      <c r="B130" s="47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47"/>
      <c r="B131" s="47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47"/>
      <c r="B132" s="47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47"/>
      <c r="B133" s="47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47"/>
      <c r="B134" s="47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47"/>
      <c r="B135" s="47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47"/>
      <c r="B136" s="47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47"/>
      <c r="B137" s="47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47"/>
      <c r="B138" s="47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47"/>
      <c r="B139" s="47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47"/>
      <c r="B140" s="47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47"/>
      <c r="B141" s="47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47"/>
      <c r="B142" s="47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47"/>
      <c r="B143" s="47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47"/>
      <c r="B144" s="47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47"/>
      <c r="B145" s="47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47"/>
      <c r="B146" s="47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47"/>
      <c r="B147" s="47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47"/>
      <c r="B148" s="47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47"/>
      <c r="B149" s="47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47"/>
      <c r="B150" s="47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47"/>
      <c r="B151" s="47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47"/>
      <c r="B152" s="47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47"/>
      <c r="B153" s="47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47"/>
      <c r="B154" s="47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47"/>
      <c r="B155" s="47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47"/>
      <c r="B156" s="47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47"/>
      <c r="B157" s="47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47"/>
      <c r="B158" s="47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47"/>
      <c r="B159" s="47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47"/>
      <c r="B160" s="47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47"/>
      <c r="B161" s="47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47"/>
      <c r="B162" s="47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47"/>
      <c r="B163" s="47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47"/>
      <c r="B164" s="47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47"/>
      <c r="B165" s="47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47"/>
      <c r="B166" s="47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47"/>
      <c r="B167" s="47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47"/>
      <c r="B168" s="47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47"/>
      <c r="B169" s="47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47"/>
      <c r="B170" s="47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47"/>
      <c r="B171" s="47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47"/>
      <c r="B172" s="47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47"/>
      <c r="B173" s="47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47"/>
      <c r="B174" s="47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47"/>
      <c r="B175" s="47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47"/>
      <c r="B176" s="47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47"/>
      <c r="B177" s="47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47"/>
      <c r="B178" s="47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47"/>
      <c r="B179" s="47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47"/>
      <c r="B180" s="47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47"/>
      <c r="B181" s="47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47"/>
      <c r="B182" s="47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47"/>
      <c r="B183" s="47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47"/>
      <c r="B184" s="47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47"/>
      <c r="B185" s="47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47"/>
      <c r="B186" s="47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47"/>
      <c r="B187" s="47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47"/>
      <c r="B188" s="47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47"/>
      <c r="B189" s="47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47"/>
      <c r="B190" s="47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47"/>
      <c r="B191" s="47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47"/>
      <c r="B192" s="47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47"/>
      <c r="B193" s="47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47"/>
      <c r="B194" s="47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47"/>
      <c r="B195" s="47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47"/>
      <c r="B196" s="47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47"/>
      <c r="B197" s="47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47"/>
      <c r="B198" s="47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47"/>
      <c r="B199" s="47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47"/>
      <c r="B200" s="47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47"/>
      <c r="B201" s="47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47"/>
      <c r="B202" s="47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47"/>
      <c r="B203" s="47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47"/>
      <c r="B204" s="47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47"/>
      <c r="B205" s="47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47"/>
      <c r="B206" s="47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47"/>
      <c r="B207" s="47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47"/>
      <c r="B208" s="47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47"/>
      <c r="B209" s="47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47"/>
      <c r="B210" s="47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47"/>
      <c r="B211" s="47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47"/>
      <c r="B212" s="47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47"/>
      <c r="B213" s="47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47"/>
      <c r="B214" s="47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47"/>
      <c r="B215" s="47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47"/>
      <c r="B216" s="47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47"/>
      <c r="B217" s="47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47"/>
      <c r="B218" s="47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47"/>
      <c r="B219" s="47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47"/>
      <c r="B220" s="47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47"/>
      <c r="B221" s="47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47"/>
      <c r="B222" s="47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47"/>
      <c r="B223" s="47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47"/>
      <c r="B224" s="47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47"/>
      <c r="B225" s="47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47"/>
      <c r="B226" s="47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47"/>
      <c r="B227" s="47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47"/>
      <c r="B228" s="47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47"/>
      <c r="B229" s="47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47"/>
      <c r="B230" s="47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47"/>
      <c r="B231" s="47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47"/>
      <c r="B232" s="47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47"/>
      <c r="B233" s="47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47"/>
      <c r="B234" s="47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47"/>
      <c r="B235" s="47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47"/>
      <c r="B236" s="47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47"/>
      <c r="B237" s="47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47"/>
      <c r="B238" s="47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47"/>
      <c r="B239" s="47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47"/>
      <c r="B240" s="47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47"/>
      <c r="B241" s="47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47"/>
      <c r="B242" s="47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47"/>
      <c r="B243" s="47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47"/>
      <c r="B244" s="47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47"/>
      <c r="B245" s="47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47"/>
      <c r="B246" s="47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47"/>
      <c r="B247" s="47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47"/>
      <c r="B248" s="47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47"/>
      <c r="B249" s="47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47"/>
      <c r="B250" s="47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47"/>
      <c r="B251" s="47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47"/>
      <c r="B252" s="47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47"/>
      <c r="B253" s="47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47"/>
      <c r="B254" s="47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47"/>
      <c r="B255" s="47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47"/>
      <c r="B256" s="47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47"/>
      <c r="B257" s="47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47"/>
      <c r="B258" s="47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47"/>
      <c r="B259" s="47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47"/>
      <c r="B260" s="47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47"/>
      <c r="B261" s="47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47"/>
      <c r="B262" s="47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47"/>
      <c r="B263" s="47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47"/>
      <c r="B264" s="47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47"/>
      <c r="B265" s="47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47"/>
      <c r="B266" s="47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47"/>
      <c r="B267" s="47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47"/>
      <c r="B268" s="47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47"/>
      <c r="B269" s="47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47"/>
      <c r="B270" s="47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47"/>
      <c r="B271" s="47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47"/>
      <c r="B272" s="47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47"/>
      <c r="B273" s="47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47"/>
      <c r="B274" s="47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47"/>
      <c r="B275" s="47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47"/>
      <c r="B276" s="47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47"/>
      <c r="B277" s="47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47"/>
      <c r="B278" s="47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47"/>
      <c r="B279" s="47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47"/>
      <c r="B280" s="47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47"/>
      <c r="B281" s="47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47"/>
      <c r="B282" s="47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47"/>
      <c r="B283" s="47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47"/>
      <c r="B284" s="47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47"/>
      <c r="B285" s="47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47"/>
      <c r="B286" s="47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47"/>
      <c r="B287" s="47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47"/>
      <c r="B288" s="47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47"/>
      <c r="B289" s="47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47"/>
      <c r="B290" s="47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47"/>
      <c r="B291" s="47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47"/>
      <c r="B292" s="47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47"/>
      <c r="B293" s="47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47"/>
      <c r="B294" s="47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47"/>
      <c r="B295" s="47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47"/>
      <c r="B296" s="47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47"/>
      <c r="B297" s="47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47"/>
      <c r="B298" s="47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47"/>
      <c r="B299" s="47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47"/>
      <c r="B300" s="47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47"/>
      <c r="B301" s="47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47"/>
      <c r="B302" s="47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47"/>
      <c r="B303" s="47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47"/>
      <c r="B304" s="47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47"/>
      <c r="B305" s="47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47"/>
      <c r="B306" s="47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47"/>
      <c r="B307" s="47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47"/>
      <c r="B308" s="47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47"/>
      <c r="B309" s="47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47"/>
      <c r="B310" s="47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47"/>
      <c r="B311" s="47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47"/>
      <c r="B312" s="47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47"/>
      <c r="B313" s="47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47"/>
      <c r="B314" s="47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47"/>
      <c r="B315" s="47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47"/>
      <c r="B316" s="47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47"/>
      <c r="B317" s="47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47"/>
      <c r="B318" s="47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47"/>
      <c r="B319" s="47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47"/>
      <c r="B320" s="47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47"/>
      <c r="B321" s="47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47"/>
      <c r="B322" s="47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47"/>
      <c r="B323" s="47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47"/>
      <c r="B324" s="47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47"/>
      <c r="B325" s="47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47"/>
      <c r="B326" s="47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47"/>
      <c r="B327" s="47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47"/>
      <c r="B328" s="47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47"/>
      <c r="B329" s="47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47"/>
      <c r="B330" s="47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47"/>
      <c r="B331" s="47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47"/>
      <c r="B332" s="47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47"/>
      <c r="B333" s="47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47"/>
      <c r="B334" s="47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47"/>
      <c r="B335" s="47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47"/>
      <c r="B336" s="47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47"/>
      <c r="B337" s="47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47"/>
      <c r="B338" s="47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47"/>
      <c r="B339" s="47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47"/>
      <c r="B340" s="47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47"/>
      <c r="B341" s="47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47"/>
      <c r="B342" s="47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47"/>
      <c r="B343" s="47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47"/>
      <c r="B344" s="47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47"/>
      <c r="B345" s="47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47"/>
      <c r="B346" s="47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47"/>
      <c r="B347" s="47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47"/>
      <c r="B348" s="47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47"/>
      <c r="B349" s="47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47"/>
      <c r="B350" s="47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47"/>
      <c r="B351" s="47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47"/>
      <c r="B352" s="47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47"/>
      <c r="B353" s="47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47"/>
      <c r="B354" s="47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47"/>
      <c r="B355" s="47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47"/>
      <c r="B356" s="47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47"/>
      <c r="B357" s="47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47"/>
      <c r="B358" s="47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47"/>
      <c r="B359" s="47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47"/>
      <c r="B360" s="47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47"/>
      <c r="B361" s="47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47"/>
      <c r="B362" s="47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47"/>
      <c r="B363" s="47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47"/>
      <c r="B364" s="47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47"/>
      <c r="B365" s="47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47"/>
      <c r="B366" s="47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47"/>
      <c r="B367" s="47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47"/>
      <c r="B368" s="47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47"/>
      <c r="B369" s="47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47"/>
      <c r="B370" s="47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47"/>
      <c r="B371" s="47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47"/>
      <c r="B372" s="47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47"/>
      <c r="B373" s="47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47"/>
      <c r="B374" s="47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47"/>
      <c r="B375" s="47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47"/>
      <c r="B376" s="47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47"/>
      <c r="B377" s="47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47"/>
      <c r="B378" s="47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47"/>
      <c r="B379" s="47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47"/>
      <c r="B380" s="47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47"/>
      <c r="B381" s="47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47"/>
      <c r="B382" s="47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47"/>
      <c r="B383" s="47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47"/>
      <c r="B384" s="47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47"/>
      <c r="B385" s="47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47"/>
      <c r="B386" s="47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47"/>
      <c r="B387" s="47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47"/>
      <c r="B388" s="47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47"/>
      <c r="B389" s="47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47"/>
      <c r="B390" s="47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47"/>
      <c r="B391" s="47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47"/>
      <c r="B392" s="47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47"/>
      <c r="B393" s="47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47"/>
      <c r="B394" s="47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47"/>
      <c r="B395" s="47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47"/>
      <c r="B396" s="47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47"/>
      <c r="B397" s="47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47"/>
      <c r="B398" s="47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47"/>
      <c r="B399" s="47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47"/>
      <c r="B400" s="47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47"/>
      <c r="B401" s="47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47"/>
      <c r="B402" s="47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47"/>
      <c r="B403" s="47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47"/>
      <c r="B404" s="47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47"/>
      <c r="B405" s="47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47"/>
      <c r="B406" s="47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47"/>
      <c r="B407" s="47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47"/>
      <c r="B408" s="47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47"/>
      <c r="B409" s="47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47"/>
      <c r="B410" s="47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47"/>
      <c r="B411" s="47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47"/>
      <c r="B412" s="47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47"/>
      <c r="B413" s="47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47"/>
      <c r="B414" s="47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47"/>
      <c r="B415" s="47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47"/>
      <c r="B416" s="47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47"/>
      <c r="B417" s="47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47"/>
      <c r="B418" s="47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47"/>
      <c r="B419" s="47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47"/>
      <c r="B420" s="47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47"/>
      <c r="B421" s="47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47"/>
      <c r="B422" s="47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47"/>
      <c r="B423" s="47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47"/>
      <c r="B424" s="47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47"/>
      <c r="B425" s="47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47"/>
      <c r="B426" s="47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47"/>
      <c r="B427" s="47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47"/>
      <c r="B428" s="47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47"/>
      <c r="B429" s="47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47"/>
      <c r="B430" s="47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47"/>
      <c r="B431" s="47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47"/>
      <c r="B432" s="47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47"/>
      <c r="B433" s="47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47"/>
      <c r="B434" s="47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47"/>
      <c r="B435" s="47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47"/>
      <c r="B436" s="47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47"/>
      <c r="B437" s="47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47"/>
      <c r="B438" s="47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47"/>
      <c r="B439" s="47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47"/>
      <c r="B440" s="47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47"/>
      <c r="B441" s="47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47"/>
      <c r="B442" s="47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47"/>
      <c r="B443" s="47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47"/>
      <c r="B444" s="47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47"/>
      <c r="B445" s="47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47"/>
      <c r="B446" s="47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47"/>
      <c r="B447" s="47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47"/>
      <c r="B448" s="47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47"/>
      <c r="B449" s="47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47"/>
      <c r="B450" s="47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47"/>
      <c r="B451" s="47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47"/>
      <c r="B452" s="47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47"/>
      <c r="B453" s="47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47"/>
      <c r="B454" s="47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47"/>
      <c r="B455" s="47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47"/>
      <c r="B456" s="47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47"/>
      <c r="B457" s="47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47"/>
      <c r="B458" s="47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47"/>
      <c r="B459" s="47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47"/>
      <c r="B460" s="47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47"/>
      <c r="B461" s="47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47"/>
      <c r="B462" s="47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47"/>
      <c r="B463" s="47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47"/>
      <c r="B464" s="47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47"/>
      <c r="B465" s="47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47"/>
      <c r="B466" s="47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47"/>
      <c r="B467" s="47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47"/>
      <c r="B468" s="47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47"/>
      <c r="B469" s="47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47"/>
      <c r="B470" s="47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47"/>
      <c r="B471" s="47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47"/>
      <c r="B472" s="47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47"/>
      <c r="B473" s="47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47"/>
      <c r="B474" s="47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47"/>
      <c r="B475" s="47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47"/>
      <c r="B476" s="47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47"/>
      <c r="B477" s="47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47"/>
      <c r="B478" s="47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47"/>
      <c r="B479" s="47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47"/>
      <c r="B480" s="47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47"/>
      <c r="B481" s="47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47"/>
      <c r="B482" s="47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47"/>
      <c r="B483" s="47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47"/>
      <c r="B484" s="47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47"/>
      <c r="B485" s="47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47"/>
      <c r="B486" s="47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47"/>
      <c r="B487" s="47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47"/>
      <c r="B488" s="47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47"/>
      <c r="B489" s="47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47"/>
      <c r="B490" s="47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47"/>
      <c r="B491" s="47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47"/>
      <c r="B492" s="47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47"/>
      <c r="B493" s="47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47"/>
      <c r="B494" s="47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47"/>
      <c r="B495" s="47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47"/>
      <c r="B496" s="47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47"/>
      <c r="B497" s="47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47"/>
      <c r="B498" s="47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47"/>
      <c r="B499" s="47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47"/>
      <c r="B500" s="47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47"/>
      <c r="B501" s="47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47"/>
      <c r="B502" s="47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47"/>
      <c r="B503" s="47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47"/>
      <c r="B504" s="47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47"/>
      <c r="B505" s="47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47"/>
      <c r="B506" s="47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47"/>
      <c r="B507" s="47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47"/>
      <c r="B508" s="47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47"/>
      <c r="B509" s="47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47"/>
      <c r="B510" s="47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47"/>
      <c r="B511" s="47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47"/>
      <c r="B512" s="47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47"/>
      <c r="B513" s="47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47"/>
      <c r="B514" s="47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47"/>
      <c r="B515" s="47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47"/>
      <c r="B516" s="47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47"/>
      <c r="B517" s="47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47"/>
      <c r="B518" s="47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47"/>
      <c r="B519" s="47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47"/>
      <c r="B520" s="47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47"/>
      <c r="B521" s="47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47"/>
      <c r="B522" s="47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47"/>
      <c r="B523" s="47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47"/>
      <c r="B524" s="47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47"/>
      <c r="B525" s="47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47"/>
      <c r="B526" s="47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47"/>
      <c r="B527" s="47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47"/>
      <c r="B528" s="47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47"/>
      <c r="B529" s="47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47"/>
      <c r="B530" s="47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47"/>
      <c r="B531" s="47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47"/>
      <c r="B532" s="47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47"/>
      <c r="B533" s="47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47"/>
      <c r="B534" s="47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47"/>
      <c r="B535" s="47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47"/>
      <c r="B536" s="47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47"/>
      <c r="B537" s="47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47"/>
      <c r="B538" s="47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47"/>
      <c r="B539" s="47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47"/>
      <c r="B540" s="47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47"/>
      <c r="B541" s="47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47"/>
      <c r="B542" s="47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47"/>
      <c r="B543" s="47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47"/>
      <c r="B544" s="47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47"/>
      <c r="B545" s="47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47"/>
      <c r="B546" s="47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47"/>
      <c r="B547" s="47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47"/>
      <c r="B548" s="47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47"/>
      <c r="B549" s="47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47"/>
      <c r="B550" s="47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47"/>
      <c r="B551" s="47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47"/>
      <c r="B552" s="47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47"/>
      <c r="B553" s="47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47"/>
      <c r="B554" s="47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47"/>
      <c r="B555" s="47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47"/>
      <c r="B556" s="47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47"/>
      <c r="B557" s="47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47"/>
      <c r="B558" s="47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47"/>
      <c r="B559" s="47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47"/>
      <c r="B560" s="47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47"/>
      <c r="B561" s="47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47"/>
      <c r="B562" s="47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47"/>
      <c r="B563" s="47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47"/>
      <c r="B564" s="47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47"/>
      <c r="B565" s="47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47"/>
      <c r="B566" s="47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47"/>
      <c r="B567" s="47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47"/>
      <c r="B568" s="47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47"/>
      <c r="B569" s="47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47"/>
      <c r="B570" s="47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47"/>
      <c r="B571" s="47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47"/>
      <c r="B572" s="47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47"/>
      <c r="B573" s="47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47"/>
      <c r="B574" s="47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47"/>
      <c r="B575" s="47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47"/>
      <c r="B576" s="47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47"/>
      <c r="B577" s="47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47"/>
      <c r="B578" s="47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47"/>
      <c r="B579" s="47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47"/>
      <c r="B580" s="47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47"/>
      <c r="B581" s="47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47"/>
      <c r="B582" s="47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47"/>
      <c r="B583" s="47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47"/>
      <c r="B584" s="47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47"/>
      <c r="B585" s="47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47"/>
      <c r="B586" s="47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47"/>
      <c r="B587" s="47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47"/>
      <c r="B588" s="47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47"/>
      <c r="B589" s="47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47"/>
      <c r="B590" s="47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47"/>
      <c r="B591" s="47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47"/>
      <c r="B592" s="47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47"/>
      <c r="B593" s="47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47"/>
      <c r="B594" s="47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47"/>
      <c r="B595" s="47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47"/>
      <c r="B596" s="47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47"/>
      <c r="B597" s="47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47"/>
      <c r="B598" s="47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47"/>
      <c r="B599" s="47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47"/>
      <c r="B600" s="47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47"/>
      <c r="B601" s="47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47"/>
      <c r="B602" s="47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47"/>
      <c r="B603" s="47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47"/>
      <c r="B604" s="47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47"/>
      <c r="B605" s="47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47"/>
      <c r="B606" s="47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47"/>
      <c r="B607" s="47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47"/>
      <c r="B608" s="47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47"/>
      <c r="B609" s="47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47"/>
      <c r="B610" s="47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47"/>
      <c r="B611" s="47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47"/>
      <c r="B612" s="47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47"/>
      <c r="B613" s="47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47"/>
      <c r="B614" s="47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47"/>
      <c r="B615" s="47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47"/>
      <c r="B616" s="47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47"/>
      <c r="B617" s="47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47"/>
      <c r="B618" s="47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47"/>
      <c r="B619" s="47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47"/>
      <c r="B620" s="47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47"/>
      <c r="B621" s="47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47"/>
      <c r="B622" s="47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47"/>
      <c r="B623" s="47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47"/>
      <c r="B624" s="47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47"/>
      <c r="B625" s="47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47"/>
      <c r="B626" s="47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47"/>
      <c r="B627" s="47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47"/>
      <c r="B628" s="47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47"/>
      <c r="B629" s="47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47"/>
      <c r="B630" s="47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47"/>
      <c r="B631" s="47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47"/>
      <c r="B632" s="47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47"/>
      <c r="B633" s="47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47"/>
      <c r="B634" s="47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47"/>
      <c r="B635" s="47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47"/>
      <c r="B636" s="47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47"/>
      <c r="B637" s="47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47"/>
      <c r="B638" s="47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47"/>
      <c r="B639" s="47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47"/>
      <c r="B640" s="47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47"/>
      <c r="B641" s="47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47"/>
      <c r="B642" s="47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47"/>
      <c r="B643" s="47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47"/>
      <c r="B644" s="47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47"/>
      <c r="B645" s="47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47"/>
      <c r="B646" s="47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47"/>
      <c r="B647" s="47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47"/>
      <c r="B648" s="47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47"/>
      <c r="B649" s="47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47"/>
      <c r="B650" s="47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47"/>
      <c r="B651" s="47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47"/>
      <c r="B652" s="47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47"/>
      <c r="B653" s="47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47"/>
      <c r="B654" s="47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47"/>
      <c r="B655" s="47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47"/>
      <c r="B656" s="47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47"/>
      <c r="B657" s="47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47"/>
      <c r="B658" s="47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47"/>
      <c r="B659" s="47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47"/>
      <c r="B660" s="47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47"/>
      <c r="B661" s="47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47"/>
      <c r="B662" s="47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47"/>
      <c r="B663" s="47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47"/>
      <c r="B664" s="47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47"/>
      <c r="B665" s="47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47"/>
      <c r="B666" s="47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47"/>
      <c r="B667" s="47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47"/>
      <c r="B668" s="47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47"/>
      <c r="B669" s="47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47"/>
      <c r="B670" s="47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47"/>
      <c r="B671" s="47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47"/>
      <c r="B672" s="47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47"/>
      <c r="B673" s="47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47"/>
      <c r="B674" s="47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47"/>
      <c r="B675" s="47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47"/>
      <c r="B676" s="47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47"/>
      <c r="B677" s="47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47"/>
      <c r="B678" s="47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47"/>
      <c r="B679" s="47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47"/>
      <c r="B680" s="47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47"/>
      <c r="B681" s="47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47"/>
      <c r="B682" s="47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47"/>
      <c r="B683" s="47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47"/>
      <c r="B684" s="47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47"/>
      <c r="B685" s="47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47"/>
      <c r="B686" s="47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47"/>
      <c r="B687" s="47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47"/>
      <c r="B688" s="47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47"/>
      <c r="B689" s="47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47"/>
      <c r="B690" s="47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47"/>
      <c r="B691" s="47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47"/>
      <c r="B692" s="47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47"/>
      <c r="B693" s="47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47"/>
      <c r="B694" s="47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47"/>
      <c r="B695" s="47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47"/>
      <c r="B696" s="47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47"/>
      <c r="B697" s="47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47"/>
      <c r="B698" s="47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47"/>
      <c r="B699" s="47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47"/>
      <c r="B700" s="47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47"/>
      <c r="B701" s="47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47"/>
      <c r="B702" s="47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47"/>
      <c r="B703" s="47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47"/>
      <c r="B704" s="47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47"/>
      <c r="B705" s="47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47"/>
      <c r="B706" s="47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47"/>
      <c r="B707" s="47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47"/>
      <c r="B708" s="47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47"/>
      <c r="B709" s="47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47"/>
      <c r="B710" s="47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47"/>
      <c r="B711" s="47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47"/>
      <c r="B712" s="47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47"/>
      <c r="B713" s="47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47"/>
      <c r="B714" s="47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47"/>
      <c r="B715" s="47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47"/>
      <c r="B716" s="47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47"/>
      <c r="B717" s="47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47"/>
      <c r="B718" s="47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47"/>
      <c r="B719" s="47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47"/>
      <c r="B720" s="47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47"/>
      <c r="B721" s="47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47"/>
      <c r="B722" s="47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47"/>
      <c r="B723" s="47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47"/>
      <c r="B724" s="47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47"/>
      <c r="B725" s="47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47"/>
      <c r="B726" s="47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47"/>
      <c r="B727" s="47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47"/>
      <c r="B728" s="47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47"/>
      <c r="B729" s="47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47"/>
      <c r="B730" s="47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47"/>
      <c r="B731" s="47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47"/>
      <c r="B732" s="47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47"/>
      <c r="B733" s="47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47"/>
      <c r="B734" s="47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47"/>
      <c r="B735" s="47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47"/>
      <c r="B736" s="47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47"/>
      <c r="B737" s="47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47"/>
      <c r="B738" s="47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47"/>
      <c r="B739" s="47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47"/>
      <c r="B740" s="47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47"/>
      <c r="B741" s="47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47"/>
      <c r="B742" s="47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47"/>
      <c r="B743" s="47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47"/>
      <c r="B744" s="47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47"/>
      <c r="B745" s="47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47"/>
      <c r="B746" s="47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47"/>
      <c r="B747" s="47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47"/>
      <c r="B748" s="47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47"/>
      <c r="B749" s="47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47"/>
      <c r="B750" s="47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47"/>
      <c r="B751" s="47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47"/>
      <c r="B752" s="47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47"/>
      <c r="B753" s="47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47"/>
      <c r="B754" s="47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47"/>
      <c r="B755" s="47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47"/>
      <c r="B756" s="47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47"/>
      <c r="B757" s="47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47"/>
      <c r="B758" s="47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47"/>
      <c r="B759" s="47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47"/>
      <c r="B760" s="47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47"/>
      <c r="B761" s="47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47"/>
      <c r="B762" s="47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47"/>
      <c r="B763" s="47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47"/>
      <c r="B764" s="47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47"/>
      <c r="B765" s="47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47"/>
      <c r="B766" s="47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47"/>
      <c r="B767" s="47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47"/>
      <c r="B768" s="47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47"/>
      <c r="B769" s="47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47"/>
      <c r="B770" s="47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47"/>
      <c r="B771" s="47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47"/>
      <c r="B772" s="47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47"/>
      <c r="B773" s="47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47"/>
      <c r="B774" s="47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47"/>
      <c r="B775" s="47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47"/>
      <c r="B776" s="47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47"/>
      <c r="B777" s="47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47"/>
      <c r="B778" s="47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47"/>
      <c r="B779" s="47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47"/>
      <c r="B780" s="47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47"/>
      <c r="B781" s="47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47"/>
      <c r="B782" s="47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47"/>
      <c r="B783" s="47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47"/>
      <c r="B784" s="47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47"/>
      <c r="B785" s="47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47"/>
      <c r="B786" s="47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47"/>
      <c r="B787" s="47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47"/>
      <c r="B788" s="47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47"/>
      <c r="B789" s="47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47"/>
      <c r="B790" s="47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47"/>
      <c r="B791" s="47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47"/>
      <c r="B792" s="47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47"/>
      <c r="B793" s="47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47"/>
      <c r="B794" s="47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47"/>
      <c r="B795" s="47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47"/>
      <c r="B796" s="47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47"/>
      <c r="B797" s="47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47"/>
      <c r="B798" s="47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47"/>
      <c r="B799" s="47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47"/>
      <c r="B800" s="47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47"/>
      <c r="B801" s="47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47"/>
      <c r="B802" s="47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47"/>
      <c r="B803" s="47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47"/>
      <c r="B804" s="47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47"/>
      <c r="B805" s="47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47"/>
      <c r="B806" s="47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47"/>
      <c r="B807" s="47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47"/>
      <c r="B808" s="47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47"/>
      <c r="B809" s="47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47"/>
      <c r="B810" s="47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47"/>
      <c r="B811" s="47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47"/>
      <c r="B812" s="47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47"/>
      <c r="B813" s="47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47"/>
      <c r="B814" s="47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47"/>
      <c r="B815" s="47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47"/>
      <c r="B816" s="47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47"/>
      <c r="B817" s="47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47"/>
      <c r="B818" s="47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47"/>
      <c r="B819" s="47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47"/>
      <c r="B820" s="47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47"/>
      <c r="B821" s="47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47"/>
      <c r="B822" s="47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47"/>
      <c r="B823" s="47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47"/>
      <c r="B824" s="47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47"/>
      <c r="B825" s="47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47"/>
      <c r="B826" s="47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47"/>
      <c r="B827" s="47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47"/>
      <c r="B828" s="47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47"/>
      <c r="B829" s="47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47"/>
      <c r="B830" s="47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47"/>
      <c r="B831" s="47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47"/>
      <c r="B832" s="47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47"/>
      <c r="B833" s="47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47"/>
      <c r="B834" s="47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47"/>
      <c r="B835" s="47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47"/>
      <c r="B836" s="47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47"/>
      <c r="B837" s="47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47"/>
      <c r="B838" s="47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47"/>
      <c r="B839" s="47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47"/>
      <c r="B840" s="47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47"/>
      <c r="B841" s="47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47"/>
      <c r="B842" s="47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47"/>
      <c r="B843" s="47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47"/>
      <c r="B844" s="47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47"/>
      <c r="B845" s="47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47"/>
      <c r="B846" s="47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47"/>
      <c r="B847" s="47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47"/>
      <c r="B848" s="47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47"/>
      <c r="B849" s="47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47"/>
      <c r="B850" s="47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47"/>
      <c r="B851" s="47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47"/>
      <c r="B852" s="47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47"/>
      <c r="B853" s="47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47"/>
      <c r="B854" s="47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47"/>
      <c r="B855" s="47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47"/>
      <c r="B856" s="47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47"/>
      <c r="B857" s="47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47"/>
      <c r="B858" s="47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47"/>
      <c r="B859" s="47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47"/>
      <c r="B860" s="47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47"/>
      <c r="B861" s="47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47"/>
      <c r="B862" s="47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47"/>
      <c r="B863" s="47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47"/>
      <c r="B864" s="47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47"/>
      <c r="B865" s="47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47"/>
      <c r="B866" s="47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47"/>
      <c r="B867" s="47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47"/>
      <c r="B868" s="47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47"/>
      <c r="B869" s="47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47"/>
      <c r="B870" s="47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47"/>
      <c r="B871" s="47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47"/>
      <c r="B872" s="47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47"/>
      <c r="B873" s="47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47"/>
      <c r="B874" s="47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47"/>
      <c r="B875" s="47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47"/>
      <c r="B876" s="47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47"/>
      <c r="B877" s="47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47"/>
      <c r="B878" s="47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47"/>
      <c r="B879" s="47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47"/>
      <c r="B880" s="47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47"/>
      <c r="B881" s="47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47"/>
      <c r="B882" s="47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47"/>
      <c r="B883" s="47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47"/>
      <c r="B884" s="47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47"/>
      <c r="B885" s="47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47"/>
      <c r="B886" s="47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47"/>
      <c r="B887" s="47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47"/>
      <c r="B888" s="47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47"/>
      <c r="B889" s="47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47"/>
      <c r="B890" s="47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47"/>
      <c r="B891" s="47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47"/>
      <c r="B892" s="47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47"/>
      <c r="B893" s="47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47"/>
      <c r="B894" s="47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47"/>
      <c r="B895" s="47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47"/>
      <c r="B896" s="47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47"/>
      <c r="B897" s="47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47"/>
      <c r="B898" s="47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47"/>
      <c r="B899" s="47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47"/>
      <c r="B900" s="47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47"/>
      <c r="B901" s="47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47"/>
      <c r="B902" s="47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47"/>
      <c r="B903" s="47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47"/>
      <c r="B904" s="47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47"/>
      <c r="B905" s="47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47"/>
      <c r="B906" s="47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47"/>
      <c r="B907" s="47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47"/>
      <c r="B908" s="47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47"/>
      <c r="B909" s="47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47"/>
      <c r="B910" s="47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47"/>
      <c r="B911" s="47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47"/>
      <c r="B912" s="47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47"/>
      <c r="B913" s="47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47"/>
      <c r="B914" s="47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47"/>
      <c r="B915" s="47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47"/>
      <c r="B916" s="47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47"/>
      <c r="B917" s="47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47"/>
      <c r="B918" s="47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47"/>
      <c r="B919" s="47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47"/>
      <c r="B920" s="47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47"/>
      <c r="B921" s="47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47"/>
      <c r="B922" s="47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47"/>
      <c r="B923" s="47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47"/>
      <c r="B924" s="47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47"/>
      <c r="B925" s="47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47"/>
      <c r="B926" s="47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47"/>
      <c r="B927" s="47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47"/>
      <c r="B928" s="47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47"/>
      <c r="B929" s="47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47"/>
      <c r="B930" s="47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47"/>
      <c r="B931" s="47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47"/>
      <c r="B932" s="47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47"/>
      <c r="B933" s="47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47"/>
      <c r="B934" s="47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47"/>
      <c r="B935" s="47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47"/>
      <c r="B936" s="47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47"/>
      <c r="B937" s="47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47"/>
      <c r="B938" s="47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47"/>
      <c r="B939" s="47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47"/>
      <c r="B940" s="47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47"/>
      <c r="B941" s="47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47"/>
      <c r="B942" s="47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47"/>
      <c r="B943" s="47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47"/>
      <c r="B944" s="47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47"/>
      <c r="B945" s="47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47"/>
      <c r="B946" s="47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47"/>
      <c r="B947" s="47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47"/>
      <c r="B948" s="47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47"/>
      <c r="B949" s="47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47"/>
      <c r="B950" s="47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47"/>
      <c r="B951" s="47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47"/>
      <c r="B952" s="47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47"/>
      <c r="B953" s="47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47"/>
      <c r="B954" s="47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47"/>
      <c r="B955" s="47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47"/>
      <c r="B956" s="47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47"/>
      <c r="B957" s="47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47"/>
      <c r="B958" s="47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47"/>
      <c r="B959" s="47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47"/>
      <c r="B960" s="47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47"/>
      <c r="B961" s="47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47"/>
      <c r="B962" s="47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47"/>
      <c r="B963" s="47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47"/>
      <c r="B964" s="47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47"/>
      <c r="B965" s="47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47"/>
      <c r="B966" s="47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47"/>
      <c r="B967" s="47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47"/>
      <c r="B968" s="47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47"/>
      <c r="B969" s="47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47"/>
      <c r="B970" s="47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47"/>
      <c r="B971" s="47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47"/>
      <c r="B972" s="47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47"/>
      <c r="B973" s="47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47"/>
      <c r="B974" s="47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47"/>
      <c r="B975" s="47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47"/>
      <c r="B976" s="47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47"/>
      <c r="B977" s="47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47"/>
      <c r="B978" s="47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47"/>
      <c r="B979" s="47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47"/>
      <c r="B980" s="47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47"/>
      <c r="B981" s="47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47"/>
      <c r="B982" s="47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47"/>
      <c r="B983" s="47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47"/>
      <c r="B984" s="47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47"/>
      <c r="B985" s="47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47"/>
      <c r="B986" s="47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47"/>
      <c r="B987" s="47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47"/>
      <c r="B988" s="47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47"/>
      <c r="B989" s="47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47"/>
      <c r="B990" s="47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47"/>
      <c r="B991" s="47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47"/>
      <c r="B992" s="47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47"/>
      <c r="B993" s="47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47"/>
      <c r="B994" s="47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47"/>
      <c r="B995" s="47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47"/>
      <c r="B996" s="47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47"/>
      <c r="B997" s="47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47"/>
      <c r="B998" s="47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47"/>
      <c r="B999" s="47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47"/>
      <c r="B1000" s="47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