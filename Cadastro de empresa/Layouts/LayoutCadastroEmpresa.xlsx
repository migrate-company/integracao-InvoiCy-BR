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Cadastro de Empresas" sheetId="1" r:id="rId4"/>
    <sheet state="visible" name="Retorno_Cadastro de Empresas" sheetId="2" r:id="rId5"/>
    <sheet state="visible" name="Retorno_Consulta_Empresas" sheetId="3" r:id="rId6"/>
  </sheets>
  <definedNames/>
  <calcPr/>
  <extLst>
    <ext uri="GoogleSheetsCustomDataVersion2">
      <go:sheetsCustomData xmlns:go="http://customooxmlschemas.google.com/" r:id="rId7" roundtripDataChecksum="J5bGiiNf3cDQIikBdAek42F2gvnC9A64kVnD7lbHhSU="/>
    </ext>
  </extLst>
</workbook>
</file>

<file path=xl/sharedStrings.xml><?xml version="1.0" encoding="utf-8"?>
<sst xmlns="http://schemas.openxmlformats.org/spreadsheetml/2006/main" count="2802" uniqueCount="870">
  <si>
    <t>Nº</t>
  </si>
  <si>
    <t>Seq</t>
  </si>
  <si>
    <t>XML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</si>
  <si>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</si>
  <si>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</si>
  <si>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</si>
  <si>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</si>
  <si>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</si>
  <si>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</si>
  <si>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</si>
  <si>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</si>
  <si>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CadastroEmpresa</t>
  </si>
  <si>
    <t>RetornoCadastro</t>
  </si>
  <si>
    <t>G</t>
  </si>
  <si>
    <t>Elemento Superior da Estrutura</t>
  </si>
  <si>
    <t>-</t>
  </si>
  <si>
    <t>1-1</t>
  </si>
  <si>
    <t> -</t>
  </si>
  <si>
    <t>EmpNomFantasia</t>
  </si>
  <si>
    <t>Nome fantasia</t>
  </si>
  <si>
    <t>Preenchimento obrigatório</t>
  </si>
  <si>
    <t>E</t>
  </si>
  <si>
    <t>1.0.0.0</t>
  </si>
  <si>
    <t>RetornoItem</t>
  </si>
  <si>
    <t>EmpApelido</t>
  </si>
  <si>
    <t>Modelo do documento</t>
  </si>
  <si>
    <t>Apelido da Empresa</t>
  </si>
  <si>
    <t>1-N</t>
  </si>
  <si>
    <t>Esse grupo corresponde a informação dos dados da empresa emissora.</t>
  </si>
  <si>
    <t>EmpRazSocial</t>
  </si>
  <si>
    <t xml:space="preserve">Razão social </t>
  </si>
  <si>
    <t>Codigo</t>
  </si>
  <si>
    <t>Código do Retorno</t>
  </si>
  <si>
    <t>EmpCNPJ</t>
  </si>
  <si>
    <t>CNPJ da Empresa</t>
  </si>
  <si>
    <t>CE</t>
  </si>
  <si>
    <t>N (3)</t>
  </si>
  <si>
    <t>EmpCPF</t>
  </si>
  <si>
    <t>CPF da Empresa</t>
  </si>
  <si>
    <t>V (100)</t>
  </si>
  <si>
    <t>Descricao</t>
  </si>
  <si>
    <t>Descrição do Retorno</t>
  </si>
  <si>
    <t>V (1000)</t>
  </si>
  <si>
    <t>EmpIE</t>
  </si>
  <si>
    <t xml:space="preserve">Inscrição Estadual </t>
  </si>
  <si>
    <t>Obrigatório informar para empresas emissoras de NFS-e</t>
  </si>
  <si>
    <t>EmpAK</t>
  </si>
  <si>
    <t>Chave de Acesso da Empresa</t>
  </si>
  <si>
    <t>V (32)</t>
  </si>
  <si>
    <t>0-1</t>
  </si>
  <si>
    <t>Só irá retornar em caso de sucesso no cadastro.</t>
  </si>
  <si>
    <t>EmpTelefone</t>
  </si>
  <si>
    <t>Telefone da empresa</t>
  </si>
  <si>
    <t>ChaveCriptografia</t>
  </si>
  <si>
    <t>Apelido da Empresa. Irá caracterizar a empresa no sistema, podendo utilizar qualquer denominação.</t>
  </si>
  <si>
    <t>Chave de Criptografia de 32 caracteres, única por empresa.</t>
  </si>
  <si>
    <t>V (20)</t>
  </si>
  <si>
    <t>EmpEndereco</t>
  </si>
  <si>
    <t>Endereço</t>
  </si>
  <si>
    <t>Só irá retornar em caso de sucesso no cadastro. Deverá ser utilizada pelo Parceiro para criptografar a senha do certificado digital, usando o método AES.</t>
  </si>
  <si>
    <t>1.19.0.0</t>
  </si>
  <si>
    <t xml:space="preserve">Denominação informal, pois o nome fantasia e razão social são enviadas à prefeitura. Caso não seja enviado, será preenchido com o nome fantasia. </t>
  </si>
  <si>
    <t>EmpNumero</t>
  </si>
  <si>
    <t>Número</t>
  </si>
  <si>
    <t>EmpBairro</t>
  </si>
  <si>
    <t xml:space="preserve">Bairro </t>
  </si>
  <si>
    <t>EmpCEP</t>
  </si>
  <si>
    <t xml:space="preserve">CEP </t>
  </si>
  <si>
    <t>EmpComplemento</t>
  </si>
  <si>
    <t xml:space="preserve">Complemento do endereço </t>
  </si>
  <si>
    <t>V (14)</t>
  </si>
  <si>
    <t>EmpIM</t>
  </si>
  <si>
    <t>Inscrição Municipal</t>
  </si>
  <si>
    <t>MunCodigo</t>
  </si>
  <si>
    <t>Código do Município</t>
  </si>
  <si>
    <t>V (11)</t>
  </si>
  <si>
    <t>MunDescricao</t>
  </si>
  <si>
    <t>Descrição do Município</t>
  </si>
  <si>
    <t>UFCodigo</t>
  </si>
  <si>
    <t>Código da UF</t>
  </si>
  <si>
    <t>2.9.0</t>
  </si>
  <si>
    <t>UFDescricao</t>
  </si>
  <si>
    <t>Descrição da UF</t>
  </si>
  <si>
    <t>EmpCNAE</t>
  </si>
  <si>
    <t>Código CNAE</t>
  </si>
  <si>
    <t>EmpCRT</t>
  </si>
  <si>
    <t>Código CRT</t>
  </si>
  <si>
    <t>EmpIEST</t>
  </si>
  <si>
    <t>Código IEST</t>
  </si>
  <si>
    <t>EmpMtrCNPJ</t>
  </si>
  <si>
    <t>CNPJ da Matriz</t>
  </si>
  <si>
    <t>EmpMtrNomComercial</t>
  </si>
  <si>
    <t>Nome comercial da Matriz</t>
  </si>
  <si>
    <t>V (12)</t>
  </si>
  <si>
    <t>EmpStatus</t>
  </si>
  <si>
    <t>Status da Empresa</t>
  </si>
  <si>
    <t>A - Ativo; I - Inativo</t>
  </si>
  <si>
    <t>EmpMarca</t>
  </si>
  <si>
    <t>Logomarca da empresa</t>
  </si>
  <si>
    <t>V (200)</t>
  </si>
  <si>
    <t>EmpMarcaExtensao</t>
  </si>
  <si>
    <t>Extensão da logomarca</t>
  </si>
  <si>
    <t>EmpEmail</t>
  </si>
  <si>
    <t>E-mail para Notificações</t>
  </si>
  <si>
    <t>V (15)</t>
  </si>
  <si>
    <t>EmpObservacao</t>
  </si>
  <si>
    <t>Observações da empresa</t>
  </si>
  <si>
    <t>EmpTpoEndereco</t>
  </si>
  <si>
    <t>Tipo de Endereço</t>
  </si>
  <si>
    <t>Tipo de Endereço (Rua, Avenida, Travessa, etc.)</t>
  </si>
  <si>
    <t>EmpDtaCadastro</t>
  </si>
  <si>
    <t xml:space="preserve">Data/Hora do cadastro da Empresa </t>
  </si>
  <si>
    <t>V (8)</t>
  </si>
  <si>
    <t>EmpInsSuframa</t>
  </si>
  <si>
    <t>Inscrição SUFRAMA</t>
  </si>
  <si>
    <t>Parametros</t>
  </si>
  <si>
    <t>Parâmetros de configuração</t>
  </si>
  <si>
    <t>JustInut</t>
  </si>
  <si>
    <t>Justificativa da inutilização</t>
  </si>
  <si>
    <t xml:space="preserve">E </t>
  </si>
  <si>
    <t>JustCanc</t>
  </si>
  <si>
    <t>Justificativa do cancelamento</t>
  </si>
  <si>
    <t>N (10)</t>
  </si>
  <si>
    <t>Utilizar tabela do IBGE. Obrigatório informar para empresas emissoras de NFS-e</t>
  </si>
  <si>
    <t>JustCont</t>
  </si>
  <si>
    <t>Justificativa de contingência</t>
  </si>
  <si>
    <t>V (10)</t>
  </si>
  <si>
    <t>Utilizar a tabela de Códigos e Denominações da CNAE.</t>
  </si>
  <si>
    <t>Essa tag refere-se ao código da Classificação Nacional de Atividades Econômicas. Para saber o código da sua empresa, consulte a tabela CNAE da atividade econômica principal e, ainda, das atividades econômicas secundárias, através do endereço: www.cnae.ibge.gov.br.</t>
  </si>
  <si>
    <t>EmailAutorizado</t>
  </si>
  <si>
    <t>Texto do e-mail autorizado</t>
  </si>
  <si>
    <t>N (1)</t>
  </si>
  <si>
    <t>EmailCancelado</t>
  </si>
  <si>
    <t>Texto do e-mail cancelado</t>
  </si>
  <si>
    <t>Utilizar tabela de códigos CRT.</t>
  </si>
  <si>
    <t>Essa tag refere-se ao Código de Regime Tributário utilizado pela empresa emissora. De acordo com a tabela de CRT, existe o grupo do Simples Nacional, Simples Nacional - Excesso de Sublimite de Receita Bruta, Regime Normal e Simples Nacional – Microempreendedor Individual – MEI. Para saber em quais dos grupos sua empresa se enquadra utilize a tabela de códigos CRT, e para maiores informações consulte seu contador.</t>
  </si>
  <si>
    <t>EmailCCe</t>
  </si>
  <si>
    <t>Texto do e-mail da CC-e</t>
  </si>
  <si>
    <t>Inscrição Estadual do Substituto Tributário.</t>
  </si>
  <si>
    <t>Orienta-se informar a IE do ST da UF de destino da mercadoria, quando houver a retenção do ICMS ST para a UF de destino.</t>
  </si>
  <si>
    <t>EmailTitulo</t>
  </si>
  <si>
    <t>Título do E-mail</t>
  </si>
  <si>
    <t>OrientDANFE</t>
  </si>
  <si>
    <t>Orientação do DANFE</t>
  </si>
  <si>
    <t>1- Retrato, 2- Paisagem</t>
  </si>
  <si>
    <t>InfCplVerso</t>
  </si>
  <si>
    <t>Informações complementares no verso</t>
  </si>
  <si>
    <t>S - Sim; N - Não</t>
  </si>
  <si>
    <t>V (2M)</t>
  </si>
  <si>
    <t>DhImpressao</t>
  </si>
  <si>
    <t>Data e Hora da Impressão</t>
  </si>
  <si>
    <t>V (5)</t>
  </si>
  <si>
    <t>ImpTributos</t>
  </si>
  <si>
    <t>Imprimir Tributos</t>
  </si>
  <si>
    <t>1 - Nos itens; 2 - Nas informações complementares; 3 - Ambos; 4 - Não imprimir</t>
  </si>
  <si>
    <t>A22</t>
  </si>
  <si>
    <t xml:space="preserve"> EmpArqApelido </t>
  </si>
  <si>
    <t>Descrição da Logomarca</t>
  </si>
  <si>
    <t>DescICMS</t>
  </si>
  <si>
    <t>Desconto ICMS</t>
  </si>
  <si>
    <t>V(50)</t>
  </si>
  <si>
    <t>A01</t>
  </si>
  <si>
    <t>2.47.0.0</t>
  </si>
  <si>
    <t>EnviarPDFEmail</t>
  </si>
  <si>
    <t>Enviar PDF por E-mail</t>
  </si>
  <si>
    <t>V (255)</t>
  </si>
  <si>
    <t>Orienta-se preencher essa tag com um endereço válido, para receber e-mails do InvoiCy.</t>
  </si>
  <si>
    <t>EnviarXMLEmail</t>
  </si>
  <si>
    <t>Enviar XML por E-mail</t>
  </si>
  <si>
    <t>V (4000)</t>
  </si>
  <si>
    <t>ReaprovDocsRejeitados</t>
  </si>
  <si>
    <t>Reaproveitar Documentos Rejeitados</t>
  </si>
  <si>
    <t>InutPulosNumeracao</t>
  </si>
  <si>
    <t>Inutilização por Pulos na Numeração</t>
  </si>
  <si>
    <t>PermitirCorrecaoNFCe</t>
  </si>
  <si>
    <t>Permitir Correção de NFC-e</t>
  </si>
  <si>
    <t>EmpIdentificacao</t>
  </si>
  <si>
    <t>Identificador</t>
  </si>
  <si>
    <t>CaminhoExportacaoXML</t>
  </si>
  <si>
    <t>Caminho de exportação de XML</t>
  </si>
  <si>
    <t>IdTokenNFCe</t>
  </si>
  <si>
    <t>Certificado</t>
  </si>
  <si>
    <t>Token fornecido pela SEFAZ para emissores de NFC-e</t>
  </si>
  <si>
    <t>CSCNFCe</t>
  </si>
  <si>
    <t>Código CSC fornecido pela SEFAZ para emissores de NFC-e</t>
  </si>
  <si>
    <t>O grupo Certificado refere-se a informação do arquivo .pfx necessário para que a empresa possa realizar emissões com o InvoiCy.</t>
  </si>
  <si>
    <t>ArquivoPFX</t>
  </si>
  <si>
    <t>Arquivo do Certificado</t>
  </si>
  <si>
    <t>A53</t>
  </si>
  <si>
    <t>AtivacaoReformaTributaria</t>
  </si>
  <si>
    <t>Retornar se a reforma tributária está ativa na consulta de cadastro de empresa</t>
  </si>
  <si>
    <t>O arquivo .pfx deve ser enviado convertido para base64. Para mais informações consulte o tópico Exemplo de decodificação de base64 para arquivo</t>
  </si>
  <si>
    <t>A32</t>
  </si>
  <si>
    <t>Apenas para retorno na consulta de cadastro do framework</t>
  </si>
  <si>
    <t>Senha</t>
  </si>
  <si>
    <t>Senha do Certificado</t>
  </si>
  <si>
    <t>TipoCertificado</t>
  </si>
  <si>
    <t>Tipo do certificado digital</t>
  </si>
  <si>
    <t>NFe</t>
  </si>
  <si>
    <t>Parâmetros do Módulo NF-e</t>
  </si>
  <si>
    <t>1 - Certificado A1; 3 - Certificado A3</t>
  </si>
  <si>
    <t>MetodoCriptografiaSenha</t>
  </si>
  <si>
    <t>Método de criptografia da senha do certificado</t>
  </si>
  <si>
    <t>Se deseja informar a senha do certificado digital criptografada, deve preencher este campo com o método de criptografia AES. Caso contrário deixe o campo em branco e envie a senha normalmente.</t>
  </si>
  <si>
    <t>InutilizarAutomaticamenteDocumentosRejeitados</t>
  </si>
  <si>
    <t>Inutilizar Automaticamente Documentos Rejeitados</t>
  </si>
  <si>
    <t>UsarCertPreCadastrado</t>
  </si>
  <si>
    <t>Usar certificado já cadastrado para grupo de empresas</t>
  </si>
  <si>
    <t>C (1)</t>
  </si>
  <si>
    <t xml:space="preserve">Informar "S" caso queira utilizar essa funcionalidade, caso contrario, não é necessário informar o campo </t>
  </si>
  <si>
    <t>Quando informado "S" o sistema irá cadastrar automaticamente o certificado com a maior validade cadastrado para uma empresa que tenha a mesma raiz de CNPJ, geralmente a matriz</t>
  </si>
  <si>
    <t>Usuarios</t>
  </si>
  <si>
    <t>InutilizarPulosNumeracao</t>
  </si>
  <si>
    <t>Inutilizar Pulos de Numeração</t>
  </si>
  <si>
    <t>Esse grupo permite criar novos usuários do tipo Normal, ou informar usuários já existentes, que serão vinculados a empresa que está sendo cadastrada, e que também terão acesso ao InvoiCy.</t>
  </si>
  <si>
    <t>UsuariosItem</t>
  </si>
  <si>
    <t>FormaRetornoPDFIntegracao</t>
  </si>
  <si>
    <t>Forma de retorno do PDF na integração</t>
  </si>
  <si>
    <t>1 - Base64; 2 - Link para download; 3 - Base64 e Link; 4 - Não retornar</t>
  </si>
  <si>
    <t>Não informar este grupo quando a integração for API Rest.</t>
  </si>
  <si>
    <t>FormaRetornoXMLIntegracao</t>
  </si>
  <si>
    <t>Forma de retorno do XML na integração</t>
  </si>
  <si>
    <t>UsrNome</t>
  </si>
  <si>
    <t>Nome do usuário</t>
  </si>
  <si>
    <t>UltimoNSU</t>
  </si>
  <si>
    <t>Último NSU</t>
  </si>
  <si>
    <t>UsrEmail</t>
  </si>
  <si>
    <t>E-mail do usuário</t>
  </si>
  <si>
    <t xml:space="preserve">  JustInut</t>
  </si>
  <si>
    <t>Justificativa da Inutilização da NF-e</t>
  </si>
  <si>
    <t>UsrSenha</t>
  </si>
  <si>
    <t>Senha do usuário</t>
  </si>
  <si>
    <t xml:space="preserve">  JustCanc</t>
  </si>
  <si>
    <t>Justificativa do Cancelamento da NF-e</t>
  </si>
  <si>
    <t>A36</t>
  </si>
  <si>
    <t>Apenas Vincular</t>
  </si>
  <si>
    <t>Vincular usuário já cadastrado  a um novo CNPJ de forma integrada</t>
  </si>
  <si>
    <t>2.45.0.0</t>
  </si>
  <si>
    <t xml:space="preserve">  JustCont</t>
  </si>
  <si>
    <t>Justificativa de Contingência da NF-e</t>
  </si>
  <si>
    <t>GrupoUsuario</t>
  </si>
  <si>
    <t>Grupo de permissões do Usuário</t>
  </si>
  <si>
    <t xml:space="preserve">  TextoEmailAutorizado</t>
  </si>
  <si>
    <t>Texto do e-mail autorizado da NF-e</t>
  </si>
  <si>
    <t>1 - Gerente; 2 - Digitador; 3 – Nenhum OU código do Grupos de permissões</t>
  </si>
  <si>
    <t>1.14.0.0</t>
  </si>
  <si>
    <t>Essa tag permite especificar a qual grupo de permissões o usuário irá pertencer.</t>
  </si>
  <si>
    <t xml:space="preserve">  TextoEmailCancelado</t>
  </si>
  <si>
    <t>Texto do e-mail cancelado da NF-e</t>
  </si>
  <si>
    <t>A38</t>
  </si>
  <si>
    <t>UsrSolicitarTrocaSenha</t>
  </si>
  <si>
    <t>Solicitar alteração de senha</t>
  </si>
  <si>
    <t>S – Sim; N – Não</t>
  </si>
  <si>
    <t>2.62.0.0</t>
  </si>
  <si>
    <t xml:space="preserve">  TextoEmailCCe</t>
  </si>
  <si>
    <t>Texto do e-mail da CC-e da NF-e</t>
  </si>
  <si>
    <t>Permissoes</t>
  </si>
  <si>
    <t>Permissões dos Usuários</t>
  </si>
  <si>
    <t>Esse grupo permite configurar as permissões do usuário para cada módulo do InvoiCy.</t>
  </si>
  <si>
    <t xml:space="preserve">  EmailTitulo</t>
  </si>
  <si>
    <t>Título do E-mail da NF-e</t>
  </si>
  <si>
    <t>PermissaoCTe</t>
  </si>
  <si>
    <t>Permissões para o módulo CT-e</t>
  </si>
  <si>
    <t xml:space="preserve">  EnviarPDFEmail</t>
  </si>
  <si>
    <t>Enviar PDF da NF-e por E-mail</t>
  </si>
  <si>
    <t>Configuração das permissões do usuário sobre o módulo CT-e.</t>
  </si>
  <si>
    <t>N – Não enviar; S - Link para download; A - Em anexo</t>
  </si>
  <si>
    <t>Visualizar</t>
  </si>
  <si>
    <t>Visualizar Documentos CT-e</t>
  </si>
  <si>
    <t xml:space="preserve">  EnviarXMLEmail</t>
  </si>
  <si>
    <t>Enviar XML da NF-e por E-mail</t>
  </si>
  <si>
    <t>Baixar</t>
  </si>
  <si>
    <t>Efetuar o download de Documentos CT-e</t>
  </si>
  <si>
    <t>A69</t>
  </si>
  <si>
    <t>Retornar se a reforma tributária está ativa na consulta de cadastro de empresa para o módulo</t>
  </si>
  <si>
    <t>A54</t>
  </si>
  <si>
    <t>PermissaoMDFe</t>
  </si>
  <si>
    <t>Permissões para o módulo MDF-e</t>
  </si>
  <si>
    <t>Configuração das permissões do usuário sobre o módulo MDF-e.</t>
  </si>
  <si>
    <t>Visualizar Documentos MDF-e</t>
  </si>
  <si>
    <t>OrdemContingencia</t>
  </si>
  <si>
    <t>Ordem de contingência</t>
  </si>
  <si>
    <t>Efetuar o download de Documentos MDF-e</t>
  </si>
  <si>
    <t>OrdemContingenciaItem</t>
  </si>
  <si>
    <t>PermissaoNFSe</t>
  </si>
  <si>
    <t>Permissões para o módulo NFS-e</t>
  </si>
  <si>
    <t>Configuração das permissões do usuário sobre o módulo NFS-e.</t>
  </si>
  <si>
    <t>OrdemContingenciaNFe</t>
  </si>
  <si>
    <t>Ordem de entrada em Contingência</t>
  </si>
  <si>
    <t>Visualizar Documentos NFS-e</t>
  </si>
  <si>
    <t>0 - Nenhuma; 1 - SVC; 2 - EPEC; 4 - FS-DA</t>
  </si>
  <si>
    <t>DescricaoContingenciaNFe</t>
  </si>
  <si>
    <t>Descrição da Contingência</t>
  </si>
  <si>
    <t>Efetuar o download de Documentos NFS-e</t>
  </si>
  <si>
    <t>EnviarConsultarDocs</t>
  </si>
  <si>
    <t>Enviar e\ou consultar Documentos NFS-e</t>
  </si>
  <si>
    <t>NFSe</t>
  </si>
  <si>
    <t>Parâmetros do Módulo NFS-e</t>
  </si>
  <si>
    <t>PermissaoNFe</t>
  </si>
  <si>
    <t>Permissões para o módulo NF-e</t>
  </si>
  <si>
    <t>CodCMC</t>
  </si>
  <si>
    <t>Código de Cadastro Mobiliário do Contribuinte</t>
  </si>
  <si>
    <t>Configuração das permissões do usuário sobre o módulo NF-e.</t>
  </si>
  <si>
    <t>AmbienteEmissao</t>
  </si>
  <si>
    <t>Tipo de Ambiente</t>
  </si>
  <si>
    <t>Visualizar Documentos NF-e</t>
  </si>
  <si>
    <t>1 - Produção; 2 - Homologação</t>
  </si>
  <si>
    <t>Efetuar o download de Documentos NF-e</t>
  </si>
  <si>
    <t>MaxRPSLote</t>
  </si>
  <si>
    <t>Quantidade Máxima de RPS por Lote</t>
  </si>
  <si>
    <t>PermissaoNFCe</t>
  </si>
  <si>
    <t>Permissões para o módulo NFC-e</t>
  </si>
  <si>
    <t>TipoProcessamento</t>
  </si>
  <si>
    <t>Configuração das permissões do usuário sobre o módulo NFC-e.</t>
  </si>
  <si>
    <t>Tipo de Processamento da Empresa. Síncrono: para envio de pequenos lotes por requisição e resposta em tempo real (depende do tempo de processamento da prefeitura. Muitas prefeituras não processam a nota em tempo real). Assíncrono: para envio de grandes lotes por requisição, e resposta em uma segunda requisição.</t>
  </si>
  <si>
    <t>S – Síncrono
A – Assíncrono</t>
  </si>
  <si>
    <t>Visualizar Documentos NFC-e</t>
  </si>
  <si>
    <t>UsuarioAutent</t>
  </si>
  <si>
    <t>Usuário para autenticação no sistema da prefeitura</t>
  </si>
  <si>
    <t>Efetuar o download de Documentos NFC-e</t>
  </si>
  <si>
    <t>SenhaAutent</t>
  </si>
  <si>
    <t>Senha para autenticação no sistema da prefeitura</t>
  </si>
  <si>
    <t xml:space="preserve"> PermissoesGerais</t>
  </si>
  <si>
    <t>Permissões Gerais do Sistema</t>
  </si>
  <si>
    <t>ImprimeNFSeEfetivada</t>
  </si>
  <si>
    <t>Imprime NFS-e se efetivada</t>
  </si>
  <si>
    <t>Configuração das permissões do usuário sobre as funcionalidades gerais do InvoiCy.</t>
  </si>
  <si>
    <t>ImportarDocumentos</t>
  </si>
  <si>
    <t>Importar Documentos</t>
  </si>
  <si>
    <t>EnviarNFSeTomador</t>
  </si>
  <si>
    <t>Enviar a NFS-e ao tomador</t>
  </si>
  <si>
    <t>S - Sim;
E - Sim, com cópia para a empresa;
N - Não.</t>
  </si>
  <si>
    <t>EmpRetImpPrefeitura</t>
  </si>
  <si>
    <t>Retorna um link para impressão na prefeitura</t>
  </si>
  <si>
    <t>AlterarDadosDoUsuario</t>
  </si>
  <si>
    <t>Alterar dados do Usuário</t>
  </si>
  <si>
    <t>Disponível para os padrões GINFES e ISSWeb Fiorilli 
S - Sim;  N – Não</t>
  </si>
  <si>
    <t>AlterarDadosDaEmpresa</t>
  </si>
  <si>
    <t>Alterar dados da Empresa</t>
  </si>
  <si>
    <t>EmpConcatOutrasInfo</t>
  </si>
  <si>
    <t>Concatenar o valor do campo Outras Informações na Discriminação do Serviço</t>
  </si>
  <si>
    <t>S - Sim; N – Não</t>
  </si>
  <si>
    <t>AlterarMarcasDaEmpresa</t>
  </si>
  <si>
    <t>Alterar logomarca da Empresa</t>
  </si>
  <si>
    <t>AlterarCertificadosDaEmpresa</t>
  </si>
  <si>
    <t>Alterar o certificado digital da Empresa</t>
  </si>
  <si>
    <t>EmpImprimeCanhoto</t>
  </si>
  <si>
    <t>Imprimir Canhoto do Espelho do RPS/NFS-e</t>
  </si>
  <si>
    <t>1 - Cabeçalho;
2 - Rodapé;
3 - Opcional. Opcional imprimirá o canhoto ao final, caso o mesmo não provoque uma quebra de página. Ou seja, sempre que for possível imprimir o RPS + o canhoto em uma única página, será inserido;
4 - Não imprimir.</t>
  </si>
  <si>
    <t>AlterarConfiguracoesParametros</t>
  </si>
  <si>
    <t>Alterar as configurações dos parâmetros</t>
  </si>
  <si>
    <t>CadastrarEmpresas</t>
  </si>
  <si>
    <t>Cadastrar Empresas</t>
  </si>
  <si>
    <t>EmpChavePrimaria</t>
  </si>
  <si>
    <t>Chave Primária de autenticação da empresa</t>
  </si>
  <si>
    <t>AlterarCaixasDeEmail</t>
  </si>
  <si>
    <t>Alterar as caixas de e-mail</t>
  </si>
  <si>
    <t>AlterarPermissoesDeUsuario</t>
  </si>
  <si>
    <t>Alterar as permissões do Usuário</t>
  </si>
  <si>
    <t>AdicionarNovosUsuarios</t>
  </si>
  <si>
    <t>Adicionar novos Usuários</t>
  </si>
  <si>
    <t>VisualizarChaveAcesso</t>
  </si>
  <si>
    <t>Visualizar a chave de acesso da Empresa Emissora</t>
  </si>
  <si>
    <t>VisualizarAcoesDeUsuarios</t>
  </si>
  <si>
    <t>Visualizar as ações dos usuários</t>
  </si>
  <si>
    <t>FormaRetornoXmlIntegracao</t>
  </si>
  <si>
    <t>VisualizarQuantidadesEmitidas</t>
  </si>
  <si>
    <t>Visualizar a quantidade de documentos emitidos pela empresa</t>
  </si>
  <si>
    <t>EmpDiscriminacaoBetha</t>
  </si>
  <si>
    <t>Discriminação do Padrão Betha</t>
  </si>
  <si>
    <t>VisualizarLicencas</t>
  </si>
  <si>
    <t>Visualizar as licenças da empresa</t>
  </si>
  <si>
    <t>EmpAutorizacaoRegimeRPS</t>
  </si>
  <si>
    <t>Autorização para utilizar regime de RPS Londrina</t>
  </si>
  <si>
    <t>Autotização da prefeitura para que o Prestador utilize RPS emitidos e impressos por sistemas terceiros. Disponível apenas para o Padrão SigCorp Londrina.</t>
  </si>
  <si>
    <t>ConfiguracaoSenha</t>
  </si>
  <si>
    <t>EmpEspelhoNovo</t>
  </si>
  <si>
    <t>Efetuar configuração das senhas</t>
  </si>
  <si>
    <t>Modelo de impressão do espelho RPS</t>
  </si>
  <si>
    <t>S - Detalhado;
N - Detalhado antigo;
C - Cupom;
U - Uberlândia;
A - Nacional;
B - Nacional NT008;</t>
  </si>
  <si>
    <t>GerarRelatorios</t>
  </si>
  <si>
    <t>Executar a geração de relatórios</t>
  </si>
  <si>
    <t>EmpEnviaCPFPrestador</t>
  </si>
  <si>
    <t>Enviar CPF do Prestador</t>
  </si>
  <si>
    <t>Utilizado pelos cartórios, que são autorizados a emitir NFS-e com o CPF e não com o CNPJ do Prestador. Utilizado pelo Padrão SigCorp Londrina, Betha 2.0 e Web ISS 2.0.
S - Sim; N - Não.</t>
  </si>
  <si>
    <t>InutilizarDocumentos</t>
  </si>
  <si>
    <t>Inutilizar documentos através da tela de inutilização do sistema</t>
  </si>
  <si>
    <t>UtilizaNovoFluxoNFSe</t>
  </si>
  <si>
    <t>Utiliza novo fluxo de NFS-e</t>
  </si>
  <si>
    <t>FerramentasIntegracao</t>
  </si>
  <si>
    <t>Ferramentas de Integração da Aplicação</t>
  </si>
  <si>
    <t>CaixaEnvioEmail</t>
  </si>
  <si>
    <t>DataAdesaoSimplesNacional</t>
  </si>
  <si>
    <t>Data de Adesão ao Simples Nacional</t>
  </si>
  <si>
    <t>Este grupo refere-se a configuração de uma caixa de envio de e-mail, onde o InvoiCy irá utilizar estes dados para enviar e-mails aos destinatários que constam nos arquivos XML da empresa emissora, sobre notificações e alertas da aplicação.</t>
  </si>
  <si>
    <t>EmlValCertificado</t>
  </si>
  <si>
    <t>Validar Certificado</t>
  </si>
  <si>
    <t>EmpEnviaEmailCompactado</t>
  </si>
  <si>
    <t>Enviar Anexos de e-mail de NFS-e compactados?</t>
  </si>
  <si>
    <t>Essa tag é utilizada para validar ou não o certificados SSL utilizado pela empresa. No caso de empresas que utilizam um certificado inválido, essa opção deve ser preenchida com o valor 'N'.</t>
  </si>
  <si>
    <t>ImprimeItensEspelho</t>
  </si>
  <si>
    <t>EmlTmpEspera</t>
  </si>
  <si>
    <t>Imprime Itens no Espelho</t>
  </si>
  <si>
    <t>Tempo de Espera (Time out)</t>
  </si>
  <si>
    <t>N (4)</t>
  </si>
  <si>
    <t>EmlAutenticacao</t>
  </si>
  <si>
    <t>Tipo de Autenticação</t>
  </si>
  <si>
    <t>ImprimeParcsEspelho</t>
  </si>
  <si>
    <t>Imprime parcelas da nota do espelho</t>
  </si>
  <si>
    <t>EmlSSL</t>
  </si>
  <si>
    <t>Conexão SSL</t>
  </si>
  <si>
    <t>EmpClientId</t>
  </si>
  <si>
    <t>Cliente Id para o padrão NFPSe WS</t>
  </si>
  <si>
    <t>EmlPorta</t>
  </si>
  <si>
    <t>Porta</t>
  </si>
  <si>
    <t>N (8)</t>
  </si>
  <si>
    <t>EmpClientSecret</t>
  </si>
  <si>
    <t>Cliente Secret para o padrão NFPSe WS</t>
  </si>
  <si>
    <t>Autorização para emissão de notas via Webservice para a prefeitura de Florianópolis.</t>
  </si>
  <si>
    <t>EmlHost</t>
  </si>
  <si>
    <t>Host</t>
  </si>
  <si>
    <t>EmpImgRodapeBase64</t>
  </si>
  <si>
    <t>Imagem do rodapé do espelho RPS</t>
  </si>
  <si>
    <t>EmlSenha</t>
  </si>
  <si>
    <t>FaixaRPSAutorizadoInicial</t>
  </si>
  <si>
    <t>Faixa inicial do RPS autorizado na prefeitura</t>
  </si>
  <si>
    <t>FaixaRPSAutorizadoFinal</t>
  </si>
  <si>
    <t>EmlUsuario</t>
  </si>
  <si>
    <t>Faixa final do RPS autorizado na prefeitura</t>
  </si>
  <si>
    <t>Usuário</t>
  </si>
  <si>
    <t>EmlNomeRemetente</t>
  </si>
  <si>
    <t>Nome do Remetente</t>
  </si>
  <si>
    <t>ImprimirOutrasInformacoes</t>
  </si>
  <si>
    <t>V (500)</t>
  </si>
  <si>
    <t>Deifne a forma de impressão das informações complementares</t>
  </si>
  <si>
    <t>1 - RPS: Mantém a informação complementar informada no XML de envio do RPS. Valor default.
2 - NFSe: Substitui o conteúdo das informações complementares com base no retorno da prefeitura. Obs: Nem todas as prefeituras devolvem este dado, neste caso mantém o conteúdo do envio.
3 - Concatenar: Concatena o conteúdo informado no envio com o retorno da prefeitura. Obs: Caso a prefeitura não devolva esta informação, mantém apenas o conteúdo do RPS</t>
  </si>
  <si>
    <t>EmlEmailRemetente</t>
  </si>
  <si>
    <t>E-mail do Remetente</t>
  </si>
  <si>
    <t>ImprimirRetencoesFederais</t>
  </si>
  <si>
    <t>Imprimir Retenções Federais</t>
  </si>
  <si>
    <t>0 - Apenas Valor; 1 - Valor e Alíquota; 2 - Valor, Alíquota e BC</t>
  </si>
  <si>
    <t>CaixasLeituraEmail</t>
  </si>
  <si>
    <t>XMLRetornoRequisicao</t>
  </si>
  <si>
    <t>Retornar RPS completo no modelo InvoiCy</t>
  </si>
  <si>
    <t>Esse grupo refere-se a configuração de uma caixa de leitura de e-mail. A empresa emissora fará o envio de seus arquivos xml para essa conta de e-mail configurada, e o InvoiCy fará a leitura dessa caixa e irá importar os arquivos xml para a aplicação. Podem ser configuradas diversas caixas de e-mail para leitura.</t>
  </si>
  <si>
    <t>NomeCanhoto</t>
  </si>
  <si>
    <t>Imprimir nome do tomador no canhoto</t>
  </si>
  <si>
    <t>CaixasLeituraEmailItem</t>
  </si>
  <si>
    <t>ReceberEmailEmpresaTrancada</t>
  </si>
  <si>
    <t>Permite configurar se a empresa deseja receber ou não e-mails avisando que a fila está trancada quando a prefeitura é sequencial</t>
  </si>
  <si>
    <t>0-N</t>
  </si>
  <si>
    <t>ReenvioAutomatico</t>
  </si>
  <si>
    <t>Reenvio automático da NFS-e quando ocorrer falha na comunicação com a prefeitura</t>
  </si>
  <si>
    <t>MDFe</t>
  </si>
  <si>
    <t>Parâmetros do Módulo MDF-e</t>
  </si>
  <si>
    <t>Justificativa do Cancelamento do MDF-e</t>
  </si>
  <si>
    <t>Justificativa de Contingência do MDF-e</t>
  </si>
  <si>
    <t>NFCe</t>
  </si>
  <si>
    <t>Parâmetros do Módulo NFC-e</t>
  </si>
  <si>
    <t>Configuração dos principais parâmetros por módulo, para a empresa emissora realizar emissão de documentos no InvoiCy.</t>
  </si>
  <si>
    <t>Configuração dos principais parâmetros para a empresa emissora realizar emissão de documentos NF-e no InvoiCy. Caso os parâmetros não forem configurados, serão utilizados os valores padrões do sistema.</t>
  </si>
  <si>
    <t>1 - Base64; 2 - Link para download; 3 - Base64 e Link; 4 - Não retornar; 5 - Buffer de impressão</t>
  </si>
  <si>
    <t>IDTokenCscSEFAZ</t>
  </si>
  <si>
    <t>ID do Token CSC disponibilizado pela SEFAZ</t>
  </si>
  <si>
    <t>C (15)</t>
  </si>
  <si>
    <t>CscSEFAZ</t>
  </si>
  <si>
    <t>CSC disponibilizado pela SEFAZ para a empresa</t>
  </si>
  <si>
    <t>PossuiLeituraX</t>
  </si>
  <si>
    <t>Possui Leitura X</t>
  </si>
  <si>
    <t>PossuiGeracaoRelatorios</t>
  </si>
  <si>
    <t>Possui Geração de Relatórios</t>
  </si>
  <si>
    <t>2.14.0</t>
  </si>
  <si>
    <t>Justificativa da Inutilização da NFC-e</t>
  </si>
  <si>
    <t>Justificativa do Cancelamento da NFC-e</t>
  </si>
  <si>
    <t>TextoEmailAutorizado</t>
  </si>
  <si>
    <t>Justificativa de Contingência da NFC-e</t>
  </si>
  <si>
    <t>V (5000)</t>
  </si>
  <si>
    <t>Texto do e-mail autorizado da NFC-e</t>
  </si>
  <si>
    <t>TextoEmailCancelado</t>
  </si>
  <si>
    <t>Texto do e-mail cancelado da NFC-e</t>
  </si>
  <si>
    <t>TextoEmailCCe</t>
  </si>
  <si>
    <t>Título do E-mail da NFC-e</t>
  </si>
  <si>
    <t>V (250)</t>
  </si>
  <si>
    <t>Enviar PDF da NFC-e por E-mail</t>
  </si>
  <si>
    <t>Enviar XML da NFC-e por E-mail</t>
  </si>
  <si>
    <t>A135</t>
  </si>
  <si>
    <t>A117</t>
  </si>
  <si>
    <t>Este grupo permite configurar a ordem de envio em contingência, que o InvoiCy irá seguir quando operar em contingência ao emitir no módulo NF-e.</t>
  </si>
  <si>
    <t>OrdemContingenciaNFCe</t>
  </si>
  <si>
    <t>0 - Nenhuma; 2 - EPEC; 3 - Offline</t>
  </si>
  <si>
    <t>CTe</t>
  </si>
  <si>
    <t>Parâmetros do Módulo CT-e</t>
  </si>
  <si>
    <t>DescricaoContingenciaNFCe</t>
  </si>
  <si>
    <t>Configuração dos principais parâmetros para a empresa emissora realizar emissão de documentos CT-e no InvoiCy. Caso os parâmetros não forem configurados, serão utilizados os valores padrões do sistema.</t>
  </si>
  <si>
    <t>Justificativa da Inutilização do CT-e</t>
  </si>
  <si>
    <t>Justificativa do Cancelamento do CT-e</t>
  </si>
  <si>
    <t>Texto do e-mail autorizado do CT-e</t>
  </si>
  <si>
    <t>Texto do e-mail cancelado do CT-e</t>
  </si>
  <si>
    <t>Justificativa de Contingência do CT-e</t>
  </si>
  <si>
    <t>Texto do e-mail da CC-e do CT-e</t>
  </si>
  <si>
    <t>Título do E-mail do CT-e</t>
  </si>
  <si>
    <t>Enviar PDF do CT-e por E-mail</t>
  </si>
  <si>
    <t>Enviar XML do CT-e por E-mail</t>
  </si>
  <si>
    <t>Este grupo permite configurar a ordem de envio em contingência, que o InvoiCy irá seguir quando operar em contingência ao emitir no módulo CT-e.</t>
  </si>
  <si>
    <t>A155</t>
  </si>
  <si>
    <t>A140</t>
  </si>
  <si>
    <t>OrdemContingenciaCTe</t>
  </si>
  <si>
    <t>0 - Nenhuma; 1 - SVC; 2 - EPEC</t>
  </si>
  <si>
    <t>Configuração dos principais parâmetros para a empresa emissora realizar emissão de documentos MDF-e no InvoiCy. Caso os parâmetros não forem configurados, serão utilizados os valores padrões do sistema.</t>
  </si>
  <si>
    <t>DescricaoContingenciaCTe</t>
  </si>
  <si>
    <t>Licenciamento</t>
  </si>
  <si>
    <t>LicenciamentoItem</t>
  </si>
  <si>
    <t>Modulo</t>
  </si>
  <si>
    <t>Módulo Contratado</t>
  </si>
  <si>
    <t>Módulos disponíveis NFe, CTe, MDFe, NFCe/SAT, NFSe, DigitacaoNFe</t>
  </si>
  <si>
    <t>Modelo</t>
  </si>
  <si>
    <t>Modelo de licenciamento</t>
  </si>
  <si>
    <t>1 - Bilhetagem; 2 - Licenciamento</t>
  </si>
  <si>
    <t>ArmazenaXML</t>
  </si>
  <si>
    <t>Armazenar XML</t>
  </si>
  <si>
    <t>Configuração dos principais parâmetros para a empresa emissora realizar emissão de documentos NFC-e no InvoiCy. Caso os parâmetros não forem configurados, serão utilizados os valores padrões do sistema.</t>
  </si>
  <si>
    <t>Autor</t>
  </si>
  <si>
    <t>Autor do licenciamento</t>
  </si>
  <si>
    <t>Impressao</t>
  </si>
  <si>
    <t>V (6)</t>
  </si>
  <si>
    <t>V (36)</t>
  </si>
  <si>
    <t>OrientacaoNFe</t>
  </si>
  <si>
    <t>Orientação da NF-e</t>
  </si>
  <si>
    <t>1 - Retrato; 2 - Paisagem</t>
  </si>
  <si>
    <t>TamanhoFonte</t>
  </si>
  <si>
    <t xml:space="preserve">Tamanho da fonte </t>
  </si>
  <si>
    <t>1 - Pequena; 2 - Média; 3 - Grande</t>
  </si>
  <si>
    <t>NumeroCopias</t>
  </si>
  <si>
    <t>Número de Copias</t>
  </si>
  <si>
    <t>ImprimirDataHoraImpressao</t>
  </si>
  <si>
    <t>Imprimir data e hora de impressão</t>
  </si>
  <si>
    <t>MarcarComoReimpresso</t>
  </si>
  <si>
    <t>Marcar como Reimpresso</t>
  </si>
  <si>
    <t>ImprimirTributos</t>
  </si>
  <si>
    <t>Imprimir tributos</t>
  </si>
  <si>
    <t>Este grupo permite configurar a ordem de envio em contingência, que o InvoiCy irá seguir quando operar em contingência ao emitir no módulo NFC-e.</t>
  </si>
  <si>
    <t>InformacaoComplementarNoVerso</t>
  </si>
  <si>
    <t>Informações Complementares no Verso</t>
  </si>
  <si>
    <t>ExibirDescontoEIcmsNoItem</t>
  </si>
  <si>
    <t>Exibir desconto e ICMS no item</t>
  </si>
  <si>
    <t>LocalImpressaoCanhoto</t>
  </si>
  <si>
    <t>Local de impressão do canhoto</t>
  </si>
  <si>
    <t>C - Cabeçalho; R - Rodapé</t>
  </si>
  <si>
    <t>Configuração dos principais parâmetros para a empresa emissora realizar emissão de documentos NFS-e no InvoiCy. Caso os parâmetros não forem configurados, serão utilizados os valores padrões do sistema.</t>
  </si>
  <si>
    <t>MolduraNaLogomarca</t>
  </si>
  <si>
    <t>Moldura na logomarca</t>
  </si>
  <si>
    <t>N (15)</t>
  </si>
  <si>
    <t>ModeloDANFE</t>
  </si>
  <si>
    <t>Modelo do DANFE</t>
  </si>
  <si>
    <t>1 - Padrão; 2 - Personalizado</t>
  </si>
  <si>
    <t>ExibirEndEntregaInfoAdic</t>
  </si>
  <si>
    <t>Exibir endereço de entrega nas informações adicionais</t>
  </si>
  <si>
    <t>ImprimirDuplicatas</t>
  </si>
  <si>
    <t>Imprimir duplicatas</t>
  </si>
  <si>
    <t>S – Síncrono
A – Assíncrono
Caso não seja informado, assumirá por padrão Síncrono.</t>
  </si>
  <si>
    <t>UtilizarImagemInfoEmitente</t>
  </si>
  <si>
    <t>Utilizar imagem nas informações do emitente</t>
  </si>
  <si>
    <t>Não obrigatório com ressalvas: alguns padrões exigem a informação para realizar a emissão.</t>
  </si>
  <si>
    <t>ImprimirVolumesItensDestacados</t>
  </si>
  <si>
    <t>Imprimir volumes e itens destacados</t>
  </si>
  <si>
    <t>ImprimirTotalPISCOFINS</t>
  </si>
  <si>
    <t>Imprimir total de PIS e COFINS</t>
  </si>
  <si>
    <t>Imprime NFS-e se efetivada. Cada município possui a sua própria legislação. É altamente recomendado que ela seja verificada antes de configurar a opção para SIM.</t>
  </si>
  <si>
    <t>InfoComplementar</t>
  </si>
  <si>
    <t>Informações complementares</t>
  </si>
  <si>
    <t>TextoImpressaoTributos</t>
  </si>
  <si>
    <t>Texto para impressão dos tributos</t>
  </si>
  <si>
    <t>Disponível para os padrões GINFES e ISSWeb Fiorilli 
S - Sim; 
N – Não. 
Caso não seja informado, assumirá o padrão do sistema que é Não.</t>
  </si>
  <si>
    <t>DestaqueProdutosPerigosos</t>
  </si>
  <si>
    <t>Destaque dos produtos perigosos</t>
  </si>
  <si>
    <t>S - Sublinhado; N - Negrito</t>
  </si>
  <si>
    <t xml:space="preserve">Algumas prefeituras não recebem campo outras informações. Uma forma de enviar estes dados é concatenando ao final da discriminação do serviço.
S - Sim; 
N – Não. </t>
  </si>
  <si>
    <t>TamanhoFonteInfComplementares</t>
  </si>
  <si>
    <t>Tamanho da fonte nas informações complementares</t>
  </si>
  <si>
    <t>1 - Pequena; 3 - Grande</t>
  </si>
  <si>
    <t>ImprimeUNTribDiferenteComercial</t>
  </si>
  <si>
    <t>Imprimir unidade tributável diferente da comercial</t>
  </si>
  <si>
    <t xml:space="preserve">ImprimirEnderecoEntregaRetirada </t>
  </si>
  <si>
    <t xml:space="preserve">Exibição do endereço de entrega e retirada	</t>
  </si>
  <si>
    <t>0 - Não exibir; 1 - Exibir</t>
  </si>
  <si>
    <t xml:space="preserve">ImprimirCamposDIFAL </t>
  </si>
  <si>
    <t>Imprimir campos do DIFAL</t>
  </si>
  <si>
    <t>O padrão Betha disponibiliza uma forma de informar Itens dentro da discriminação. Se o seu município utiliza o padrão Betha e você deseja informar itens na nota, deve marcar essa opção. S-SIM, N-Não. O não preenchimento será considerado como Não.</t>
  </si>
  <si>
    <t>ImprimirICMSCST51</t>
  </si>
  <si>
    <t>Imprimir alíquota e valor de ICMS - CST 51 Diferimento</t>
  </si>
  <si>
    <t>V (40)</t>
  </si>
  <si>
    <t>Autorização da prefeitura para que o Prestador utilize RPS emitidos e impressos por sistemas terceiros. Disponível apenas para o Padrão SigCorp Londrina.</t>
  </si>
  <si>
    <t>AlinhamentoQrCode</t>
  </si>
  <si>
    <t>Alinhamento do QR Code no DANFE Simplificado Tipo 2</t>
  </si>
  <si>
    <t>C - Centralizado; E - Esquerda; N - Não Aplicável</t>
  </si>
  <si>
    <t>TipoDANFESimplificado</t>
  </si>
  <si>
    <t>Tipo do DANFE simplificado</t>
  </si>
  <si>
    <t>S - Tipo 1; Tipo2 - Tipo 2; Tipo2A4 - Tipo 2 A4; N - Não</t>
  </si>
  <si>
    <t>VerCodigo</t>
  </si>
  <si>
    <t>Código da versão da prefeitura</t>
  </si>
  <si>
    <t>N (4.2)</t>
  </si>
  <si>
    <t>Descontinuado. Não utilizar.</t>
  </si>
  <si>
    <t>OrientacaoMDFe</t>
  </si>
  <si>
    <t>Orientação do MDF-e</t>
  </si>
  <si>
    <t>DateTime</t>
  </si>
  <si>
    <t>1.24.0.0</t>
  </si>
  <si>
    <t>2.4.0.0</t>
  </si>
  <si>
    <t>C (100)</t>
  </si>
  <si>
    <t>OrientacaoCTe</t>
  </si>
  <si>
    <t>Orientação do CT-e</t>
  </si>
  <si>
    <t>Autorização para emissão de notas via Webservice para a prefeitura de Florianópolis. Deve ser enviado o CNPJ e a Razão Social da empresa para o endereço: 'desenvolvimento.nfe@pmf.sc.gov.br’, solicitando esta credencial.</t>
  </si>
  <si>
    <t>Modelo do DANFE NFCe</t>
  </si>
  <si>
    <t>1 - Bobina Térmica; 2 - A4</t>
  </si>
  <si>
    <t>2.13.0</t>
  </si>
  <si>
    <t>ImpAcrescDescItens</t>
  </si>
  <si>
    <t>Imprimir acréscimo e desconto nos itens</t>
  </si>
  <si>
    <t>FormatoDANFE</t>
  </si>
  <si>
    <t>Formato do DANFE NFC-e</t>
  </si>
  <si>
    <t>D - Detalhado; R - Resumido</t>
  </si>
  <si>
    <t>PreencherCNAEAusente</t>
  </si>
  <si>
    <t>Extensao</t>
  </si>
  <si>
    <t>Define se será impresso o CNAE no espelho mesmo sem enviar o código na tag &lt;Cnae&gt; na emissão do RPS.</t>
  </si>
  <si>
    <t>2.60.0</t>
  </si>
  <si>
    <t>ExtensaoItem</t>
  </si>
  <si>
    <t>S - Sim
N – Não
A – NFS-e InvoiCy
B – Abrasf 2.01
C – Abrasf 2.02
D – Abrasf  2.03
F – Abrasf  1.0</t>
  </si>
  <si>
    <t>2.20.0</t>
  </si>
  <si>
    <t xml:space="preserve">  TipoExtensao</t>
  </si>
  <si>
    <t>Tipo da extensão</t>
  </si>
  <si>
    <t>1 - Dashboards
2 - Antecipação Recebíveis
3 - Documentos importados;
4 - Manifestação do Destinatário
5 - Invoicy Mail
6 - Invoicy Compliance NFCe</t>
  </si>
  <si>
    <t>2.21.0</t>
  </si>
  <si>
    <t xml:space="preserve">  Modulos</t>
  </si>
  <si>
    <t>Módulos que a extensão tem ativo</t>
  </si>
  <si>
    <t>BuscarNatOpAlternativa</t>
  </si>
  <si>
    <t>Permite configurar a busca de uma natureza da operação alternativa válida para o município caso a informada não seja aceita</t>
  </si>
  <si>
    <t>2.43.0.0</t>
  </si>
  <si>
    <t xml:space="preserve">    ModuloItem</t>
  </si>
  <si>
    <t>Reenvio automático de NFS-e</t>
  </si>
  <si>
    <t xml:space="preserve">      Modulo</t>
  </si>
  <si>
    <t>Módulo para o qual a extensão foi ativada</t>
  </si>
  <si>
    <t>EmpRegEspTrib</t>
  </si>
  <si>
    <t>Código de identificação do regime especial de tributação</t>
  </si>
  <si>
    <t>N (2.0)</t>
  </si>
  <si>
    <t>Para extensão 1 - Dashboards: NFCe, NFSe
Para extensão 2 - Antecipação de recebíveis: NFe, NFSe
Para extensão 3 - Documentos importados: NFe, CTe, MDFe, NFCe/SAT, NFSe
Para extensão 4 - Manifestação do Destinatário: NFe, Cte, MDFe
Para extensão 5 - Invoicy Mail:NFe, CTe, MDFe, NFCe/SAT, NFSe
Para extensão 6 - Invoicy Compliance NFCe: NFCe</t>
  </si>
  <si>
    <t>0 – Não Configurado
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
17 – Especial 
18 - Empresa Individual de responsabilidade limitada EIRELI
19 - Media Empresa
20 - Grande Empresa
21 - Fixa – Anual
22 - Isento ou Imune
23 - Notário ou Registrador</t>
  </si>
  <si>
    <t>2.55.0.0</t>
  </si>
  <si>
    <t>O Regime especial de tributação representa o enquadramento tributário da empresa junto a prefeitura.</t>
  </si>
  <si>
    <t xml:space="preserve">  ParametrosExt</t>
  </si>
  <si>
    <t>Parâmetros de configuração das extensões</t>
  </si>
  <si>
    <t>AdequadaNT007</t>
  </si>
  <si>
    <t>Define se os valores retidos de PIS, COFINS e CSLL serão somados e enviados no campo de CSLL, conforme a NT 007</t>
  </si>
  <si>
    <t xml:space="preserve">      NumeroConsultasDiarias</t>
  </si>
  <si>
    <t>C(1)</t>
  </si>
  <si>
    <t>Número de consultas diárias na SEFAZ</t>
  </si>
  <si>
    <t>3.02.0</t>
  </si>
  <si>
    <t>Adequação à NT 007. Quando habilitado, o InvoiCy soma os valores retidos de PIS, COFINS e CSLL, considerando apenas os tributos indicados como retidos no RPS, e envia o total no campo destinado à CSLL no layout do padrão do município. Quando desabilitado, os valores são repassados à prefeitura conforme o envio.</t>
  </si>
  <si>
    <t xml:space="preserve">      ArmazenarEveTerceiros</t>
  </si>
  <si>
    <t>Armazenar os eventos emitidos por terceiros sobre seus documentos</t>
  </si>
  <si>
    <t>CorrigirDadosRPS</t>
  </si>
  <si>
    <t>Permite corrigir automaticamente alguns dados do RPS conforme mensagem de rejeição da prefeitura</t>
  </si>
  <si>
    <t xml:space="preserve">      BaixarDocsNaoArmazenados</t>
  </si>
  <si>
    <t>Baixar documentos emitidos que não estejam armazenados no sistema</t>
  </si>
  <si>
    <t>A166</t>
  </si>
  <si>
    <t>2.63.5</t>
  </si>
  <si>
    <t xml:space="preserve">      CienciaAutomatica</t>
  </si>
  <si>
    <t>Ciência da operação automática</t>
  </si>
  <si>
    <t>0 - Não realizar a ciência automática;
1 - Realizar para todos os documentos;
2 - Realizar apenas para alguns fornecedores
Obrigatório informar quando for extensão 4 - Manifestação do Destinatário.</t>
  </si>
  <si>
    <t xml:space="preserve">DestacarValLiqImpressao </t>
  </si>
  <si>
    <t>Permite definir se o valor a ser impresso no Espelho da NFS-e será o Valor dos Serviços ou o Valor Líquido</t>
  </si>
  <si>
    <t xml:space="preserve">      Justificativa</t>
  </si>
  <si>
    <t>Justificativa padrão da manifestação</t>
  </si>
  <si>
    <t>S – Sim – Imprime o Valor Líquido
N – Não – Imprime o Valor dos Serviços</t>
  </si>
  <si>
    <t>2.65.1</t>
  </si>
  <si>
    <t>MEIAmbienteNacional</t>
  </si>
  <si>
    <t xml:space="preserve">      ValorMin</t>
  </si>
  <si>
    <t>Configurar empresa MEI para utilizar o Ambiente Nacional da NFS-e</t>
  </si>
  <si>
    <t>Valor mínimo da NF-e obrigada a ser manifestada</t>
  </si>
  <si>
    <t>A partir de Setembro de 2023 todas as empresas enquadradas como MEI deverão emitir NFS-e quando o tomador do serviço for pessoa jurídica. Essa emissão deverá ser via ambiente Nacional da NFS-e.</t>
  </si>
  <si>
    <t xml:space="preserve">      Email</t>
  </si>
  <si>
    <t>E-mail para ser notificado</t>
  </si>
  <si>
    <t>AlertarDiferencaVlrsRPSNFSe</t>
  </si>
  <si>
    <t>Verifica se há diferença entre o valor do RPS e da NFS-e</t>
  </si>
  <si>
    <t xml:space="preserve">      TipoNotificacao</t>
  </si>
  <si>
    <t>Tipo de notificação que deseja receber por e-mail</t>
  </si>
  <si>
    <t>2.79.2</t>
  </si>
  <si>
    <t>0 - Não notificar;
1 - 30 dias sem receber documento;
2 - Falha de leitura da caixa;
3 - Todas
Pode ser informado para a extensão 3 - Documentos importados</t>
  </si>
  <si>
    <t>EmpRegApTribSN</t>
  </si>
  <si>
    <t>Regime de tributação para empresas Opt. SN ME/EPP que ultrapassam sublimite</t>
  </si>
  <si>
    <t>ResponsavelTecnico</t>
  </si>
  <si>
    <t>N(1)</t>
  </si>
  <si>
    <t>Informações do Responsável Técnico pela emissão do DF-e</t>
  </si>
  <si>
    <t>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</t>
  </si>
  <si>
    <t>2.79.3</t>
  </si>
  <si>
    <t>CNPJ</t>
  </si>
  <si>
    <t>CNPJ da empresa responsável pelo sistema emissor</t>
  </si>
  <si>
    <t>FormaRetornoWH</t>
  </si>
  <si>
    <t>Forma de retorno XML InvoiCy no WebHook</t>
  </si>
  <si>
    <t>A167</t>
  </si>
  <si>
    <t>1 – base64;  2 - json;  3 - xml</t>
  </si>
  <si>
    <t>2.79.4</t>
  </si>
  <si>
    <t>Contato</t>
  </si>
  <si>
    <t>Nome da pessoa responsável sobre o software emissor</t>
  </si>
  <si>
    <t>Para produção é obrigatório o preenchimento deste grupo.</t>
  </si>
  <si>
    <t>1.10.1.0</t>
  </si>
  <si>
    <t>Grupo correspondente ao licenciamento da empresa, onde deve-se informar os módulos que o emissor irá contratar, bem como o modelo de licenciamento que será utilizado.</t>
  </si>
  <si>
    <t>Email</t>
  </si>
  <si>
    <t>E-mail do responsável</t>
  </si>
  <si>
    <t>Fone</t>
  </si>
  <si>
    <t>Fone do responsável</t>
  </si>
  <si>
    <t>IdCSRT</t>
  </si>
  <si>
    <t>Identificador do CSRT usado para geração do hash</t>
  </si>
  <si>
    <t>CSRT</t>
  </si>
  <si>
    <t>Hash do token do código de segurança do responsável técnico</t>
  </si>
  <si>
    <t>InformacoesAdicionais</t>
  </si>
  <si>
    <t>Informações Adicionais</t>
  </si>
  <si>
    <t>URLQRCode</t>
  </si>
  <si>
    <t>2.3.0</t>
  </si>
  <si>
    <t>URL do QR Code da NFC-e</t>
  </si>
  <si>
    <t>Informar o autor do licenciamento</t>
  </si>
  <si>
    <t>URLConsChave</t>
  </si>
  <si>
    <t>URL da Consulta de Chave de acesso da NFC-e</t>
  </si>
  <si>
    <t>Grupo correspondente as configurações de impressão da empresa, separado por módulos. Caso os parâmetros não forem configurados, serão utilizados os valores padrões do sistema.</t>
  </si>
  <si>
    <t>Configurações específicas para a impressão do DACTE, como Orientação, Moldura na logomarca e Local de impressão do canhoto.</t>
  </si>
  <si>
    <t>Através desse campo é possível personalizar o texto da lei do imposto na impressão do DACTE.</t>
  </si>
  <si>
    <t>ImpNomeEmissor</t>
  </si>
  <si>
    <t>Imprimir informações do nome do emissor do CT-e</t>
  </si>
  <si>
    <t>S - Sim; N - Não. Disponível apenas para DACTE orientação Retrato.</t>
  </si>
  <si>
    <t>2.40.0</t>
  </si>
  <si>
    <t>Configurações específicas para a impressão do DANFE, como Orientação, Tamanho da fonte, Moldura na logomarca e Local de impressão do canhoto.</t>
  </si>
  <si>
    <t>Através desse campo é possível personalizar o texto da lei do imposto na impressão do DANFE.</t>
  </si>
  <si>
    <t>C - Cabeçalho; R - Rodapé
Para o DANFE Personalizado (BETA), a opção C - corresponde a Topo, e R - corresponde a Base</t>
  </si>
  <si>
    <t>2.44.0</t>
  </si>
  <si>
    <t>1 - Padrão; 2 - Personalizado; 4 - DANFE Personalizado (BETA)</t>
  </si>
  <si>
    <t>S - Sim; N - Não; SB - Sim, mesmo que em branco</t>
  </si>
  <si>
    <t>Através desse parâmetro é possível configurar se deseja utilizar a logomarca da sua empresa para preencher o espaço correspondente ao emitente no DANFE, ao invés de imprimir as suas informações.</t>
  </si>
  <si>
    <t>C (2000)</t>
  </si>
  <si>
    <t>Quando a unidade, valor ou quantidade comercial for diferente do tributado nos produtos, e esse parâmetro estiver configurado como 'S - Sim', será impresso no DANFE uma linha a mais com a segunda informação.</t>
  </si>
  <si>
    <t>0 - Não imprimir; 1 - Somente entrega; 2 - Somente retirada; 3 - Ambos</t>
  </si>
  <si>
    <t>2.27.0</t>
  </si>
  <si>
    <t>2.18.0</t>
  </si>
  <si>
    <t>TamanhoFonteProdutos</t>
  </si>
  <si>
    <t>Tamanho da Fonte dos produtos/serviços</t>
  </si>
  <si>
    <t>TamanhoFonteInfComplementaresProd</t>
  </si>
  <si>
    <t>Tamanho da fonte da informação adicional do produto</t>
  </si>
  <si>
    <t>ImprimirICMSDesonerado</t>
  </si>
  <si>
    <t>Imprimir ICMS Desonerado</t>
  </si>
  <si>
    <t>1 - Não imprimir; 2 - Imprimir nos itens; 3 - Imprimir nos totais; 4 - Imprimir em ambos</t>
  </si>
  <si>
    <t>ImprimirEmitenteCentralizado</t>
  </si>
  <si>
    <t>Imprimir informações do bloco emitente centralizadas</t>
  </si>
  <si>
    <t>ImprimirFatura</t>
  </si>
  <si>
    <t>Imprimir fatura</t>
  </si>
  <si>
    <t>ImprimirVolumes</t>
  </si>
  <si>
    <t>Imprimir volumes</t>
  </si>
  <si>
    <t>ImprimirVolumesNegrito</t>
  </si>
  <si>
    <t>Imprimir volumes em negrito</t>
  </si>
  <si>
    <t>ImprimirVolumesEspacados</t>
  </si>
  <si>
    <t>Imprimir volumes com maior espaçamento</t>
  </si>
  <si>
    <t>ImprimirItensEspacados</t>
  </si>
  <si>
    <t>Imprimir itens com maior espaçamento</t>
  </si>
  <si>
    <t>AgruparInfoAdicProdutos</t>
  </si>
  <si>
    <t>Agrupar descrição do produto e informações adicionais</t>
  </si>
  <si>
    <t>ImprimirTotalAFRMM</t>
  </si>
  <si>
    <t>Imprimir valor total da AFRMM</t>
  </si>
  <si>
    <t>ImprimirICMSSTItem</t>
  </si>
  <si>
    <t>Imprimir dados ICMS ST no item</t>
  </si>
  <si>
    <t>ImprimirTotalImpostoImportacao</t>
  </si>
  <si>
    <t>Imprimir valor do imposto de importação</t>
  </si>
  <si>
    <t>ImprimirFCP</t>
  </si>
  <si>
    <t>Imprimir FCP</t>
  </si>
  <si>
    <t>ImprimirTextosNegrito</t>
  </si>
  <si>
    <t>Imprimir textos em negrito</t>
  </si>
  <si>
    <t>ImprimirFCI</t>
  </si>
  <si>
    <t>Imprimir FCI</t>
  </si>
  <si>
    <t>ImprimirConfirmEntregaCanhoto</t>
  </si>
  <si>
    <t>Imprimir frase de confirmação de entrega no canhoto</t>
  </si>
  <si>
    <t>V (7)</t>
  </si>
  <si>
    <t>Configurações específicas para a impressão do DAMDFE, como Orientação e Moldura na logomarca.</t>
  </si>
  <si>
    <t>Grupo correspondente a ativação das extensões para a empresa, onde deve-se informar a extensão que deseja contratar, bem como os parâmetros para configuração.</t>
  </si>
  <si>
    <t>TipoExtensao</t>
  </si>
  <si>
    <t>Dashboard de Gestão Fiscal =  1 
Antecipação de recebíveis = 2 
Importação de Documentos = 3 
Manifestação do destinatário = 4 
InvoiCy Mail = 5 
InvoiCy Compliance = 7 
Emissão Oracle ERP = 9 
Invoicy Tax Template = 10 
Recuperação Tributária = 11 
InvoiCy Sheets = 12 
InvoiCy OCR = 13 
InvoiCy GNRE = 15 
InvoiCy Certificado Digital = 16</t>
  </si>
  <si>
    <t>2.57.0</t>
  </si>
  <si>
    <t>Ativar</t>
  </si>
  <si>
    <t>Ativar ou desativar a extensão</t>
  </si>
  <si>
    <t>S - Ativa a extensão;
N - Desativa a extensão</t>
  </si>
  <si>
    <t>Modulos</t>
  </si>
  <si>
    <t>Definir para quais módulos a extensão será ativada</t>
  </si>
  <si>
    <t>Obrigatório informar quando for extensão 3 - Importação de Documentos, 4 - Manifestação do Destinatário, 10 - InvoiCy Tax Template ou 13 - InvoiCy OCR</t>
  </si>
  <si>
    <t>ModuloItem</t>
  </si>
  <si>
    <t>Módulo para o qual será ativa a extensão</t>
  </si>
  <si>
    <t>Para extensão 3 - Importação de Documentos: NFe, CTe, MDFe, NFCe/SAT, NFSe, CTeOS
Para extensão 4 - Manifestação do Destinatário: NFe, CTe, CTeOS
Para extensão 10 - InvoiCy Tax Template: NFSe 
Para extensão 13 - InvoiCy OCR: NFSe</t>
  </si>
  <si>
    <t>ParametrosExt</t>
  </si>
  <si>
    <t>Obrigatório informar quando for extensão 4 - Manifestação do Destinatário.</t>
  </si>
  <si>
    <t>Pode ser informado para as extensões 3 - Importação de documentos e 4 - Manifestação do Destinatário.</t>
  </si>
  <si>
    <t>TipoNotificacao</t>
  </si>
  <si>
    <t>0 - Não notificar;
1 - 30 dias sem receber documento;
2 - Falha de leitura da caixa;
3 - Todas
Pode ser informado para a extensão 3 - Importação de Documentos</t>
  </si>
  <si>
    <t>NumeroConsultasDiarias</t>
  </si>
  <si>
    <t>Número de consultas diárias na SEFAZ e PREFEITURA</t>
  </si>
  <si>
    <t>Valores aceitos: 1, 2, 3, 4, 8, 12
Empresas que desejam fazer a consulta somente por Web Service informar o valor 99 - Não realizar consulta automática.
Obrigatório informar quando for extensão 4 - Manifestação do Destinatário. E quando for NFSe na extensão de importação</t>
  </si>
  <si>
    <t>ArmazenarEveTerceiros</t>
  </si>
  <si>
    <t>S - Sim; N - Não.
Obrigatório informar quando for extensão 4 - Manifestação do Destinatário.</t>
  </si>
  <si>
    <t>BaixarDocsNaoArmazenados</t>
  </si>
  <si>
    <t>CienciaAutomatica</t>
  </si>
  <si>
    <t>Justificativa</t>
  </si>
  <si>
    <t>ValorMin</t>
  </si>
  <si>
    <t>N (18.2)</t>
  </si>
  <si>
    <t>Pode ser informado para a extensão 4 - Manifestação do Destinatário.</t>
  </si>
  <si>
    <t>MunicipiosAtivar</t>
  </si>
  <si>
    <t>Código dos Municípios para ativar</t>
  </si>
  <si>
    <t>Utilizado na extensão 10 - InvoiCy Tax Template</t>
  </si>
  <si>
    <t>MunicipiosDesativar</t>
  </si>
  <si>
    <t>Código dos Municípios para desativar</t>
  </si>
  <si>
    <t>BuscarDocsRetroativos</t>
  </si>
  <si>
    <t>Buscar documentos retroativos</t>
  </si>
  <si>
    <t>S - Sim; N – Não; E – Não, apenas Eventos(NFSe)</t>
  </si>
  <si>
    <t>2.89.0</t>
  </si>
  <si>
    <t>TipoConsultaNFSe</t>
  </si>
  <si>
    <t>Tipo de arquivos para importar no módulo NFS-e</t>
  </si>
  <si>
    <t>V (2)</t>
  </si>
  <si>
    <t>Valores aceitos:
E - Emitidos;
R - Recebidos;
ER - Emitidos e Recebidos.
Pode ser informado para a extensão 3 - Importação de documentos</t>
  </si>
  <si>
    <t>2.30.0</t>
  </si>
  <si>
    <t>A275</t>
  </si>
  <si>
    <t>AbrangenciaConsultaNFSe</t>
  </si>
  <si>
    <t>Abrangência da consulta de NFS-e recebidas</t>
  </si>
  <si>
    <t>V(2)</t>
  </si>
  <si>
    <t>A260</t>
  </si>
  <si>
    <t>MC - Apenas Municípios cadastrados e município da empresa                     MS - Apenas Municípios cadastrados                                                       TM - Em todos os municípios                                                         Parâmetro exclusivo para extensão de Importação de Documentos.</t>
  </si>
  <si>
    <t>2.68.1</t>
  </si>
  <si>
    <t>A276</t>
  </si>
  <si>
    <t>PeriodoConsultaNFSeRetroativa</t>
  </si>
  <si>
    <t>Período e frequência para consulta de NFS-e recebidas retroativas</t>
  </si>
  <si>
    <t>N (2)</t>
  </si>
  <si>
    <t>5 - 5 dias atrás, todos os dias
10 - 10 dias atrás, a cada 2 dias
15 - 15 dias atrás, a cada 3 dias 
20 - 20 dias atrás, a cada 4 dias
25 - 25 dias atrás, a cada 5 dias
30 - 30 dias atrás, a cada 6 dias
0 - não consultar</t>
  </si>
  <si>
    <t>A277</t>
  </si>
  <si>
    <t>ConsultarNFSeAmbienteNacional</t>
  </si>
  <si>
    <t>Consulta NFS-e recebidas no Ambiente Nacional</t>
  </si>
  <si>
    <t>S - Sim; N – Não; P -  Sim, Personalizado                                                                                                                                                    Parâmetro exclusivo para extensão de Importação de Documentos.</t>
  </si>
  <si>
    <t>A278</t>
  </si>
  <si>
    <t>RemoverAnoNFSeCapturada</t>
  </si>
  <si>
    <t>Remove ano do numero da NFSe para documentos via captura automática</t>
  </si>
  <si>
    <t>S - Sim; N – Não                                                                                       Parâmetro exclusivo para extensão de Importação de Documentos.</t>
  </si>
  <si>
    <t>A279</t>
  </si>
  <si>
    <t>IntermediarioComoTomador</t>
  </si>
  <si>
    <t>Opção para configurar a importação de NFSe como intermediário</t>
  </si>
  <si>
    <t>A262</t>
  </si>
  <si>
    <t>S - Sim; N – Não
Parâmetro exclusivo para extensão de Importação de Documentos.</t>
  </si>
  <si>
    <t>Prestadores</t>
  </si>
  <si>
    <t>Cadastro de prestadores de serviço para importação de NFS-e</t>
  </si>
  <si>
    <t>Pode ser informado para a extensão 3 – Importação de documentos</t>
  </si>
  <si>
    <t>Prestador</t>
  </si>
  <si>
    <t>Informações do prestador de serviços</t>
  </si>
  <si>
    <t>CNPJ do prestador de serviços</t>
  </si>
  <si>
    <t>Nome</t>
  </si>
  <si>
    <t>Nome do prestador de serviços</t>
  </si>
  <si>
    <t>IBGE</t>
  </si>
  <si>
    <t>Código IBGE do município do prestador de serviços</t>
  </si>
  <si>
    <t>IM</t>
  </si>
  <si>
    <t>Inscrição municipal do prestador de serviços</t>
  </si>
  <si>
    <t>Status</t>
  </si>
  <si>
    <t>A – Ativo
I – Inativo</t>
  </si>
  <si>
    <t>Municipios</t>
  </si>
  <si>
    <t>Cadastro de municípios para importação de NFS-e</t>
  </si>
  <si>
    <t>2.94.0</t>
  </si>
  <si>
    <t>Municipio</t>
  </si>
  <si>
    <t xml:space="preserve">Informações dos municípios </t>
  </si>
  <si>
    <t>A284</t>
  </si>
  <si>
    <t xml:space="preserve">Código IBGE do município </t>
  </si>
  <si>
    <t>N (7)</t>
  </si>
  <si>
    <t>A285</t>
  </si>
  <si>
    <t>ExtMunConsADN</t>
  </si>
  <si>
    <t>Consulta notas no ADN</t>
  </si>
  <si>
    <t>S – Sim; N – Não; A – Apenas ADN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</si>
</sst>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rgb="FF000000"/>
      <name val="Calibri"/>
      <scheme val="minor"/>
    </font>
    <font>
      <b/>
      <sz val="10.0"/>
      <color rgb="FF000000"/>
      <name val="Tahoma"/>
    </font>
    <font>
      <sz val="10.0"/>
      <color rgb="FF000000"/>
      <name val="Tahoma"/>
    </font>
    <font>
      <sz val="10.0"/>
      <color rgb="FF000000"/>
      <name val="Arial"/>
    </font>
    <font>
      <sz val="11.0"/>
      <color rgb="FF000000"/>
      <name val="Calibri"/>
    </font>
    <font>
      <sz val="10.0"/>
      <color rgb="FFFF0000"/>
      <name val="Tahoma"/>
    </font>
    <font>
      <b/>
      <sz val="10.0"/>
      <color rgb="FFFF0000"/>
      <name val="Tahoma"/>
    </font>
    <font>
      <sz val="11.0"/>
      <color rgb="FFFF0000"/>
      <name val="Calibri"/>
    </font>
    <font>
      <strike/>
      <sz val="10.0"/>
      <color rgb="FF000000"/>
      <name val="Tahoma"/>
    </font>
    <font>
      <strike/>
      <sz val="10.0"/>
      <color rgb="FFFF0000"/>
      <name val="Tahoma"/>
    </font>
    <font>
      <b/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left" vertical="center"/>
    </xf>
    <xf borderId="2" fillId="3" fontId="2" numFmtId="0" xfId="0" applyAlignment="1" applyBorder="1" applyFill="1" applyFont="1">
      <alignment vertical="center"/>
    </xf>
    <xf borderId="1" fillId="2" fontId="1" numFmtId="0" xfId="0" applyAlignment="1" applyBorder="1" applyFill="1" applyFont="1">
      <alignment horizontal="left" shrinkToFit="0" vertical="center" wrapText="1"/>
    </xf>
    <xf borderId="1" fillId="3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left" vertical="center"/>
    </xf>
    <xf borderId="1" fillId="3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left" vertical="center"/>
    </xf>
    <xf borderId="1" fillId="3" fontId="1" numFmtId="0" xfId="0" applyAlignment="1" applyBorder="1" applyFill="1" applyFont="1">
      <alignment vertical="center"/>
    </xf>
    <xf borderId="1" fillId="3" fontId="2" numFmtId="0" xfId="0" applyAlignment="1" applyBorder="1" applyFill="1" applyFont="1">
      <alignment vertical="center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/>
    </xf>
    <xf borderId="1" fillId="3" fontId="2" numFmtId="0" xfId="0" applyAlignment="1" applyBorder="1" applyFill="1" applyFont="1">
      <alignment horizontal="center" vertical="center"/>
    </xf>
    <xf borderId="1" fillId="0" fontId="1" numFmtId="49" xfId="0" applyAlignment="1" applyBorder="1" applyFont="1" applyNumberFormat="1">
      <alignment horizontal="center"/>
    </xf>
    <xf borderId="1" fillId="3" fontId="1" numFmtId="0" xfId="0" applyAlignment="1" applyBorder="1" applyFill="1" applyFont="1">
      <alignment horizontal="left" shrinkToFit="0" vertical="center" wrapText="1"/>
    </xf>
    <xf borderId="2" fillId="3" fontId="1" numFmtId="0" xfId="0" applyAlignment="1" applyBorder="1" applyFill="1" applyFont="1">
      <alignment vertical="center"/>
    </xf>
    <xf borderId="1" fillId="3" fontId="2" numFmtId="0" xfId="0" applyAlignment="1" applyBorder="1" applyFill="1" applyFont="1">
      <alignment horizontal="left" shrinkToFit="0" vertical="center" wrapText="1"/>
    </xf>
    <xf borderId="3" fillId="3" fontId="1" numFmtId="49" xfId="0" applyAlignment="1" applyBorder="1" applyFill="1" applyFont="1" applyNumberFormat="1">
      <alignment horizontal="center" shrinkToFit="0" vertical="center" wrapText="1"/>
    </xf>
    <xf borderId="1" fillId="3" fontId="2" numFmtId="0" xfId="0" applyAlignment="1" applyBorder="1" applyFill="1" applyFont="1">
      <alignment shrinkToFit="0" vertical="center" wrapText="1"/>
    </xf>
    <xf borderId="2" fillId="3" fontId="2" numFmtId="0" xfId="0" applyAlignment="1" applyBorder="1" applyFill="1" applyFont="1">
      <alignment horizontal="left" vertical="center"/>
    </xf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/>
    </xf>
    <xf borderId="1" fillId="3" fontId="2" numFmtId="0" xfId="0" applyAlignment="1" applyBorder="1" applyFill="1" applyFont="1">
      <alignment horizontal="center" shrinkToFit="0" vertical="center" wrapText="1"/>
    </xf>
    <xf borderId="1" fillId="0" fontId="2" numFmtId="49" xfId="0" applyAlignment="1" applyBorder="1" applyFont="1" applyNumberFormat="1">
      <alignment horizontal="center"/>
    </xf>
    <xf borderId="2" fillId="3" fontId="2" numFmtId="0" xfId="0" applyAlignment="1" applyBorder="1" applyFill="1" applyFont="1">
      <alignment horizontal="left" shrinkToFit="0" vertical="center" wrapText="1"/>
    </xf>
    <xf borderId="4" fillId="3" fontId="2" numFmtId="0" xfId="0" applyAlignment="1" applyBorder="1" applyFill="1" applyFont="1">
      <alignment vertical="center"/>
    </xf>
    <xf borderId="3" fillId="3" fontId="2" numFmtId="49" xfId="0" applyAlignment="1" applyBorder="1" applyFill="1" applyFont="1" applyNumberFormat="1">
      <alignment horizontal="center" shrinkToFit="0" vertical="center" wrapText="1"/>
    </xf>
    <xf borderId="5" fillId="3" fontId="2" numFmtId="0" xfId="0" applyAlignment="1" applyBorder="1" applyFill="1" applyFont="1">
      <alignment horizontal="left" vertical="center"/>
    </xf>
    <xf borderId="1" fillId="4" fontId="3" numFmtId="0" xfId="0" applyAlignment="1" applyBorder="1" applyFill="1" applyFont="1">
      <alignment horizontal="left" shrinkToFit="0" vertical="center" wrapText="1"/>
    </xf>
    <xf borderId="3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shrinkToFit="0" vertical="center" wrapText="1"/>
    </xf>
    <xf borderId="4" fillId="3" fontId="2" numFmtId="0" xfId="0" applyAlignment="1" applyBorder="1" applyFill="1" applyFont="1">
      <alignment horizontal="left" shrinkToFit="0" vertical="center" wrapText="1"/>
    </xf>
    <xf borderId="2" fillId="3" fontId="2" numFmtId="0" xfId="0" applyAlignment="1" applyBorder="1" applyFill="1" applyFont="1">
      <alignment horizontal="center" vertical="center"/>
    </xf>
    <xf borderId="4" fillId="3" fontId="2" numFmtId="0" xfId="0" applyAlignment="1" applyBorder="1" applyFill="1" applyFont="1">
      <alignment shrinkToFit="0" vertical="center" wrapText="1"/>
    </xf>
    <xf borderId="5" fillId="3" fontId="2" numFmtId="0" xfId="0" applyAlignment="1" applyBorder="1" applyFill="1" applyFont="1">
      <alignment horizontal="left" shrinkToFit="0" vertical="center" wrapText="1"/>
    </xf>
    <xf borderId="3" fillId="3" fontId="2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6" fillId="3" fontId="2" numFmtId="0" xfId="0" applyAlignment="1" applyBorder="1" applyFill="1" applyFont="1">
      <alignment horizontal="center" vertical="center"/>
    </xf>
    <xf borderId="6" fillId="3" fontId="2" numFmtId="0" xfId="0" applyAlignment="1" applyBorder="1" applyFill="1" applyFont="1">
      <alignment horizontal="left" vertical="center"/>
    </xf>
    <xf borderId="6" fillId="3" fontId="2" numFmtId="0" xfId="0" applyAlignment="1" applyBorder="1" applyFill="1" applyFont="1">
      <alignment horizontal="left" shrinkToFit="0" vertical="center" wrapText="1"/>
    </xf>
    <xf borderId="6" fillId="3" fontId="2" numFmtId="0" xfId="0" applyAlignment="1" applyBorder="1" applyFill="1" applyFont="1">
      <alignment shrinkToFit="0" vertical="center" wrapText="1"/>
    </xf>
    <xf borderId="2" fillId="3" fontId="4" numFmtId="0" xfId="0" applyBorder="1" applyFill="1" applyFont="1"/>
    <xf borderId="1" fillId="4" fontId="2" numFmtId="0" xfId="0" applyAlignment="1" applyBorder="1" applyFill="1" applyFont="1">
      <alignment vertical="center"/>
    </xf>
    <xf borderId="1" fillId="4" fontId="5" numFmtId="0" xfId="0" applyAlignment="1" applyBorder="1" applyFill="1" applyFont="1">
      <alignment vertical="center"/>
    </xf>
    <xf borderId="2" fillId="3" fontId="6" numFmtId="0" xfId="0" applyAlignment="1" applyBorder="1" applyFill="1" applyFont="1">
      <alignment vertical="center"/>
    </xf>
    <xf borderId="2" fillId="3" fontId="7" numFmtId="0" xfId="0" applyBorder="1" applyFill="1" applyFont="1"/>
    <xf borderId="1" fillId="3" fontId="5" numFmtId="0" xfId="0" applyAlignment="1" applyBorder="1" applyFill="1" applyFont="1">
      <alignment vertical="center"/>
    </xf>
    <xf borderId="1" fillId="4" fontId="5" numFmtId="0" xfId="0" applyAlignment="1" applyBorder="1" applyFill="1" applyFont="1">
      <alignment shrinkToFit="0" vertical="center" wrapText="1"/>
    </xf>
    <xf borderId="1" fillId="4" fontId="2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left" shrinkToFit="0" wrapText="1"/>
    </xf>
    <xf borderId="1" fillId="4" fontId="2" numFmtId="0" xfId="0" applyAlignment="1" applyBorder="1" applyFill="1" applyFont="1">
      <alignment horizontal="left" vertical="center"/>
    </xf>
    <xf borderId="1" fillId="3" fontId="1" numFmtId="0" xfId="0" applyAlignment="1" applyBorder="1" applyFill="1" applyFont="1">
      <alignment shrinkToFit="0" vertical="center" wrapText="1"/>
    </xf>
    <xf borderId="1" fillId="5" fontId="2" numFmtId="0" xfId="0" applyAlignment="1" applyBorder="1" applyFill="1" applyFont="1">
      <alignment shrinkToFit="0" vertical="center" wrapText="1"/>
    </xf>
    <xf borderId="1" fillId="5" fontId="5" numFmtId="0" xfId="0" applyAlignment="1" applyBorder="1" applyFill="1" applyFont="1">
      <alignment vertical="center"/>
    </xf>
    <xf borderId="7" fillId="0" fontId="2" numFmtId="49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4" fillId="3" fontId="2" numFmtId="0" xfId="0" applyAlignment="1" applyBorder="1" applyFill="1" applyFont="1">
      <alignment horizontal="center" vertical="center"/>
    </xf>
    <xf borderId="0" fillId="0" fontId="4" numFmtId="0" xfId="0" applyFont="1"/>
    <xf borderId="4" fillId="3" fontId="2" numFmtId="0" xfId="0" applyAlignment="1" applyBorder="1" applyFill="1" applyFont="1">
      <alignment horizontal="left" vertical="center"/>
    </xf>
    <xf borderId="3" fillId="3" fontId="2" numFmtId="0" xfId="0" applyAlignment="1" applyBorder="1" applyFill="1" applyFont="1">
      <alignment vertical="center"/>
    </xf>
    <xf borderId="1" fillId="3" fontId="4" numFmtId="0" xfId="0" applyBorder="1" applyFill="1" applyFont="1"/>
    <xf borderId="1" fillId="3" fontId="5" numFmtId="0" xfId="0" applyAlignment="1" applyBorder="1" applyFill="1" applyFont="1">
      <alignment horizontal="left" shrinkToFit="0" vertical="center" wrapText="1"/>
    </xf>
    <xf borderId="4" fillId="3" fontId="1" numFmtId="0" xfId="0" applyAlignment="1" applyBorder="1" applyFill="1" applyFont="1">
      <alignment horizontal="center" vertical="center"/>
    </xf>
    <xf borderId="1" fillId="0" fontId="4" numFmtId="0" xfId="0" applyBorder="1" applyFont="1"/>
    <xf borderId="0" fillId="0" fontId="7" numFmtId="0" xfId="0" applyFont="1"/>
    <xf borderId="2" fillId="3" fontId="1" numFmtId="0" xfId="0" applyAlignment="1" applyBorder="1" applyFill="1" applyFont="1">
      <alignment shrinkToFit="0" vertical="center" wrapText="1"/>
    </xf>
    <xf borderId="1" fillId="3" fontId="1" numFmtId="49" xfId="0" applyAlignment="1" applyBorder="1" applyFill="1" applyFont="1" applyNumberFormat="1">
      <alignment horizontal="center" shrinkToFit="0" vertical="center" wrapText="1"/>
    </xf>
    <xf borderId="1" fillId="3" fontId="2" numFmtId="49" xfId="0" applyAlignment="1" applyBorder="1" applyFill="1" applyFont="1" applyNumberFormat="1">
      <alignment horizontal="center" shrinkToFit="0" vertical="center" wrapText="1"/>
    </xf>
    <xf borderId="6" fillId="3" fontId="2" numFmtId="0" xfId="0" applyAlignment="1" applyBorder="1" applyFill="1" applyFont="1">
      <alignment horizontal="center" shrinkToFit="0" vertical="center" wrapText="1"/>
    </xf>
    <xf borderId="6" fillId="3" fontId="2" numFmtId="49" xfId="0" applyAlignment="1" applyBorder="1" applyFill="1" applyFont="1" applyNumberFormat="1">
      <alignment horizontal="center" shrinkToFit="0" vertical="center" wrapText="1"/>
    </xf>
    <xf borderId="1" fillId="4" fontId="4" numFmtId="0" xfId="0" applyBorder="1" applyFill="1" applyFont="1"/>
    <xf borderId="2" fillId="3" fontId="2" numFmtId="0" xfId="0" applyAlignment="1" applyBorder="1" applyFill="1" applyFont="1">
      <alignment shrinkToFit="0" vertical="center" wrapText="1"/>
    </xf>
    <xf borderId="4" fillId="3" fontId="2" numFmtId="0" xfId="0" applyAlignment="1" applyBorder="1" applyFill="1" applyFont="1">
      <alignment horizontal="center" shrinkToFit="0" vertical="center" wrapText="1"/>
    </xf>
    <xf borderId="4" fillId="3" fontId="2" numFmtId="49" xfId="0" applyAlignment="1" applyBorder="1" applyFill="1" applyFont="1" applyNumberFormat="1">
      <alignment horizontal="center" shrinkToFit="0" vertical="center" wrapText="1"/>
    </xf>
    <xf borderId="8" fillId="3" fontId="2" numFmtId="0" xfId="0" applyAlignment="1" applyBorder="1" applyFill="1" applyFont="1">
      <alignment shrinkToFit="0" vertical="center" wrapText="1"/>
    </xf>
    <xf borderId="2" fillId="4" fontId="2" numFmtId="0" xfId="0" applyAlignment="1" applyBorder="1" applyFill="1" applyFont="1">
      <alignment vertical="center"/>
    </xf>
    <xf borderId="2" fillId="4" fontId="4" numFmtId="0" xfId="0" applyBorder="1" applyFill="1" applyFont="1"/>
    <xf borderId="2" fillId="3" fontId="5" numFmtId="0" xfId="0" applyAlignment="1" applyBorder="1" applyFill="1" applyFont="1">
      <alignment vertical="center"/>
    </xf>
    <xf borderId="3" fillId="3" fontId="1" numFmtId="0" xfId="0" applyAlignment="1" applyBorder="1" applyFill="1" applyFont="1">
      <alignment horizontal="center" shrinkToFit="0" vertical="center" wrapText="1"/>
    </xf>
    <xf borderId="4" fillId="3" fontId="1" numFmtId="0" xfId="0" applyAlignment="1" applyBorder="1" applyFill="1" applyFont="1">
      <alignment shrinkToFit="0" vertical="center" wrapText="1"/>
    </xf>
    <xf borderId="1" fillId="3" fontId="8" numFmtId="0" xfId="0" applyAlignment="1" applyBorder="1" applyFill="1" applyFont="1">
      <alignment horizontal="center" shrinkToFit="0" vertical="center" wrapText="1"/>
    </xf>
    <xf borderId="1" fillId="3" fontId="9" numFmtId="0" xfId="0" applyAlignment="1" applyBorder="1" applyFill="1" applyFont="1">
      <alignment horizontal="left" shrinkToFit="0" vertical="center" wrapText="1"/>
    </xf>
    <xf borderId="1" fillId="3" fontId="9" numFmtId="0" xfId="0" applyAlignment="1" applyBorder="1" applyFill="1" applyFont="1">
      <alignment horizontal="center" shrinkToFit="0" vertical="center" wrapText="1"/>
    </xf>
    <xf borderId="1" fillId="3" fontId="9" numFmtId="49" xfId="0" applyAlignment="1" applyBorder="1" applyFill="1" applyFont="1" applyNumberFormat="1">
      <alignment horizontal="center" shrinkToFit="0" vertical="center" wrapText="1"/>
    </xf>
    <xf borderId="1" fillId="3" fontId="9" numFmtId="0" xfId="0" applyAlignment="1" applyBorder="1" applyFill="1" applyFont="1">
      <alignment shrinkToFit="0" vertical="center" wrapText="1"/>
    </xf>
    <xf borderId="1" fillId="3" fontId="8" numFmtId="0" xfId="0" applyAlignment="1" applyBorder="1" applyFill="1" applyFont="1">
      <alignment shrinkToFit="0" vertical="center" wrapText="1"/>
    </xf>
    <xf borderId="0" fillId="0" fontId="10" numFmtId="0" xfId="0" applyFont="1"/>
    <xf borderId="1" fillId="6" fontId="2" numFmtId="0" xfId="0" applyAlignment="1" applyBorder="1" applyFill="1" applyFont="1">
      <alignment horizontal="center" shrinkToFit="0" vertical="center" wrapText="1"/>
    </xf>
    <xf borderId="1" fillId="6" fontId="2" numFmtId="0" xfId="0" applyAlignment="1" applyBorder="1" applyFill="1" applyFont="1">
      <alignment horizontal="left" readingOrder="0" shrinkToFit="0" vertical="center" wrapText="1"/>
    </xf>
    <xf borderId="1" fillId="6" fontId="2" numFmtId="0" xfId="0" applyAlignment="1" applyBorder="1" applyFill="1" applyFont="1">
      <alignment horizontal="center" readingOrder="0" shrinkToFit="0" vertical="center" wrapText="1"/>
    </xf>
    <xf borderId="3" fillId="6" fontId="2" numFmtId="49" xfId="0" applyAlignment="1" applyBorder="1" applyFill="1" applyFont="1" applyNumberFormat="1">
      <alignment horizontal="center" readingOrder="0" shrinkToFit="0" vertical="center" wrapText="1"/>
    </xf>
    <xf borderId="1" fillId="6" fontId="2" numFmtId="0" xfId="0" applyAlignment="1" applyBorder="1" applyFill="1" applyFont="1">
      <alignment horizontal="left" shrinkToFit="0" vertical="center" wrapText="1"/>
    </xf>
    <xf borderId="1" fillId="6" fontId="2" numFmtId="49" xfId="0" applyAlignment="1" applyBorder="1" applyFill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left" shrinkToFit="0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3" fillId="0" fontId="2" numFmtId="49" xfId="0" applyAlignment="1" applyBorder="1" applyFont="1" applyNumberFormat="1">
      <alignment horizontal="center" shrinkToFit="0" vertical="center" wrapText="1"/>
    </xf>
    <xf borderId="2" fillId="0" fontId="2" numFmtId="0" xfId="0" applyAlignment="1" applyBorder="1" applyFont="1">
      <alignment vertical="center"/>
    </xf>
    <xf borderId="2" fillId="0" fontId="1" numFmtId="0" xfId="0" applyAlignment="1" applyBorder="1" applyFont="1">
      <alignment vertical="center"/>
    </xf>
    <xf borderId="3" fillId="6" fontId="2" numFmtId="49" xfId="0" applyAlignment="1" applyBorder="1" applyFill="1" applyFont="1" applyNumberFormat="1">
      <alignment horizontal="center" shrinkToFit="0" vertical="center" wrapText="1"/>
    </xf>
    <xf borderId="1" fillId="6" fontId="1" numFmtId="0" xfId="0" applyAlignment="1" applyBorder="1" applyFill="1" applyFont="1">
      <alignment horizontal="left" shrinkToFit="0" vertical="center" wrapText="1"/>
    </xf>
    <xf borderId="5" fillId="3" fontId="2" numFmtId="0" xfId="0" applyAlignment="1" applyBorder="1" applyFill="1" applyFont="1">
      <alignment horizontal="center" shrinkToFit="0" vertical="center" wrapText="1"/>
    </xf>
    <xf borderId="1" fillId="4" fontId="2" numFmtId="0" xfId="0" applyAlignment="1" applyBorder="1" applyFill="1" applyFont="1">
      <alignment horizontal="left" shrinkToFit="0" vertical="center" wrapText="1"/>
    </xf>
    <xf borderId="2" fillId="3" fontId="2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1">
    <dxf>
      <font>
        <sz val="11.0"/>
        <color rgb="FF000000"/>
        <name val="Calibri"/>
      </font>
      <fill>
        <patternFill patternType="solid">
          <fgColor rgb="FFD8D8D8"/>
          <bgColor rgb="FFD8D8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71"/>
    <col customWidth="1" min="2" max="2" width="5.43"/>
    <col customWidth="1" min="3" max="3" width="44.29"/>
    <col customWidth="1" min="4" max="4" width="47.86"/>
    <col customWidth="1" min="5" max="5" width="3.43"/>
    <col customWidth="1" min="6" max="6" width="8.86"/>
    <col customWidth="1" min="7" max="7" width="11.0"/>
    <col customWidth="1" min="8" max="8" width="6.43"/>
    <col customWidth="1" min="9" max="9" width="63.86"/>
    <col customWidth="1" min="10" max="10" width="9.43"/>
    <col customWidth="1" min="11" max="11" width="63.86"/>
    <col customWidth="1" min="12" max="26" width="8.71"/>
  </cols>
  <sheetData>
    <row r="1" ht="12.75" customHeight="1">
      <c r="A1" s="2" t="s">
        <v>0</v>
      </c>
      <c r="B1" s="2" t="s">
        <v>1</v>
      </c>
      <c r="C1" s="6" t="s">
        <v>2</v>
      </c>
      <c r="D1" s="6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">
        <f t="shared" ref="A2:A22" si="1">ROW()-1</f>
        <v>1</v>
      </c>
      <c r="B2" s="9" t="str">
        <f t="shared" ref="B2:B22" si="2">CONCATENATE("A",IF(A2&lt;=9,0,),A2)</f>
        <v>A01</v>
      </c>
      <c r="C2" s="17" t="s">
        <v>11</v>
      </c>
      <c r="D2" s="19"/>
      <c r="E2" s="9" t="s">
        <v>13</v>
      </c>
      <c r="F2" s="9" t="s">
        <v>15</v>
      </c>
      <c r="G2" s="20" t="s">
        <v>16</v>
      </c>
      <c r="H2" s="9" t="s">
        <v>15</v>
      </c>
      <c r="I2" s="21"/>
      <c r="J2" s="9" t="s">
        <v>22</v>
      </c>
      <c r="K2" s="21" t="s">
        <v>28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25">
        <f t="shared" si="1"/>
        <v>2</v>
      </c>
      <c r="B3" s="25" t="str">
        <f t="shared" si="2"/>
        <v>A02</v>
      </c>
      <c r="C3" s="19" t="s">
        <v>18</v>
      </c>
      <c r="D3" s="19" t="s">
        <v>19</v>
      </c>
      <c r="E3" s="25" t="s">
        <v>21</v>
      </c>
      <c r="F3" s="25" t="s">
        <v>39</v>
      </c>
      <c r="G3" s="29" t="s">
        <v>16</v>
      </c>
      <c r="H3" s="25" t="str">
        <f t="shared" ref="H3:H22" si="3">$B$2</f>
        <v>A01</v>
      </c>
      <c r="I3" s="21" t="s">
        <v>45</v>
      </c>
      <c r="J3" s="25" t="str">
        <f t="shared" ref="J3:J6" si="4">$J$2</f>
        <v>1.0.0.0</v>
      </c>
      <c r="K3" s="21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25">
        <f t="shared" si="1"/>
        <v>3</v>
      </c>
      <c r="B4" s="25" t="str">
        <f t="shared" si="2"/>
        <v>A03</v>
      </c>
      <c r="C4" s="19" t="s">
        <v>24</v>
      </c>
      <c r="D4" s="19" t="s">
        <v>54</v>
      </c>
      <c r="E4" s="25" t="s">
        <v>21</v>
      </c>
      <c r="F4" s="25" t="s">
        <v>56</v>
      </c>
      <c r="G4" s="29" t="s">
        <v>16</v>
      </c>
      <c r="H4" s="25" t="str">
        <f t="shared" si="3"/>
        <v>A01</v>
      </c>
      <c r="I4" s="19" t="s">
        <v>61</v>
      </c>
      <c r="J4" s="25" t="str">
        <f t="shared" si="4"/>
        <v>1.0.0.0</v>
      </c>
      <c r="K4" s="19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25">
        <f t="shared" si="1"/>
        <v>4</v>
      </c>
      <c r="B5" s="25" t="str">
        <f t="shared" si="2"/>
        <v>A04</v>
      </c>
      <c r="C5" s="19" t="s">
        <v>29</v>
      </c>
      <c r="D5" s="27" t="s">
        <v>30</v>
      </c>
      <c r="E5" s="25" t="s">
        <v>21</v>
      </c>
      <c r="F5" s="25" t="s">
        <v>39</v>
      </c>
      <c r="G5" s="29" t="s">
        <v>16</v>
      </c>
      <c r="H5" s="25" t="str">
        <f t="shared" si="3"/>
        <v>A01</v>
      </c>
      <c r="I5" s="21" t="s">
        <v>45</v>
      </c>
      <c r="J5" s="25" t="str">
        <f t="shared" si="4"/>
        <v>1.0.0.0</v>
      </c>
      <c r="K5" s="21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25">
        <f t="shared" si="1"/>
        <v>5</v>
      </c>
      <c r="B6" s="25" t="str">
        <f t="shared" si="2"/>
        <v>A05</v>
      </c>
      <c r="C6" s="19" t="s">
        <v>33</v>
      </c>
      <c r="D6" s="19" t="s">
        <v>34</v>
      </c>
      <c r="E6" s="25" t="s">
        <v>35</v>
      </c>
      <c r="F6" s="25" t="s">
        <v>70</v>
      </c>
      <c r="G6" s="29" t="s">
        <v>16</v>
      </c>
      <c r="H6" s="25" t="str">
        <f t="shared" si="3"/>
        <v>A01</v>
      </c>
      <c r="I6" s="21"/>
      <c r="J6" s="25" t="str">
        <f t="shared" si="4"/>
        <v>1.0.0.0</v>
      </c>
      <c r="K6" s="21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25">
        <f t="shared" si="1"/>
        <v>6</v>
      </c>
      <c r="B7" s="25" t="str">
        <f t="shared" si="2"/>
        <v>A06</v>
      </c>
      <c r="C7" s="19" t="s">
        <v>37</v>
      </c>
      <c r="D7" s="27" t="s">
        <v>38</v>
      </c>
      <c r="E7" s="25" t="s">
        <v>35</v>
      </c>
      <c r="F7" s="25" t="s">
        <v>75</v>
      </c>
      <c r="G7" s="29" t="s">
        <v>16</v>
      </c>
      <c r="H7" s="25" t="str">
        <f t="shared" si="3"/>
        <v>A01</v>
      </c>
      <c r="I7" s="36"/>
      <c r="J7" s="25" t="s">
        <v>80</v>
      </c>
      <c r="K7" s="36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25">
        <f t="shared" si="1"/>
        <v>7</v>
      </c>
      <c r="B8" s="25" t="str">
        <f t="shared" si="2"/>
        <v>A07</v>
      </c>
      <c r="C8" s="37" t="s">
        <v>43</v>
      </c>
      <c r="D8" s="31" t="s">
        <v>44</v>
      </c>
      <c r="E8" s="38" t="s">
        <v>21</v>
      </c>
      <c r="F8" s="25" t="s">
        <v>70</v>
      </c>
      <c r="G8" s="29" t="s">
        <v>16</v>
      </c>
      <c r="H8" s="25" t="str">
        <f t="shared" si="3"/>
        <v>A01</v>
      </c>
      <c r="I8" s="33"/>
      <c r="J8" s="25" t="str">
        <f t="shared" ref="J8:J22" si="5">$J$2</f>
        <v>1.0.0.0</v>
      </c>
      <c r="K8" s="33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25">
        <f t="shared" si="1"/>
        <v>8</v>
      </c>
      <c r="B9" s="25" t="str">
        <f t="shared" si="2"/>
        <v>A08</v>
      </c>
      <c r="C9" s="19" t="s">
        <v>51</v>
      </c>
      <c r="D9" s="34" t="s">
        <v>52</v>
      </c>
      <c r="E9" s="25" t="s">
        <v>21</v>
      </c>
      <c r="F9" s="25" t="s">
        <v>93</v>
      </c>
      <c r="G9" s="29" t="s">
        <v>49</v>
      </c>
      <c r="H9" s="25" t="str">
        <f t="shared" si="3"/>
        <v>A01</v>
      </c>
      <c r="I9" s="21"/>
      <c r="J9" s="25" t="str">
        <f t="shared" si="5"/>
        <v>1.0.0.0</v>
      </c>
      <c r="K9" s="21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25">
        <f t="shared" si="1"/>
        <v>9</v>
      </c>
      <c r="B10" s="25" t="str">
        <f t="shared" si="2"/>
        <v>A09</v>
      </c>
      <c r="C10" s="19" t="s">
        <v>57</v>
      </c>
      <c r="D10" s="19" t="s">
        <v>58</v>
      </c>
      <c r="E10" s="25" t="s">
        <v>21</v>
      </c>
      <c r="F10" s="25" t="s">
        <v>99</v>
      </c>
      <c r="G10" s="29" t="s">
        <v>49</v>
      </c>
      <c r="H10" s="25" t="str">
        <f t="shared" si="3"/>
        <v>A01</v>
      </c>
      <c r="I10" s="21"/>
      <c r="J10" s="25" t="str">
        <f t="shared" si="5"/>
        <v>1.0.0.0</v>
      </c>
      <c r="K10" s="21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25">
        <f t="shared" si="1"/>
        <v>10</v>
      </c>
      <c r="B11" s="25" t="str">
        <f t="shared" si="2"/>
        <v>A10</v>
      </c>
      <c r="C11" s="19" t="s">
        <v>62</v>
      </c>
      <c r="D11" s="19" t="s">
        <v>63</v>
      </c>
      <c r="E11" s="25" t="s">
        <v>21</v>
      </c>
      <c r="F11" s="25" t="s">
        <v>104</v>
      </c>
      <c r="G11" s="29" t="s">
        <v>49</v>
      </c>
      <c r="H11" s="25" t="str">
        <f t="shared" si="3"/>
        <v>A01</v>
      </c>
      <c r="I11" s="21"/>
      <c r="J11" s="25" t="str">
        <f t="shared" si="5"/>
        <v>1.0.0.0</v>
      </c>
      <c r="K11" s="21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25">
        <f t="shared" si="1"/>
        <v>11</v>
      </c>
      <c r="B12" s="25" t="str">
        <f t="shared" si="2"/>
        <v>A11</v>
      </c>
      <c r="C12" s="19" t="s">
        <v>64</v>
      </c>
      <c r="D12" s="19" t="s">
        <v>65</v>
      </c>
      <c r="E12" s="25" t="s">
        <v>21</v>
      </c>
      <c r="F12" s="25" t="s">
        <v>99</v>
      </c>
      <c r="G12" s="29" t="s">
        <v>49</v>
      </c>
      <c r="H12" s="25" t="str">
        <f t="shared" si="3"/>
        <v>A01</v>
      </c>
      <c r="I12" s="21"/>
      <c r="J12" s="25" t="str">
        <f t="shared" si="5"/>
        <v>1.0.0.0</v>
      </c>
      <c r="K12" s="21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2.75" customHeight="1">
      <c r="A13" s="25">
        <f t="shared" si="1"/>
        <v>12</v>
      </c>
      <c r="B13" s="25" t="str">
        <f t="shared" si="2"/>
        <v>A12</v>
      </c>
      <c r="C13" s="19" t="s">
        <v>66</v>
      </c>
      <c r="D13" s="19" t="s">
        <v>67</v>
      </c>
      <c r="E13" s="25" t="s">
        <v>21</v>
      </c>
      <c r="F13" s="25" t="s">
        <v>112</v>
      </c>
      <c r="G13" s="29" t="s">
        <v>49</v>
      </c>
      <c r="H13" s="25" t="str">
        <f t="shared" si="3"/>
        <v>A01</v>
      </c>
      <c r="I13" s="21"/>
      <c r="J13" s="25" t="str">
        <f t="shared" si="5"/>
        <v>1.0.0.0</v>
      </c>
      <c r="K13" s="21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25">
        <f t="shared" si="1"/>
        <v>13</v>
      </c>
      <c r="B14" s="25" t="str">
        <f t="shared" si="2"/>
        <v>A13</v>
      </c>
      <c r="C14" s="19" t="s">
        <v>68</v>
      </c>
      <c r="D14" s="19" t="s">
        <v>69</v>
      </c>
      <c r="E14" s="25" t="s">
        <v>21</v>
      </c>
      <c r="F14" s="25" t="s">
        <v>99</v>
      </c>
      <c r="G14" s="29" t="s">
        <v>49</v>
      </c>
      <c r="H14" s="25" t="str">
        <f t="shared" si="3"/>
        <v>A01</v>
      </c>
      <c r="I14" s="21"/>
      <c r="J14" s="25" t="str">
        <f t="shared" si="5"/>
        <v>1.0.0.0</v>
      </c>
      <c r="K14" s="21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25">
        <f t="shared" si="1"/>
        <v>14</v>
      </c>
      <c r="B15" s="25" t="str">
        <f t="shared" si="2"/>
        <v>A14</v>
      </c>
      <c r="C15" s="19" t="s">
        <v>71</v>
      </c>
      <c r="D15" s="19" t="s">
        <v>72</v>
      </c>
      <c r="E15" s="25" t="s">
        <v>21</v>
      </c>
      <c r="F15" s="25" t="s">
        <v>70</v>
      </c>
      <c r="G15" s="29" t="s">
        <v>49</v>
      </c>
      <c r="H15" s="25" t="str">
        <f t="shared" si="3"/>
        <v>A01</v>
      </c>
      <c r="I15" s="21" t="s">
        <v>45</v>
      </c>
      <c r="J15" s="25" t="str">
        <f t="shared" si="5"/>
        <v>1.0.0.0</v>
      </c>
      <c r="K15" s="21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25">
        <f t="shared" si="1"/>
        <v>15</v>
      </c>
      <c r="B16" s="25" t="str">
        <f t="shared" si="2"/>
        <v>A15</v>
      </c>
      <c r="C16" s="19" t="s">
        <v>73</v>
      </c>
      <c r="D16" s="19" t="s">
        <v>74</v>
      </c>
      <c r="E16" s="25" t="s">
        <v>21</v>
      </c>
      <c r="F16" s="25" t="s">
        <v>122</v>
      </c>
      <c r="G16" s="29" t="s">
        <v>16</v>
      </c>
      <c r="H16" s="25" t="str">
        <f t="shared" si="3"/>
        <v>A01</v>
      </c>
      <c r="I16" s="19" t="s">
        <v>123</v>
      </c>
      <c r="J16" s="25" t="str">
        <f t="shared" si="5"/>
        <v>1.0.0.0</v>
      </c>
      <c r="K16" s="19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25">
        <f t="shared" si="1"/>
        <v>16</v>
      </c>
      <c r="B17" s="25" t="str">
        <f t="shared" si="2"/>
        <v>A16</v>
      </c>
      <c r="C17" s="19" t="s">
        <v>83</v>
      </c>
      <c r="D17" s="19" t="s">
        <v>84</v>
      </c>
      <c r="E17" s="25" t="s">
        <v>21</v>
      </c>
      <c r="F17" s="25" t="s">
        <v>126</v>
      </c>
      <c r="G17" s="29" t="s">
        <v>49</v>
      </c>
      <c r="H17" s="25" t="str">
        <f t="shared" si="3"/>
        <v>A01</v>
      </c>
      <c r="I17" s="21" t="s">
        <v>127</v>
      </c>
      <c r="J17" s="25" t="str">
        <f t="shared" si="5"/>
        <v>1.0.0.0</v>
      </c>
      <c r="K17" s="21" t="s">
        <v>128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87.75" customHeight="1">
      <c r="A18" s="25">
        <f t="shared" si="1"/>
        <v>17</v>
      </c>
      <c r="B18" s="25" t="str">
        <f t="shared" si="2"/>
        <v>A17</v>
      </c>
      <c r="C18" s="19" t="s">
        <v>85</v>
      </c>
      <c r="D18" s="19" t="s">
        <v>86</v>
      </c>
      <c r="E18" s="25" t="s">
        <v>21</v>
      </c>
      <c r="F18" s="25" t="s">
        <v>131</v>
      </c>
      <c r="G18" s="29" t="s">
        <v>16</v>
      </c>
      <c r="H18" s="25" t="str">
        <f t="shared" si="3"/>
        <v>A01</v>
      </c>
      <c r="I18" s="21" t="s">
        <v>134</v>
      </c>
      <c r="J18" s="25" t="str">
        <f t="shared" si="5"/>
        <v>1.0.0.0</v>
      </c>
      <c r="K18" s="21" t="s">
        <v>135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25">
        <f t="shared" si="1"/>
        <v>18</v>
      </c>
      <c r="B19" s="25" t="str">
        <f t="shared" si="2"/>
        <v>A18</v>
      </c>
      <c r="C19" s="19" t="s">
        <v>87</v>
      </c>
      <c r="D19" s="19" t="s">
        <v>88</v>
      </c>
      <c r="E19" s="25" t="s">
        <v>21</v>
      </c>
      <c r="F19" s="25" t="s">
        <v>126</v>
      </c>
      <c r="G19" s="29" t="s">
        <v>49</v>
      </c>
      <c r="H19" s="25" t="str">
        <f t="shared" si="3"/>
        <v>A01</v>
      </c>
      <c r="I19" s="21" t="s">
        <v>138</v>
      </c>
      <c r="J19" s="25" t="str">
        <f t="shared" si="5"/>
        <v>1.0.0.0</v>
      </c>
      <c r="K19" s="21" t="s">
        <v>139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25">
        <f t="shared" si="1"/>
        <v>19</v>
      </c>
      <c r="B20" s="25" t="str">
        <f t="shared" si="2"/>
        <v>A19</v>
      </c>
      <c r="C20" s="19" t="s">
        <v>89</v>
      </c>
      <c r="D20" s="39" t="s">
        <v>90</v>
      </c>
      <c r="E20" s="25" t="s">
        <v>21</v>
      </c>
      <c r="F20" s="25" t="s">
        <v>70</v>
      </c>
      <c r="G20" s="29" t="s">
        <v>49</v>
      </c>
      <c r="H20" s="25" t="str">
        <f t="shared" si="3"/>
        <v>A01</v>
      </c>
      <c r="I20" s="21"/>
      <c r="J20" s="25" t="str">
        <f t="shared" si="5"/>
        <v>1.0.0.0</v>
      </c>
      <c r="K20" s="21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2.75" customHeight="1">
      <c r="A21" s="25">
        <f t="shared" si="1"/>
        <v>20</v>
      </c>
      <c r="B21" s="25" t="str">
        <f t="shared" si="2"/>
        <v>A20</v>
      </c>
      <c r="C21" s="19" t="s">
        <v>97</v>
      </c>
      <c r="D21" s="19" t="s">
        <v>98</v>
      </c>
      <c r="E21" s="25" t="s">
        <v>21</v>
      </c>
      <c r="F21" s="25" t="s">
        <v>148</v>
      </c>
      <c r="G21" s="29" t="s">
        <v>49</v>
      </c>
      <c r="H21" s="25" t="str">
        <f t="shared" si="3"/>
        <v>A01</v>
      </c>
      <c r="I21" s="21"/>
      <c r="J21" s="25" t="str">
        <f t="shared" si="5"/>
        <v>1.0.0.0</v>
      </c>
      <c r="K21" s="21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25">
        <f t="shared" si="1"/>
        <v>21</v>
      </c>
      <c r="B22" s="25" t="str">
        <f t="shared" si="2"/>
        <v>A21</v>
      </c>
      <c r="C22" s="19" t="s">
        <v>100</v>
      </c>
      <c r="D22" s="19" t="s">
        <v>101</v>
      </c>
      <c r="E22" s="25" t="s">
        <v>21</v>
      </c>
      <c r="F22" s="25" t="s">
        <v>151</v>
      </c>
      <c r="G22" s="29" t="s">
        <v>49</v>
      </c>
      <c r="H22" s="25" t="str">
        <f t="shared" si="3"/>
        <v>A01</v>
      </c>
      <c r="I22" s="21"/>
      <c r="J22" s="25" t="str">
        <f t="shared" si="5"/>
        <v>1.0.0.0</v>
      </c>
      <c r="K22" s="21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25">
        <v>22.0</v>
      </c>
      <c r="B23" s="25" t="s">
        <v>155</v>
      </c>
      <c r="C23" s="52" t="s">
        <v>156</v>
      </c>
      <c r="D23" s="19" t="s">
        <v>157</v>
      </c>
      <c r="E23" s="25" t="s">
        <v>21</v>
      </c>
      <c r="F23" s="25" t="s">
        <v>160</v>
      </c>
      <c r="G23" s="29" t="s">
        <v>49</v>
      </c>
      <c r="H23" s="25" t="s">
        <v>161</v>
      </c>
      <c r="I23" s="21"/>
      <c r="J23" s="25" t="s">
        <v>162</v>
      </c>
      <c r="K23" s="21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25">
        <f t="shared" ref="A24:A38" si="6">ROW()-1</f>
        <v>23</v>
      </c>
      <c r="B24" s="25" t="str">
        <f t="shared" ref="B24:B38" si="7">CONCATENATE("A",IF(A24&lt;=9,0,),A24)</f>
        <v>A23</v>
      </c>
      <c r="C24" s="19" t="s">
        <v>102</v>
      </c>
      <c r="D24" s="19" t="s">
        <v>103</v>
      </c>
      <c r="E24" s="25" t="s">
        <v>21</v>
      </c>
      <c r="F24" s="25" t="s">
        <v>165</v>
      </c>
      <c r="G24" s="29" t="s">
        <v>49</v>
      </c>
      <c r="H24" s="25" t="str">
        <f t="shared" ref="H24:H28" si="8">$B$2</f>
        <v>A01</v>
      </c>
      <c r="I24" s="21"/>
      <c r="J24" s="25" t="s">
        <v>22</v>
      </c>
      <c r="K24" s="21" t="s">
        <v>166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5">
        <f t="shared" si="6"/>
        <v>24</v>
      </c>
      <c r="B25" s="25" t="str">
        <f t="shared" si="7"/>
        <v>A24</v>
      </c>
      <c r="C25" s="19" t="s">
        <v>105</v>
      </c>
      <c r="D25" s="19" t="s">
        <v>106</v>
      </c>
      <c r="E25" s="25" t="s">
        <v>21</v>
      </c>
      <c r="F25" s="25" t="s">
        <v>169</v>
      </c>
      <c r="G25" s="29" t="s">
        <v>49</v>
      </c>
      <c r="H25" s="25" t="str">
        <f t="shared" si="8"/>
        <v>A01</v>
      </c>
      <c r="I25" s="21"/>
      <c r="J25" s="25" t="s">
        <v>60</v>
      </c>
      <c r="K25" s="21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25">
        <f t="shared" si="6"/>
        <v>25</v>
      </c>
      <c r="B26" s="25" t="str">
        <f t="shared" si="7"/>
        <v>A25</v>
      </c>
      <c r="C26" s="19" t="s">
        <v>107</v>
      </c>
      <c r="D26" s="19" t="s">
        <v>108</v>
      </c>
      <c r="E26" s="25" t="s">
        <v>21</v>
      </c>
      <c r="F26" s="25" t="s">
        <v>99</v>
      </c>
      <c r="G26" s="29" t="s">
        <v>16</v>
      </c>
      <c r="H26" s="25" t="str">
        <f t="shared" si="8"/>
        <v>A01</v>
      </c>
      <c r="I26" s="21" t="s">
        <v>109</v>
      </c>
      <c r="J26" s="25" t="str">
        <f t="shared" ref="J26:J30" si="9">$J$2</f>
        <v>1.0.0.0</v>
      </c>
      <c r="K26" s="21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5">
        <f t="shared" si="6"/>
        <v>26</v>
      </c>
      <c r="B27" s="25" t="str">
        <f t="shared" si="7"/>
        <v>A26</v>
      </c>
      <c r="C27" s="19" t="s">
        <v>176</v>
      </c>
      <c r="D27" s="19" t="s">
        <v>177</v>
      </c>
      <c r="E27" s="25" t="s">
        <v>21</v>
      </c>
      <c r="F27" s="25" t="s">
        <v>39</v>
      </c>
      <c r="G27" s="29" t="s">
        <v>49</v>
      </c>
      <c r="H27" s="25" t="str">
        <f t="shared" si="8"/>
        <v>A01</v>
      </c>
      <c r="I27" s="21"/>
      <c r="J27" s="25" t="str">
        <f t="shared" si="9"/>
        <v>1.0.0.0</v>
      </c>
      <c r="K27" s="21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30.75" customHeight="1">
      <c r="A28" s="9">
        <f t="shared" si="6"/>
        <v>27</v>
      </c>
      <c r="B28" s="9" t="str">
        <f t="shared" si="7"/>
        <v>A27</v>
      </c>
      <c r="C28" s="17" t="s">
        <v>181</v>
      </c>
      <c r="D28" s="17"/>
      <c r="E28" s="9" t="s">
        <v>13</v>
      </c>
      <c r="F28" s="9" t="s">
        <v>15</v>
      </c>
      <c r="G28" s="20" t="s">
        <v>16</v>
      </c>
      <c r="H28" s="9" t="str">
        <f t="shared" si="8"/>
        <v>A01</v>
      </c>
      <c r="I28" s="54"/>
      <c r="J28" s="9" t="str">
        <f t="shared" si="9"/>
        <v>1.0.0.0</v>
      </c>
      <c r="K28" s="21" t="s">
        <v>185</v>
      </c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>
      <c r="A29" s="25">
        <f t="shared" si="6"/>
        <v>28</v>
      </c>
      <c r="B29" s="25" t="str">
        <f t="shared" si="7"/>
        <v>A28</v>
      </c>
      <c r="C29" s="19" t="s">
        <v>186</v>
      </c>
      <c r="D29" s="19" t="s">
        <v>187</v>
      </c>
      <c r="E29" s="25" t="s">
        <v>21</v>
      </c>
      <c r="F29" s="25" t="s">
        <v>148</v>
      </c>
      <c r="G29" s="29" t="s">
        <v>16</v>
      </c>
      <c r="H29" s="25" t="str">
        <f t="shared" ref="H29:H33" si="10">$B$28</f>
        <v>A27</v>
      </c>
      <c r="I29" s="21" t="s">
        <v>191</v>
      </c>
      <c r="J29" s="25" t="str">
        <f t="shared" si="9"/>
        <v>1.0.0.0</v>
      </c>
      <c r="K29" s="21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25">
        <f t="shared" si="6"/>
        <v>29</v>
      </c>
      <c r="B30" s="25" t="str">
        <f t="shared" si="7"/>
        <v>A29</v>
      </c>
      <c r="C30" s="19" t="s">
        <v>194</v>
      </c>
      <c r="D30" s="19" t="s">
        <v>195</v>
      </c>
      <c r="E30" s="25" t="s">
        <v>21</v>
      </c>
      <c r="F30" s="25" t="s">
        <v>39</v>
      </c>
      <c r="G30" s="57" t="s">
        <v>16</v>
      </c>
      <c r="H30" s="58" t="str">
        <f t="shared" si="10"/>
        <v>A27</v>
      </c>
      <c r="I30" s="33"/>
      <c r="J30" s="25" t="str">
        <f t="shared" si="9"/>
        <v>1.0.0.0</v>
      </c>
      <c r="K30" s="33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5">
        <f t="shared" si="6"/>
        <v>30</v>
      </c>
      <c r="B31" s="25" t="str">
        <f t="shared" si="7"/>
        <v>A30</v>
      </c>
      <c r="C31" s="19" t="s">
        <v>196</v>
      </c>
      <c r="D31" s="19" t="s">
        <v>197</v>
      </c>
      <c r="E31" s="25" t="s">
        <v>21</v>
      </c>
      <c r="F31" s="25" t="s">
        <v>131</v>
      </c>
      <c r="G31" s="57" t="s">
        <v>49</v>
      </c>
      <c r="H31" s="58" t="str">
        <f t="shared" si="10"/>
        <v>A27</v>
      </c>
      <c r="I31" s="21" t="s">
        <v>200</v>
      </c>
      <c r="J31" s="25" t="s">
        <v>60</v>
      </c>
      <c r="K31" s="21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25">
        <f t="shared" si="6"/>
        <v>31</v>
      </c>
      <c r="B32" s="25" t="str">
        <f t="shared" si="7"/>
        <v>A31</v>
      </c>
      <c r="C32" s="19" t="s">
        <v>201</v>
      </c>
      <c r="D32" s="19" t="s">
        <v>202</v>
      </c>
      <c r="E32" s="25" t="s">
        <v>21</v>
      </c>
      <c r="F32" s="25" t="s">
        <v>39</v>
      </c>
      <c r="G32" s="57" t="s">
        <v>49</v>
      </c>
      <c r="H32" s="58" t="str">
        <f t="shared" si="10"/>
        <v>A27</v>
      </c>
      <c r="I32" s="33" t="s">
        <v>203</v>
      </c>
      <c r="J32" s="25" t="s">
        <v>60</v>
      </c>
      <c r="K32" s="33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25">
        <f t="shared" si="6"/>
        <v>32</v>
      </c>
      <c r="B33" s="25" t="str">
        <f t="shared" si="7"/>
        <v>A32</v>
      </c>
      <c r="C33" s="19" t="s">
        <v>206</v>
      </c>
      <c r="D33" s="19" t="s">
        <v>207</v>
      </c>
      <c r="E33" s="25" t="s">
        <v>21</v>
      </c>
      <c r="F33" s="25" t="s">
        <v>208</v>
      </c>
      <c r="G33" s="57" t="s">
        <v>49</v>
      </c>
      <c r="H33" s="58" t="str">
        <f t="shared" si="10"/>
        <v>A27</v>
      </c>
      <c r="I33" s="21" t="s">
        <v>209</v>
      </c>
      <c r="J33" s="25" t="str">
        <f t="shared" ref="J33:J38" si="11">$J$2</f>
        <v>1.0.0.0</v>
      </c>
      <c r="K33" s="21" t="s">
        <v>210</v>
      </c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>
      <c r="A34" s="9">
        <f t="shared" si="6"/>
        <v>33</v>
      </c>
      <c r="B34" s="9" t="str">
        <f t="shared" si="7"/>
        <v>A33</v>
      </c>
      <c r="C34" s="17" t="s">
        <v>211</v>
      </c>
      <c r="D34" s="17"/>
      <c r="E34" s="9" t="s">
        <v>13</v>
      </c>
      <c r="F34" s="9"/>
      <c r="G34" s="9" t="s">
        <v>49</v>
      </c>
      <c r="H34" s="9" t="str">
        <f>$B$2</f>
        <v>A01</v>
      </c>
      <c r="I34" s="21"/>
      <c r="J34" s="25" t="str">
        <f t="shared" si="11"/>
        <v>1.0.0.0</v>
      </c>
      <c r="K34" s="21" t="s">
        <v>214</v>
      </c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9">
        <f t="shared" si="6"/>
        <v>34</v>
      </c>
      <c r="B35" s="9" t="str">
        <f t="shared" si="7"/>
        <v>A34</v>
      </c>
      <c r="C35" s="17" t="s">
        <v>215</v>
      </c>
      <c r="D35" s="17"/>
      <c r="E35" s="9" t="s">
        <v>13</v>
      </c>
      <c r="F35" s="9"/>
      <c r="G35" s="9" t="s">
        <v>27</v>
      </c>
      <c r="H35" s="9" t="str">
        <f>$B$34</f>
        <v>A33</v>
      </c>
      <c r="I35" s="54" t="s">
        <v>219</v>
      </c>
      <c r="J35" s="25" t="str">
        <f t="shared" si="11"/>
        <v>1.0.0.0</v>
      </c>
      <c r="K35" s="21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25">
        <f t="shared" si="6"/>
        <v>35</v>
      </c>
      <c r="B36" s="25" t="str">
        <f t="shared" si="7"/>
        <v>A35</v>
      </c>
      <c r="C36" s="19" t="s">
        <v>222</v>
      </c>
      <c r="D36" s="19" t="s">
        <v>223</v>
      </c>
      <c r="E36" s="25" t="s">
        <v>21</v>
      </c>
      <c r="F36" s="25" t="s">
        <v>165</v>
      </c>
      <c r="G36" s="29" t="s">
        <v>16</v>
      </c>
      <c r="H36" s="25" t="str">
        <f t="shared" ref="H36:H38" si="12">$B$35</f>
        <v>A34</v>
      </c>
      <c r="I36" s="21"/>
      <c r="J36" s="25" t="str">
        <f t="shared" si="11"/>
        <v>1.0.0.0</v>
      </c>
      <c r="K36" s="21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2.75" customHeight="1">
      <c r="A37" s="25">
        <f t="shared" si="6"/>
        <v>36</v>
      </c>
      <c r="B37" s="25" t="str">
        <f t="shared" si="7"/>
        <v>A36</v>
      </c>
      <c r="C37" s="19" t="s">
        <v>226</v>
      </c>
      <c r="D37" s="19" t="s">
        <v>227</v>
      </c>
      <c r="E37" s="25" t="s">
        <v>21</v>
      </c>
      <c r="F37" s="25" t="s">
        <v>165</v>
      </c>
      <c r="G37" s="29" t="s">
        <v>16</v>
      </c>
      <c r="H37" s="25" t="str">
        <f t="shared" si="12"/>
        <v>A34</v>
      </c>
      <c r="I37" s="21"/>
      <c r="J37" s="25" t="str">
        <f t="shared" si="11"/>
        <v>1.0.0.0</v>
      </c>
      <c r="K37" s="21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25">
        <f t="shared" si="6"/>
        <v>37</v>
      </c>
      <c r="B38" s="25" t="str">
        <f t="shared" si="7"/>
        <v>A37</v>
      </c>
      <c r="C38" s="19" t="s">
        <v>230</v>
      </c>
      <c r="D38" s="19" t="s">
        <v>231</v>
      </c>
      <c r="E38" s="25" t="s">
        <v>21</v>
      </c>
      <c r="F38" s="25" t="s">
        <v>165</v>
      </c>
      <c r="G38" s="29" t="s">
        <v>16</v>
      </c>
      <c r="H38" s="25" t="str">
        <f t="shared" si="12"/>
        <v>A34</v>
      </c>
      <c r="I38" s="21"/>
      <c r="J38" s="25" t="str">
        <f t="shared" si="11"/>
        <v>1.0.0.0</v>
      </c>
      <c r="K38" s="21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25">
        <v>36.0</v>
      </c>
      <c r="B39" s="25" t="s">
        <v>234</v>
      </c>
      <c r="C39" s="19" t="s">
        <v>235</v>
      </c>
      <c r="D39" s="19" t="s">
        <v>236</v>
      </c>
      <c r="E39" s="25" t="s">
        <v>21</v>
      </c>
      <c r="F39" s="25" t="s">
        <v>208</v>
      </c>
      <c r="G39" s="29" t="s">
        <v>49</v>
      </c>
      <c r="H39" s="25" t="s">
        <v>192</v>
      </c>
      <c r="I39" s="21" t="s">
        <v>147</v>
      </c>
      <c r="J39" s="25" t="s">
        <v>237</v>
      </c>
      <c r="K39" s="21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25">
        <f>ROW()-1</f>
        <v>39</v>
      </c>
      <c r="B40" s="25" t="str">
        <f>CONCATENATE("A",IF(A40&lt;=9,0,),A40)</f>
        <v>A39</v>
      </c>
      <c r="C40" s="19" t="s">
        <v>240</v>
      </c>
      <c r="D40" s="19" t="s">
        <v>241</v>
      </c>
      <c r="E40" s="25" t="s">
        <v>21</v>
      </c>
      <c r="F40" s="25" t="s">
        <v>126</v>
      </c>
      <c r="G40" s="29" t="s">
        <v>49</v>
      </c>
      <c r="H40" s="25" t="str">
        <f>$B$35</f>
        <v>A34</v>
      </c>
      <c r="I40" s="21" t="s">
        <v>244</v>
      </c>
      <c r="J40" s="25" t="s">
        <v>245</v>
      </c>
      <c r="K40" s="21" t="s">
        <v>246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25">
        <v>38.0</v>
      </c>
      <c r="B41" s="25" t="s">
        <v>249</v>
      </c>
      <c r="C41" s="19" t="s">
        <v>250</v>
      </c>
      <c r="D41" s="19" t="s">
        <v>251</v>
      </c>
      <c r="E41" s="25" t="s">
        <v>21</v>
      </c>
      <c r="F41" s="25" t="s">
        <v>208</v>
      </c>
      <c r="G41" s="29" t="s">
        <v>49</v>
      </c>
      <c r="H41" s="25" t="s">
        <v>192</v>
      </c>
      <c r="I41" s="21" t="s">
        <v>252</v>
      </c>
      <c r="J41" s="25" t="s">
        <v>253</v>
      </c>
      <c r="K41" s="21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>
        <f t="shared" ref="A42:A279" si="13">ROW()-1</f>
        <v>41</v>
      </c>
      <c r="B42" s="9" t="str">
        <f t="shared" ref="B42:B279" si="14">CONCATENATE("A",IF(A42&lt;=9,0,),A42)</f>
        <v>A41</v>
      </c>
      <c r="C42" s="17" t="s">
        <v>256</v>
      </c>
      <c r="D42" s="17" t="s">
        <v>257</v>
      </c>
      <c r="E42" s="9" t="s">
        <v>13</v>
      </c>
      <c r="F42" s="9" t="s">
        <v>15</v>
      </c>
      <c r="G42" s="20" t="s">
        <v>49</v>
      </c>
      <c r="H42" s="9" t="str">
        <f>$B$35</f>
        <v>A34</v>
      </c>
      <c r="I42" s="54"/>
      <c r="J42" s="9" t="s">
        <v>245</v>
      </c>
      <c r="K42" s="54" t="s">
        <v>258</v>
      </c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9">
        <f t="shared" si="13"/>
        <v>42</v>
      </c>
      <c r="B43" s="9" t="str">
        <f t="shared" si="14"/>
        <v>A42</v>
      </c>
      <c r="C43" s="17" t="s">
        <v>261</v>
      </c>
      <c r="D43" s="17" t="s">
        <v>262</v>
      </c>
      <c r="E43" s="9" t="s">
        <v>13</v>
      </c>
      <c r="F43" s="9" t="s">
        <v>15</v>
      </c>
      <c r="G43" s="20" t="s">
        <v>49</v>
      </c>
      <c r="H43" s="9" t="str">
        <f>$B$42</f>
        <v>A41</v>
      </c>
      <c r="I43" s="54"/>
      <c r="J43" s="9" t="s">
        <v>245</v>
      </c>
      <c r="K43" s="54" t="s">
        <v>265</v>
      </c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25">
        <f t="shared" si="13"/>
        <v>43</v>
      </c>
      <c r="B44" s="25" t="str">
        <f t="shared" si="14"/>
        <v>A43</v>
      </c>
      <c r="C44" s="19" t="s">
        <v>267</v>
      </c>
      <c r="D44" s="19" t="s">
        <v>268</v>
      </c>
      <c r="E44" s="25" t="s">
        <v>21</v>
      </c>
      <c r="F44" s="25" t="s">
        <v>208</v>
      </c>
      <c r="G44" s="29" t="s">
        <v>49</v>
      </c>
      <c r="H44" s="25" t="str">
        <f t="shared" ref="H44:H45" si="15">$B$43</f>
        <v>A42</v>
      </c>
      <c r="I44" s="21" t="s">
        <v>147</v>
      </c>
      <c r="J44" s="25" t="s">
        <v>245</v>
      </c>
      <c r="K44" s="21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5">
        <f t="shared" si="13"/>
        <v>44</v>
      </c>
      <c r="B45" s="25" t="str">
        <f t="shared" si="14"/>
        <v>A44</v>
      </c>
      <c r="C45" s="19" t="s">
        <v>271</v>
      </c>
      <c r="D45" s="19" t="s">
        <v>272</v>
      </c>
      <c r="E45" s="25" t="s">
        <v>21</v>
      </c>
      <c r="F45" s="25" t="s">
        <v>208</v>
      </c>
      <c r="G45" s="29" t="s">
        <v>49</v>
      </c>
      <c r="H45" s="25" t="str">
        <f t="shared" si="15"/>
        <v>A42</v>
      </c>
      <c r="I45" s="21" t="s">
        <v>147</v>
      </c>
      <c r="J45" s="25" t="s">
        <v>245</v>
      </c>
      <c r="K45" s="21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9">
        <f t="shared" si="13"/>
        <v>45</v>
      </c>
      <c r="B46" s="9" t="str">
        <f t="shared" si="14"/>
        <v>A45</v>
      </c>
      <c r="C46" s="17" t="s">
        <v>276</v>
      </c>
      <c r="D46" s="17" t="s">
        <v>277</v>
      </c>
      <c r="E46" s="9" t="s">
        <v>13</v>
      </c>
      <c r="F46" s="9" t="s">
        <v>15</v>
      </c>
      <c r="G46" s="20" t="s">
        <v>49</v>
      </c>
      <c r="H46" s="9" t="str">
        <f>$B$42</f>
        <v>A41</v>
      </c>
      <c r="I46" s="54"/>
      <c r="J46" s="9" t="s">
        <v>245</v>
      </c>
      <c r="K46" s="54" t="s">
        <v>278</v>
      </c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25">
        <f t="shared" si="13"/>
        <v>46</v>
      </c>
      <c r="B47" s="25" t="str">
        <f t="shared" si="14"/>
        <v>A46</v>
      </c>
      <c r="C47" s="19" t="s">
        <v>267</v>
      </c>
      <c r="D47" s="19" t="s">
        <v>279</v>
      </c>
      <c r="E47" s="25" t="s">
        <v>21</v>
      </c>
      <c r="F47" s="25" t="s">
        <v>208</v>
      </c>
      <c r="G47" s="29" t="s">
        <v>49</v>
      </c>
      <c r="H47" s="25" t="str">
        <f t="shared" ref="H47:H48" si="16">$B$46</f>
        <v>A45</v>
      </c>
      <c r="I47" s="21" t="s">
        <v>147</v>
      </c>
      <c r="J47" s="25" t="s">
        <v>245</v>
      </c>
      <c r="K47" s="21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25">
        <f t="shared" si="13"/>
        <v>47</v>
      </c>
      <c r="B48" s="25" t="str">
        <f t="shared" si="14"/>
        <v>A47</v>
      </c>
      <c r="C48" s="19" t="s">
        <v>271</v>
      </c>
      <c r="D48" s="19" t="s">
        <v>282</v>
      </c>
      <c r="E48" s="25" t="s">
        <v>21</v>
      </c>
      <c r="F48" s="25" t="s">
        <v>208</v>
      </c>
      <c r="G48" s="29" t="s">
        <v>49</v>
      </c>
      <c r="H48" s="25" t="str">
        <f t="shared" si="16"/>
        <v>A45</v>
      </c>
      <c r="I48" s="21" t="s">
        <v>147</v>
      </c>
      <c r="J48" s="25" t="s">
        <v>245</v>
      </c>
      <c r="K48" s="21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9">
        <f t="shared" si="13"/>
        <v>48</v>
      </c>
      <c r="B49" s="9" t="str">
        <f t="shared" si="14"/>
        <v>A48</v>
      </c>
      <c r="C49" s="17" t="s">
        <v>284</v>
      </c>
      <c r="D49" s="17" t="s">
        <v>285</v>
      </c>
      <c r="E49" s="9" t="s">
        <v>13</v>
      </c>
      <c r="F49" s="9" t="s">
        <v>15</v>
      </c>
      <c r="G49" s="20" t="s">
        <v>49</v>
      </c>
      <c r="H49" s="9" t="str">
        <f>$B$42</f>
        <v>A41</v>
      </c>
      <c r="I49" s="54"/>
      <c r="J49" s="9" t="s">
        <v>245</v>
      </c>
      <c r="K49" s="54" t="s">
        <v>286</v>
      </c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25">
        <f t="shared" si="13"/>
        <v>49</v>
      </c>
      <c r="B50" s="25" t="str">
        <f t="shared" si="14"/>
        <v>A49</v>
      </c>
      <c r="C50" s="19" t="s">
        <v>267</v>
      </c>
      <c r="D50" s="19" t="s">
        <v>289</v>
      </c>
      <c r="E50" s="25" t="s">
        <v>21</v>
      </c>
      <c r="F50" s="25" t="s">
        <v>208</v>
      </c>
      <c r="G50" s="29" t="s">
        <v>49</v>
      </c>
      <c r="H50" s="25" t="str">
        <f t="shared" ref="H50:H52" si="17">$B$49</f>
        <v>A48</v>
      </c>
      <c r="I50" s="21" t="s">
        <v>147</v>
      </c>
      <c r="J50" s="25" t="s">
        <v>245</v>
      </c>
      <c r="K50" s="21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5">
        <f t="shared" si="13"/>
        <v>50</v>
      </c>
      <c r="B51" s="25" t="str">
        <f t="shared" si="14"/>
        <v>A50</v>
      </c>
      <c r="C51" s="19" t="s">
        <v>271</v>
      </c>
      <c r="D51" s="19" t="s">
        <v>293</v>
      </c>
      <c r="E51" s="25" t="s">
        <v>21</v>
      </c>
      <c r="F51" s="25" t="s">
        <v>208</v>
      </c>
      <c r="G51" s="29" t="s">
        <v>49</v>
      </c>
      <c r="H51" s="25" t="str">
        <f t="shared" si="17"/>
        <v>A48</v>
      </c>
      <c r="I51" s="21" t="s">
        <v>147</v>
      </c>
      <c r="J51" s="25" t="s">
        <v>245</v>
      </c>
      <c r="K51" s="21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5.75" customHeight="1">
      <c r="A52" s="25">
        <f t="shared" si="13"/>
        <v>51</v>
      </c>
      <c r="B52" s="25" t="str">
        <f t="shared" si="14"/>
        <v>A51</v>
      </c>
      <c r="C52" s="19" t="s">
        <v>294</v>
      </c>
      <c r="D52" s="19" t="s">
        <v>295</v>
      </c>
      <c r="E52" s="25" t="s">
        <v>21</v>
      </c>
      <c r="F52" s="25" t="s">
        <v>208</v>
      </c>
      <c r="G52" s="29" t="s">
        <v>49</v>
      </c>
      <c r="H52" s="25" t="str">
        <f t="shared" si="17"/>
        <v>A48</v>
      </c>
      <c r="I52" s="21" t="s">
        <v>147</v>
      </c>
      <c r="J52" s="25" t="s">
        <v>245</v>
      </c>
      <c r="K52" s="21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9">
        <f t="shared" si="13"/>
        <v>52</v>
      </c>
      <c r="B53" s="9" t="str">
        <f t="shared" si="14"/>
        <v>A52</v>
      </c>
      <c r="C53" s="17" t="s">
        <v>298</v>
      </c>
      <c r="D53" s="17" t="s">
        <v>299</v>
      </c>
      <c r="E53" s="9" t="s">
        <v>13</v>
      </c>
      <c r="F53" s="9" t="s">
        <v>15</v>
      </c>
      <c r="G53" s="20" t="s">
        <v>49</v>
      </c>
      <c r="H53" s="9" t="str">
        <f>$B$42</f>
        <v>A41</v>
      </c>
      <c r="I53" s="54"/>
      <c r="J53" s="9" t="s">
        <v>245</v>
      </c>
      <c r="K53" s="54" t="s">
        <v>302</v>
      </c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25">
        <f t="shared" si="13"/>
        <v>53</v>
      </c>
      <c r="B54" s="25" t="str">
        <f t="shared" si="14"/>
        <v>A53</v>
      </c>
      <c r="C54" s="19" t="s">
        <v>267</v>
      </c>
      <c r="D54" s="19" t="s">
        <v>305</v>
      </c>
      <c r="E54" s="25" t="s">
        <v>21</v>
      </c>
      <c r="F54" s="25" t="s">
        <v>208</v>
      </c>
      <c r="G54" s="29" t="s">
        <v>49</v>
      </c>
      <c r="H54" s="25" t="str">
        <f t="shared" ref="H54:H55" si="18">$B$53</f>
        <v>A52</v>
      </c>
      <c r="I54" s="21" t="s">
        <v>147</v>
      </c>
      <c r="J54" s="25" t="s">
        <v>245</v>
      </c>
      <c r="K54" s="21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25">
        <f t="shared" si="13"/>
        <v>54</v>
      </c>
      <c r="B55" s="25" t="str">
        <f t="shared" si="14"/>
        <v>A54</v>
      </c>
      <c r="C55" s="19" t="s">
        <v>271</v>
      </c>
      <c r="D55" s="19" t="s">
        <v>307</v>
      </c>
      <c r="E55" s="25" t="s">
        <v>21</v>
      </c>
      <c r="F55" s="25" t="s">
        <v>208</v>
      </c>
      <c r="G55" s="29" t="s">
        <v>49</v>
      </c>
      <c r="H55" s="25" t="str">
        <f t="shared" si="18"/>
        <v>A52</v>
      </c>
      <c r="I55" s="21" t="s">
        <v>147</v>
      </c>
      <c r="J55" s="25" t="s">
        <v>245</v>
      </c>
      <c r="K55" s="21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9">
        <f t="shared" si="13"/>
        <v>55</v>
      </c>
      <c r="B56" s="9" t="str">
        <f t="shared" si="14"/>
        <v>A55</v>
      </c>
      <c r="C56" s="17" t="s">
        <v>310</v>
      </c>
      <c r="D56" s="17" t="s">
        <v>311</v>
      </c>
      <c r="E56" s="9" t="s">
        <v>13</v>
      </c>
      <c r="F56" s="9" t="s">
        <v>15</v>
      </c>
      <c r="G56" s="20" t="s">
        <v>49</v>
      </c>
      <c r="H56" s="9" t="str">
        <f>$B$42</f>
        <v>A41</v>
      </c>
      <c r="I56" s="54"/>
      <c r="J56" s="9" t="s">
        <v>245</v>
      </c>
      <c r="K56" s="54" t="s">
        <v>313</v>
      </c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25">
        <f t="shared" si="13"/>
        <v>56</v>
      </c>
      <c r="B57" s="25" t="str">
        <f t="shared" si="14"/>
        <v>A56</v>
      </c>
      <c r="C57" s="19" t="s">
        <v>267</v>
      </c>
      <c r="D57" s="19" t="s">
        <v>316</v>
      </c>
      <c r="E57" s="25" t="s">
        <v>21</v>
      </c>
      <c r="F57" s="25" t="s">
        <v>208</v>
      </c>
      <c r="G57" s="29" t="s">
        <v>49</v>
      </c>
      <c r="H57" s="25" t="str">
        <f t="shared" ref="H57:H58" si="19">$B$56</f>
        <v>A55</v>
      </c>
      <c r="I57" s="21" t="s">
        <v>147</v>
      </c>
      <c r="J57" s="25" t="s">
        <v>245</v>
      </c>
      <c r="K57" s="21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25">
        <f t="shared" si="13"/>
        <v>57</v>
      </c>
      <c r="B58" s="25" t="str">
        <f t="shared" si="14"/>
        <v>A57</v>
      </c>
      <c r="C58" s="19" t="s">
        <v>271</v>
      </c>
      <c r="D58" s="19" t="s">
        <v>319</v>
      </c>
      <c r="E58" s="25" t="s">
        <v>21</v>
      </c>
      <c r="F58" s="25" t="s">
        <v>208</v>
      </c>
      <c r="G58" s="29" t="s">
        <v>49</v>
      </c>
      <c r="H58" s="25" t="str">
        <f t="shared" si="19"/>
        <v>A55</v>
      </c>
      <c r="I58" s="21" t="s">
        <v>147</v>
      </c>
      <c r="J58" s="25" t="s">
        <v>245</v>
      </c>
      <c r="K58" s="21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9">
        <f t="shared" si="13"/>
        <v>58</v>
      </c>
      <c r="B59" s="9" t="str">
        <f t="shared" si="14"/>
        <v>A58</v>
      </c>
      <c r="C59" s="17" t="s">
        <v>322</v>
      </c>
      <c r="D59" s="17" t="s">
        <v>323</v>
      </c>
      <c r="E59" s="9" t="s">
        <v>13</v>
      </c>
      <c r="F59" s="9" t="s">
        <v>15</v>
      </c>
      <c r="G59" s="20" t="s">
        <v>49</v>
      </c>
      <c r="H59" s="9" t="str">
        <f>$B$42</f>
        <v>A41</v>
      </c>
      <c r="I59" s="54"/>
      <c r="J59" s="9" t="s">
        <v>245</v>
      </c>
      <c r="K59" s="54" t="s">
        <v>326</v>
      </c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25">
        <f t="shared" si="13"/>
        <v>59</v>
      </c>
      <c r="B60" s="25" t="str">
        <f t="shared" si="14"/>
        <v>A59</v>
      </c>
      <c r="C60" s="21" t="s">
        <v>327</v>
      </c>
      <c r="D60" s="19" t="s">
        <v>328</v>
      </c>
      <c r="E60" s="25" t="s">
        <v>21</v>
      </c>
      <c r="F60" s="25" t="s">
        <v>208</v>
      </c>
      <c r="G60" s="29" t="s">
        <v>49</v>
      </c>
      <c r="H60" s="25" t="str">
        <f t="shared" ref="H60:H77" si="20">$B$59</f>
        <v>A58</v>
      </c>
      <c r="I60" s="21" t="s">
        <v>147</v>
      </c>
      <c r="J60" s="25" t="s">
        <v>245</v>
      </c>
      <c r="K60" s="21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25">
        <f t="shared" si="13"/>
        <v>60</v>
      </c>
      <c r="B61" s="25" t="str">
        <f t="shared" si="14"/>
        <v>A60</v>
      </c>
      <c r="C61" s="21" t="s">
        <v>334</v>
      </c>
      <c r="D61" s="19" t="s">
        <v>335</v>
      </c>
      <c r="E61" s="25" t="s">
        <v>21</v>
      </c>
      <c r="F61" s="25" t="s">
        <v>208</v>
      </c>
      <c r="G61" s="29" t="s">
        <v>49</v>
      </c>
      <c r="H61" s="25" t="str">
        <f t="shared" si="20"/>
        <v>A58</v>
      </c>
      <c r="I61" s="21" t="s">
        <v>147</v>
      </c>
      <c r="J61" s="25" t="s">
        <v>245</v>
      </c>
      <c r="K61" s="21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2.75" customHeight="1">
      <c r="A62" s="25">
        <f t="shared" si="13"/>
        <v>61</v>
      </c>
      <c r="B62" s="25" t="str">
        <f t="shared" si="14"/>
        <v>A61</v>
      </c>
      <c r="C62" s="21" t="s">
        <v>337</v>
      </c>
      <c r="D62" s="19" t="s">
        <v>338</v>
      </c>
      <c r="E62" s="25" t="s">
        <v>21</v>
      </c>
      <c r="F62" s="25" t="s">
        <v>208</v>
      </c>
      <c r="G62" s="29" t="s">
        <v>49</v>
      </c>
      <c r="H62" s="25" t="str">
        <f t="shared" si="20"/>
        <v>A58</v>
      </c>
      <c r="I62" s="21" t="s">
        <v>147</v>
      </c>
      <c r="J62" s="25" t="s">
        <v>245</v>
      </c>
      <c r="K62" s="21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5">
        <f t="shared" si="13"/>
        <v>62</v>
      </c>
      <c r="B63" s="25" t="str">
        <f t="shared" si="14"/>
        <v>A62</v>
      </c>
      <c r="C63" s="21" t="s">
        <v>342</v>
      </c>
      <c r="D63" s="19" t="s">
        <v>343</v>
      </c>
      <c r="E63" s="25" t="s">
        <v>21</v>
      </c>
      <c r="F63" s="25" t="s">
        <v>208</v>
      </c>
      <c r="G63" s="29" t="s">
        <v>49</v>
      </c>
      <c r="H63" s="25" t="str">
        <f t="shared" si="20"/>
        <v>A58</v>
      </c>
      <c r="I63" s="21" t="s">
        <v>147</v>
      </c>
      <c r="J63" s="25" t="s">
        <v>245</v>
      </c>
      <c r="K63" s="21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25">
        <f t="shared" si="13"/>
        <v>63</v>
      </c>
      <c r="B64" s="25" t="str">
        <f t="shared" si="14"/>
        <v>A63</v>
      </c>
      <c r="C64" s="21" t="s">
        <v>344</v>
      </c>
      <c r="D64" s="19" t="s">
        <v>345</v>
      </c>
      <c r="E64" s="25" t="s">
        <v>21</v>
      </c>
      <c r="F64" s="25" t="s">
        <v>208</v>
      </c>
      <c r="G64" s="29" t="s">
        <v>49</v>
      </c>
      <c r="H64" s="25" t="str">
        <f t="shared" si="20"/>
        <v>A58</v>
      </c>
      <c r="I64" s="21" t="s">
        <v>147</v>
      </c>
      <c r="J64" s="25" t="s">
        <v>245</v>
      </c>
      <c r="K64" s="21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25">
        <f t="shared" si="13"/>
        <v>64</v>
      </c>
      <c r="B65" s="25" t="str">
        <f t="shared" si="14"/>
        <v>A64</v>
      </c>
      <c r="C65" s="21" t="s">
        <v>349</v>
      </c>
      <c r="D65" s="19" t="s">
        <v>350</v>
      </c>
      <c r="E65" s="25" t="s">
        <v>21</v>
      </c>
      <c r="F65" s="25" t="s">
        <v>208</v>
      </c>
      <c r="G65" s="29" t="s">
        <v>49</v>
      </c>
      <c r="H65" s="25" t="str">
        <f t="shared" si="20"/>
        <v>A58</v>
      </c>
      <c r="I65" s="21" t="s">
        <v>147</v>
      </c>
      <c r="J65" s="25" t="s">
        <v>245</v>
      </c>
      <c r="K65" s="21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25">
        <f t="shared" si="13"/>
        <v>65</v>
      </c>
      <c r="B66" s="25" t="str">
        <f t="shared" si="14"/>
        <v>A65</v>
      </c>
      <c r="C66" s="21" t="s">
        <v>351</v>
      </c>
      <c r="D66" s="19" t="s">
        <v>352</v>
      </c>
      <c r="E66" s="25" t="s">
        <v>21</v>
      </c>
      <c r="F66" s="25" t="s">
        <v>208</v>
      </c>
      <c r="G66" s="29" t="s">
        <v>49</v>
      </c>
      <c r="H66" s="25" t="str">
        <f t="shared" si="20"/>
        <v>A58</v>
      </c>
      <c r="I66" s="21" t="s">
        <v>147</v>
      </c>
      <c r="J66" s="25" t="s">
        <v>245</v>
      </c>
      <c r="K66" s="21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5">
        <f t="shared" si="13"/>
        <v>66</v>
      </c>
      <c r="B67" s="25" t="str">
        <f t="shared" si="14"/>
        <v>A66</v>
      </c>
      <c r="C67" s="21" t="s">
        <v>355</v>
      </c>
      <c r="D67" s="19" t="s">
        <v>356</v>
      </c>
      <c r="E67" s="25" t="s">
        <v>21</v>
      </c>
      <c r="F67" s="25" t="s">
        <v>208</v>
      </c>
      <c r="G67" s="29" t="s">
        <v>49</v>
      </c>
      <c r="H67" s="25" t="str">
        <f t="shared" si="20"/>
        <v>A58</v>
      </c>
      <c r="I67" s="21" t="s">
        <v>147</v>
      </c>
      <c r="J67" s="25" t="s">
        <v>245</v>
      </c>
      <c r="K67" s="21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25">
        <f t="shared" si="13"/>
        <v>67</v>
      </c>
      <c r="B68" s="25" t="str">
        <f t="shared" si="14"/>
        <v>A67</v>
      </c>
      <c r="C68" s="21" t="s">
        <v>357</v>
      </c>
      <c r="D68" s="19" t="s">
        <v>358</v>
      </c>
      <c r="E68" s="25" t="s">
        <v>21</v>
      </c>
      <c r="F68" s="25" t="s">
        <v>208</v>
      </c>
      <c r="G68" s="29" t="s">
        <v>49</v>
      </c>
      <c r="H68" s="25" t="str">
        <f t="shared" si="20"/>
        <v>A58</v>
      </c>
      <c r="I68" s="21" t="s">
        <v>147</v>
      </c>
      <c r="J68" s="25" t="s">
        <v>245</v>
      </c>
      <c r="K68" s="21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2.75" customHeight="1">
      <c r="A69" s="25">
        <f t="shared" si="13"/>
        <v>68</v>
      </c>
      <c r="B69" s="25" t="str">
        <f t="shared" si="14"/>
        <v>A68</v>
      </c>
      <c r="C69" s="21" t="s">
        <v>359</v>
      </c>
      <c r="D69" s="19" t="s">
        <v>360</v>
      </c>
      <c r="E69" s="25" t="s">
        <v>21</v>
      </c>
      <c r="F69" s="25" t="s">
        <v>208</v>
      </c>
      <c r="G69" s="29" t="s">
        <v>49</v>
      </c>
      <c r="H69" s="25" t="str">
        <f t="shared" si="20"/>
        <v>A58</v>
      </c>
      <c r="I69" s="21" t="s">
        <v>147</v>
      </c>
      <c r="J69" s="25" t="s">
        <v>245</v>
      </c>
      <c r="K69" s="21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25">
        <f t="shared" si="13"/>
        <v>69</v>
      </c>
      <c r="B70" s="25" t="str">
        <f t="shared" si="14"/>
        <v>A69</v>
      </c>
      <c r="C70" s="21" t="s">
        <v>361</v>
      </c>
      <c r="D70" s="19" t="s">
        <v>362</v>
      </c>
      <c r="E70" s="25" t="s">
        <v>21</v>
      </c>
      <c r="F70" s="25" t="s">
        <v>208</v>
      </c>
      <c r="G70" s="29" t="s">
        <v>49</v>
      </c>
      <c r="H70" s="25" t="str">
        <f t="shared" si="20"/>
        <v>A58</v>
      </c>
      <c r="I70" s="21" t="s">
        <v>147</v>
      </c>
      <c r="J70" s="25" t="s">
        <v>245</v>
      </c>
      <c r="K70" s="21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5">
        <f t="shared" si="13"/>
        <v>70</v>
      </c>
      <c r="B71" s="25" t="str">
        <f t="shared" si="14"/>
        <v>A70</v>
      </c>
      <c r="C71" s="21" t="s">
        <v>363</v>
      </c>
      <c r="D71" s="19" t="s">
        <v>364</v>
      </c>
      <c r="E71" s="25" t="s">
        <v>21</v>
      </c>
      <c r="F71" s="25" t="s">
        <v>208</v>
      </c>
      <c r="G71" s="29" t="s">
        <v>49</v>
      </c>
      <c r="H71" s="25" t="str">
        <f t="shared" si="20"/>
        <v>A58</v>
      </c>
      <c r="I71" s="21" t="s">
        <v>147</v>
      </c>
      <c r="J71" s="25" t="s">
        <v>245</v>
      </c>
      <c r="K71" s="21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25">
        <f t="shared" si="13"/>
        <v>71</v>
      </c>
      <c r="B72" s="25" t="str">
        <f t="shared" si="14"/>
        <v>A71</v>
      </c>
      <c r="C72" s="21" t="s">
        <v>366</v>
      </c>
      <c r="D72" s="19" t="s">
        <v>367</v>
      </c>
      <c r="E72" s="25" t="s">
        <v>21</v>
      </c>
      <c r="F72" s="25" t="s">
        <v>208</v>
      </c>
      <c r="G72" s="29" t="s">
        <v>49</v>
      </c>
      <c r="H72" s="25" t="str">
        <f t="shared" si="20"/>
        <v>A58</v>
      </c>
      <c r="I72" s="21" t="s">
        <v>147</v>
      </c>
      <c r="J72" s="25" t="s">
        <v>245</v>
      </c>
      <c r="K72" s="21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5">
        <f t="shared" si="13"/>
        <v>72</v>
      </c>
      <c r="B73" s="25" t="str">
        <f t="shared" si="14"/>
        <v>A72</v>
      </c>
      <c r="C73" s="21" t="s">
        <v>370</v>
      </c>
      <c r="D73" s="19" t="s">
        <v>371</v>
      </c>
      <c r="E73" s="25" t="s">
        <v>21</v>
      </c>
      <c r="F73" s="25" t="s">
        <v>208</v>
      </c>
      <c r="G73" s="29" t="s">
        <v>49</v>
      </c>
      <c r="H73" s="25" t="str">
        <f t="shared" si="20"/>
        <v>A58</v>
      </c>
      <c r="I73" s="21" t="s">
        <v>147</v>
      </c>
      <c r="J73" s="25" t="s">
        <v>245</v>
      </c>
      <c r="K73" s="21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25">
        <f t="shared" si="13"/>
        <v>73</v>
      </c>
      <c r="B74" s="25" t="str">
        <f t="shared" si="14"/>
        <v>A73</v>
      </c>
      <c r="C74" s="21" t="s">
        <v>375</v>
      </c>
      <c r="D74" s="19" t="s">
        <v>377</v>
      </c>
      <c r="E74" s="25" t="s">
        <v>21</v>
      </c>
      <c r="F74" s="25" t="s">
        <v>208</v>
      </c>
      <c r="G74" s="29" t="s">
        <v>49</v>
      </c>
      <c r="H74" s="25" t="str">
        <f t="shared" si="20"/>
        <v>A58</v>
      </c>
      <c r="I74" s="21" t="s">
        <v>147</v>
      </c>
      <c r="J74" s="25" t="s">
        <v>245</v>
      </c>
      <c r="K74" s="21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25">
        <f t="shared" si="13"/>
        <v>74</v>
      </c>
      <c r="B75" s="25" t="str">
        <f t="shared" si="14"/>
        <v>A74</v>
      </c>
      <c r="C75" s="21" t="s">
        <v>380</v>
      </c>
      <c r="D75" s="19" t="s">
        <v>381</v>
      </c>
      <c r="E75" s="25" t="s">
        <v>21</v>
      </c>
      <c r="F75" s="25" t="s">
        <v>208</v>
      </c>
      <c r="G75" s="29" t="s">
        <v>49</v>
      </c>
      <c r="H75" s="25" t="str">
        <f t="shared" si="20"/>
        <v>A58</v>
      </c>
      <c r="I75" s="21" t="s">
        <v>147</v>
      </c>
      <c r="J75" s="25" t="s">
        <v>245</v>
      </c>
      <c r="K75" s="21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25">
        <f t="shared" si="13"/>
        <v>75</v>
      </c>
      <c r="B76" s="25" t="str">
        <f t="shared" si="14"/>
        <v>A75</v>
      </c>
      <c r="C76" s="21" t="s">
        <v>385</v>
      </c>
      <c r="D76" s="19" t="s">
        <v>386</v>
      </c>
      <c r="E76" s="25" t="s">
        <v>21</v>
      </c>
      <c r="F76" s="25" t="s">
        <v>208</v>
      </c>
      <c r="G76" s="29" t="s">
        <v>49</v>
      </c>
      <c r="H76" s="25" t="str">
        <f t="shared" si="20"/>
        <v>A58</v>
      </c>
      <c r="I76" s="21" t="s">
        <v>147</v>
      </c>
      <c r="J76" s="25" t="s">
        <v>245</v>
      </c>
      <c r="K76" s="21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25">
        <f t="shared" si="13"/>
        <v>76</v>
      </c>
      <c r="B77" s="25" t="str">
        <f t="shared" si="14"/>
        <v>A76</v>
      </c>
      <c r="C77" s="21" t="s">
        <v>389</v>
      </c>
      <c r="D77" s="19" t="s">
        <v>390</v>
      </c>
      <c r="E77" s="25" t="s">
        <v>21</v>
      </c>
      <c r="F77" s="25" t="s">
        <v>208</v>
      </c>
      <c r="G77" s="29" t="s">
        <v>49</v>
      </c>
      <c r="H77" s="25" t="str">
        <f t="shared" si="20"/>
        <v>A58</v>
      </c>
      <c r="I77" s="21" t="s">
        <v>147</v>
      </c>
      <c r="J77" s="25" t="s">
        <v>245</v>
      </c>
      <c r="K77" s="21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>
        <f t="shared" si="13"/>
        <v>77</v>
      </c>
      <c r="B78" s="9" t="str">
        <f t="shared" si="14"/>
        <v>A77</v>
      </c>
      <c r="C78" s="17" t="s">
        <v>391</v>
      </c>
      <c r="D78" s="17"/>
      <c r="E78" s="9" t="s">
        <v>13</v>
      </c>
      <c r="F78" s="9" t="s">
        <v>15</v>
      </c>
      <c r="G78" s="9" t="s">
        <v>49</v>
      </c>
      <c r="H78" s="9" t="str">
        <f>$B$2</f>
        <v>A01</v>
      </c>
      <c r="I78" s="17"/>
      <c r="J78" s="9" t="str">
        <f t="shared" ref="J78:J87" si="21">$J$2</f>
        <v>1.0.0.0</v>
      </c>
      <c r="K78" s="19" t="s">
        <v>394</v>
      </c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>
      <c r="A79" s="25">
        <f t="shared" si="13"/>
        <v>78</v>
      </c>
      <c r="B79" s="25" t="str">
        <f t="shared" si="14"/>
        <v>A78</v>
      </c>
      <c r="C79" s="19" t="s">
        <v>395</v>
      </c>
      <c r="D79" s="19" t="s">
        <v>396</v>
      </c>
      <c r="E79" s="25" t="s">
        <v>21</v>
      </c>
      <c r="F79" s="25" t="s">
        <v>208</v>
      </c>
      <c r="G79" s="29" t="s">
        <v>16</v>
      </c>
      <c r="H79" s="25" t="str">
        <f t="shared" ref="H79:H88" si="22">$B$78</f>
        <v>A77</v>
      </c>
      <c r="I79" s="21"/>
      <c r="J79" s="25" t="str">
        <f t="shared" si="21"/>
        <v>1.0.0.0</v>
      </c>
      <c r="K79" s="21" t="s">
        <v>399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25">
        <f t="shared" si="13"/>
        <v>79</v>
      </c>
      <c r="B80" s="25" t="str">
        <f t="shared" si="14"/>
        <v>A79</v>
      </c>
      <c r="C80" s="19" t="s">
        <v>401</v>
      </c>
      <c r="D80" s="19" t="s">
        <v>403</v>
      </c>
      <c r="E80" s="25" t="s">
        <v>21</v>
      </c>
      <c r="F80" s="25" t="s">
        <v>404</v>
      </c>
      <c r="G80" s="29" t="s">
        <v>16</v>
      </c>
      <c r="H80" s="25" t="str">
        <f t="shared" si="22"/>
        <v>A77</v>
      </c>
      <c r="I80" s="21"/>
      <c r="J80" s="25" t="str">
        <f t="shared" si="21"/>
        <v>1.0.0.0</v>
      </c>
      <c r="K80" s="21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25">
        <f t="shared" si="13"/>
        <v>80</v>
      </c>
      <c r="B81" s="25" t="str">
        <f t="shared" si="14"/>
        <v>A80</v>
      </c>
      <c r="C81" s="19" t="s">
        <v>405</v>
      </c>
      <c r="D81" s="19" t="s">
        <v>406</v>
      </c>
      <c r="E81" s="25" t="s">
        <v>21</v>
      </c>
      <c r="F81" s="25" t="s">
        <v>208</v>
      </c>
      <c r="G81" s="29" t="s">
        <v>16</v>
      </c>
      <c r="H81" s="25" t="str">
        <f t="shared" si="22"/>
        <v>A77</v>
      </c>
      <c r="I81" s="21"/>
      <c r="J81" s="25" t="str">
        <f t="shared" si="21"/>
        <v>1.0.0.0</v>
      </c>
      <c r="K81" s="21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25">
        <f t="shared" si="13"/>
        <v>81</v>
      </c>
      <c r="B82" s="25" t="str">
        <f t="shared" si="14"/>
        <v>A81</v>
      </c>
      <c r="C82" s="19" t="s">
        <v>409</v>
      </c>
      <c r="D82" s="19" t="s">
        <v>410</v>
      </c>
      <c r="E82" s="25" t="s">
        <v>21</v>
      </c>
      <c r="F82" s="25" t="s">
        <v>208</v>
      </c>
      <c r="G82" s="29" t="s">
        <v>16</v>
      </c>
      <c r="H82" s="25" t="str">
        <f t="shared" si="22"/>
        <v>A77</v>
      </c>
      <c r="I82" s="21"/>
      <c r="J82" s="25" t="str">
        <f t="shared" si="21"/>
        <v>1.0.0.0</v>
      </c>
      <c r="K82" s="21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25">
        <f t="shared" si="13"/>
        <v>82</v>
      </c>
      <c r="B83" s="25" t="str">
        <f t="shared" si="14"/>
        <v>A82</v>
      </c>
      <c r="C83" s="19" t="s">
        <v>413</v>
      </c>
      <c r="D83" s="19" t="s">
        <v>414</v>
      </c>
      <c r="E83" s="25" t="s">
        <v>21</v>
      </c>
      <c r="F83" s="25" t="s">
        <v>415</v>
      </c>
      <c r="G83" s="29" t="s">
        <v>16</v>
      </c>
      <c r="H83" s="25" t="str">
        <f t="shared" si="22"/>
        <v>A77</v>
      </c>
      <c r="I83" s="21"/>
      <c r="J83" s="25" t="str">
        <f t="shared" si="21"/>
        <v>1.0.0.0</v>
      </c>
      <c r="K83" s="21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25">
        <f t="shared" si="13"/>
        <v>83</v>
      </c>
      <c r="B84" s="25" t="str">
        <f t="shared" si="14"/>
        <v>A83</v>
      </c>
      <c r="C84" s="19" t="s">
        <v>419</v>
      </c>
      <c r="D84" s="19" t="s">
        <v>420</v>
      </c>
      <c r="E84" s="25" t="s">
        <v>21</v>
      </c>
      <c r="F84" s="25" t="s">
        <v>39</v>
      </c>
      <c r="G84" s="29" t="s">
        <v>16</v>
      </c>
      <c r="H84" s="25" t="str">
        <f t="shared" si="22"/>
        <v>A77</v>
      </c>
      <c r="I84" s="21"/>
      <c r="J84" s="25" t="str">
        <f t="shared" si="21"/>
        <v>1.0.0.0</v>
      </c>
      <c r="K84" s="21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25">
        <f t="shared" si="13"/>
        <v>84</v>
      </c>
      <c r="B85" s="25" t="str">
        <f t="shared" si="14"/>
        <v>A84</v>
      </c>
      <c r="C85" s="19" t="s">
        <v>423</v>
      </c>
      <c r="D85" s="19" t="s">
        <v>194</v>
      </c>
      <c r="E85" s="25" t="s">
        <v>21</v>
      </c>
      <c r="F85" s="25" t="s">
        <v>99</v>
      </c>
      <c r="G85" s="29" t="s">
        <v>16</v>
      </c>
      <c r="H85" s="25" t="str">
        <f t="shared" si="22"/>
        <v>A77</v>
      </c>
      <c r="I85" s="21"/>
      <c r="J85" s="25" t="str">
        <f t="shared" si="21"/>
        <v>1.0.0.0</v>
      </c>
      <c r="K85" s="21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25">
        <f t="shared" si="13"/>
        <v>85</v>
      </c>
      <c r="B86" s="25" t="str">
        <f t="shared" si="14"/>
        <v>A85</v>
      </c>
      <c r="C86" s="19" t="s">
        <v>427</v>
      </c>
      <c r="D86" s="19" t="s">
        <v>429</v>
      </c>
      <c r="E86" s="25" t="s">
        <v>21</v>
      </c>
      <c r="F86" s="25" t="s">
        <v>39</v>
      </c>
      <c r="G86" s="29" t="s">
        <v>16</v>
      </c>
      <c r="H86" s="25" t="str">
        <f t="shared" si="22"/>
        <v>A77</v>
      </c>
      <c r="I86" s="21"/>
      <c r="J86" s="25" t="str">
        <f t="shared" si="21"/>
        <v>1.0.0.0</v>
      </c>
      <c r="K86" s="21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25">
        <f t="shared" si="13"/>
        <v>86</v>
      </c>
      <c r="B87" s="25" t="str">
        <f t="shared" si="14"/>
        <v>A86</v>
      </c>
      <c r="C87" s="19" t="s">
        <v>430</v>
      </c>
      <c r="D87" s="19" t="s">
        <v>431</v>
      </c>
      <c r="E87" s="25" t="s">
        <v>21</v>
      </c>
      <c r="F87" s="25" t="s">
        <v>433</v>
      </c>
      <c r="G87" s="29" t="s">
        <v>16</v>
      </c>
      <c r="H87" s="25" t="str">
        <f t="shared" si="22"/>
        <v>A77</v>
      </c>
      <c r="I87" s="21"/>
      <c r="J87" s="25" t="str">
        <f t="shared" si="21"/>
        <v>1.0.0.0</v>
      </c>
      <c r="K87" s="21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25">
        <f t="shared" si="13"/>
        <v>87</v>
      </c>
      <c r="B88" s="25" t="str">
        <f t="shared" si="14"/>
        <v>A87</v>
      </c>
      <c r="C88" s="19" t="s">
        <v>436</v>
      </c>
      <c r="D88" s="19" t="s">
        <v>437</v>
      </c>
      <c r="E88" s="25" t="s">
        <v>21</v>
      </c>
      <c r="F88" s="25" t="s">
        <v>39</v>
      </c>
      <c r="G88" s="29" t="s">
        <v>49</v>
      </c>
      <c r="H88" s="25" t="str">
        <f t="shared" si="22"/>
        <v>A77</v>
      </c>
      <c r="I88" s="21"/>
      <c r="J88" s="25" t="s">
        <v>60</v>
      </c>
      <c r="K88" s="21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>
        <f t="shared" si="13"/>
        <v>88</v>
      </c>
      <c r="B89" s="9" t="str">
        <f t="shared" si="14"/>
        <v>A88</v>
      </c>
      <c r="C89" s="17" t="s">
        <v>441</v>
      </c>
      <c r="D89" s="17"/>
      <c r="E89" s="9" t="s">
        <v>13</v>
      </c>
      <c r="F89" s="9" t="s">
        <v>15</v>
      </c>
      <c r="G89" s="9" t="s">
        <v>49</v>
      </c>
      <c r="H89" s="9" t="str">
        <f>$B$2</f>
        <v>A01</v>
      </c>
      <c r="I89" s="21"/>
      <c r="J89" s="9" t="str">
        <f t="shared" ref="J89:J99" si="23">$J$2</f>
        <v>1.0.0.0</v>
      </c>
      <c r="K89" s="60" t="s">
        <v>444</v>
      </c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9">
        <f t="shared" si="13"/>
        <v>89</v>
      </c>
      <c r="B90" s="9" t="str">
        <f t="shared" si="14"/>
        <v>A89</v>
      </c>
      <c r="C90" s="17" t="s">
        <v>447</v>
      </c>
      <c r="D90" s="68"/>
      <c r="E90" s="9" t="s">
        <v>13</v>
      </c>
      <c r="F90" s="9" t="s">
        <v>15</v>
      </c>
      <c r="G90" s="9" t="s">
        <v>450</v>
      </c>
      <c r="H90" s="9" t="str">
        <f>$B$89</f>
        <v>A88</v>
      </c>
      <c r="I90" s="17" t="s">
        <v>219</v>
      </c>
      <c r="J90" s="9" t="str">
        <f t="shared" si="23"/>
        <v>1.0.0.0</v>
      </c>
      <c r="K90" s="17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>
      <c r="A91" s="25">
        <f t="shared" si="13"/>
        <v>90</v>
      </c>
      <c r="B91" s="25" t="str">
        <f t="shared" si="14"/>
        <v>A90</v>
      </c>
      <c r="C91" s="19" t="s">
        <v>395</v>
      </c>
      <c r="D91" s="19" t="s">
        <v>396</v>
      </c>
      <c r="E91" s="25" t="s">
        <v>21</v>
      </c>
      <c r="F91" s="25" t="s">
        <v>208</v>
      </c>
      <c r="G91" s="29" t="s">
        <v>16</v>
      </c>
      <c r="H91" s="25" t="str">
        <f t="shared" ref="H91:H100" si="24">$B$90</f>
        <v>A89</v>
      </c>
      <c r="I91" s="21"/>
      <c r="J91" s="25" t="str">
        <f t="shared" si="23"/>
        <v>1.0.0.0</v>
      </c>
      <c r="K91" s="21" t="s">
        <v>399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25">
        <f t="shared" si="13"/>
        <v>91</v>
      </c>
      <c r="B92" s="25" t="str">
        <f t="shared" si="14"/>
        <v>A91</v>
      </c>
      <c r="C92" s="19" t="s">
        <v>401</v>
      </c>
      <c r="D92" s="19" t="s">
        <v>403</v>
      </c>
      <c r="E92" s="25" t="s">
        <v>21</v>
      </c>
      <c r="F92" s="25" t="s">
        <v>404</v>
      </c>
      <c r="G92" s="29" t="s">
        <v>16</v>
      </c>
      <c r="H92" s="25" t="str">
        <f t="shared" si="24"/>
        <v>A89</v>
      </c>
      <c r="I92" s="21"/>
      <c r="J92" s="25" t="str">
        <f t="shared" si="23"/>
        <v>1.0.0.0</v>
      </c>
      <c r="K92" s="21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25">
        <f t="shared" si="13"/>
        <v>92</v>
      </c>
      <c r="B93" s="25" t="str">
        <f t="shared" si="14"/>
        <v>A92</v>
      </c>
      <c r="C93" s="19" t="s">
        <v>405</v>
      </c>
      <c r="D93" s="19" t="s">
        <v>406</v>
      </c>
      <c r="E93" s="25" t="s">
        <v>21</v>
      </c>
      <c r="F93" s="25" t="s">
        <v>208</v>
      </c>
      <c r="G93" s="29" t="s">
        <v>16</v>
      </c>
      <c r="H93" s="25" t="str">
        <f t="shared" si="24"/>
        <v>A89</v>
      </c>
      <c r="I93" s="21"/>
      <c r="J93" s="25" t="str">
        <f t="shared" si="23"/>
        <v>1.0.0.0</v>
      </c>
      <c r="K93" s="21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25">
        <f t="shared" si="13"/>
        <v>93</v>
      </c>
      <c r="B94" s="25" t="str">
        <f t="shared" si="14"/>
        <v>A93</v>
      </c>
      <c r="C94" s="19" t="s">
        <v>409</v>
      </c>
      <c r="D94" s="19" t="s">
        <v>410</v>
      </c>
      <c r="E94" s="25" t="s">
        <v>21</v>
      </c>
      <c r="F94" s="25" t="s">
        <v>208</v>
      </c>
      <c r="G94" s="29" t="s">
        <v>16</v>
      </c>
      <c r="H94" s="25" t="str">
        <f t="shared" si="24"/>
        <v>A89</v>
      </c>
      <c r="I94" s="21"/>
      <c r="J94" s="25" t="str">
        <f t="shared" si="23"/>
        <v>1.0.0.0</v>
      </c>
      <c r="K94" s="21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25">
        <f t="shared" si="13"/>
        <v>94</v>
      </c>
      <c r="B95" s="25" t="str">
        <f t="shared" si="14"/>
        <v>A94</v>
      </c>
      <c r="C95" s="19" t="s">
        <v>413</v>
      </c>
      <c r="D95" s="19" t="s">
        <v>414</v>
      </c>
      <c r="E95" s="25" t="s">
        <v>21</v>
      </c>
      <c r="F95" s="25" t="s">
        <v>415</v>
      </c>
      <c r="G95" s="29" t="s">
        <v>16</v>
      </c>
      <c r="H95" s="25" t="str">
        <f t="shared" si="24"/>
        <v>A89</v>
      </c>
      <c r="I95" s="21"/>
      <c r="J95" s="25" t="str">
        <f t="shared" si="23"/>
        <v>1.0.0.0</v>
      </c>
      <c r="K95" s="21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25">
        <f t="shared" si="13"/>
        <v>95</v>
      </c>
      <c r="B96" s="25" t="str">
        <f t="shared" si="14"/>
        <v>A95</v>
      </c>
      <c r="C96" s="19" t="s">
        <v>419</v>
      </c>
      <c r="D96" s="19" t="s">
        <v>420</v>
      </c>
      <c r="E96" s="25" t="s">
        <v>21</v>
      </c>
      <c r="F96" s="25" t="s">
        <v>39</v>
      </c>
      <c r="G96" s="29" t="s">
        <v>16</v>
      </c>
      <c r="H96" s="25" t="str">
        <f t="shared" si="24"/>
        <v>A89</v>
      </c>
      <c r="I96" s="21"/>
      <c r="J96" s="25" t="str">
        <f t="shared" si="23"/>
        <v>1.0.0.0</v>
      </c>
      <c r="K96" s="21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25">
        <f t="shared" si="13"/>
        <v>96</v>
      </c>
      <c r="B97" s="25" t="str">
        <f t="shared" si="14"/>
        <v>A96</v>
      </c>
      <c r="C97" s="19" t="s">
        <v>423</v>
      </c>
      <c r="D97" s="19" t="s">
        <v>194</v>
      </c>
      <c r="E97" s="25" t="s">
        <v>21</v>
      </c>
      <c r="F97" s="25" t="s">
        <v>99</v>
      </c>
      <c r="G97" s="29" t="s">
        <v>16</v>
      </c>
      <c r="H97" s="25" t="str">
        <f t="shared" si="24"/>
        <v>A89</v>
      </c>
      <c r="I97" s="21"/>
      <c r="J97" s="25" t="str">
        <f t="shared" si="23"/>
        <v>1.0.0.0</v>
      </c>
      <c r="K97" s="21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25">
        <f t="shared" si="13"/>
        <v>97</v>
      </c>
      <c r="B98" s="25" t="str">
        <f t="shared" si="14"/>
        <v>A97</v>
      </c>
      <c r="C98" s="19" t="s">
        <v>427</v>
      </c>
      <c r="D98" s="19" t="s">
        <v>429</v>
      </c>
      <c r="E98" s="25" t="s">
        <v>21</v>
      </c>
      <c r="F98" s="25" t="s">
        <v>39</v>
      </c>
      <c r="G98" s="29" t="s">
        <v>16</v>
      </c>
      <c r="H98" s="25" t="str">
        <f t="shared" si="24"/>
        <v>A89</v>
      </c>
      <c r="I98" s="21"/>
      <c r="J98" s="25" t="str">
        <f t="shared" si="23"/>
        <v>1.0.0.0</v>
      </c>
      <c r="K98" s="21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25">
        <f t="shared" si="13"/>
        <v>98</v>
      </c>
      <c r="B99" s="25" t="str">
        <f t="shared" si="14"/>
        <v>A98</v>
      </c>
      <c r="C99" s="19" t="s">
        <v>430</v>
      </c>
      <c r="D99" s="19" t="s">
        <v>431</v>
      </c>
      <c r="E99" s="25" t="s">
        <v>21</v>
      </c>
      <c r="F99" s="25" t="s">
        <v>433</v>
      </c>
      <c r="G99" s="29" t="s">
        <v>16</v>
      </c>
      <c r="H99" s="25" t="str">
        <f t="shared" si="24"/>
        <v>A89</v>
      </c>
      <c r="I99" s="21"/>
      <c r="J99" s="25" t="str">
        <f t="shared" si="23"/>
        <v>1.0.0.0</v>
      </c>
      <c r="K99" s="21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25">
        <f t="shared" si="13"/>
        <v>99</v>
      </c>
      <c r="B100" s="25" t="str">
        <f t="shared" si="14"/>
        <v>A99</v>
      </c>
      <c r="C100" s="19" t="s">
        <v>436</v>
      </c>
      <c r="D100" s="27" t="s">
        <v>437</v>
      </c>
      <c r="E100" s="25" t="s">
        <v>21</v>
      </c>
      <c r="F100" s="25" t="s">
        <v>39</v>
      </c>
      <c r="G100" s="29" t="s">
        <v>49</v>
      </c>
      <c r="H100" s="25" t="str">
        <f t="shared" si="24"/>
        <v>A89</v>
      </c>
      <c r="I100" s="21"/>
      <c r="J100" s="25" t="s">
        <v>60</v>
      </c>
      <c r="K100" s="21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>
        <f t="shared" si="13"/>
        <v>100</v>
      </c>
      <c r="B101" s="9" t="str">
        <f t="shared" si="14"/>
        <v>A100</v>
      </c>
      <c r="C101" s="17" t="s">
        <v>115</v>
      </c>
      <c r="D101" s="21"/>
      <c r="E101" s="9" t="s">
        <v>13</v>
      </c>
      <c r="F101" s="9" t="s">
        <v>15</v>
      </c>
      <c r="G101" s="9" t="s">
        <v>49</v>
      </c>
      <c r="H101" s="9" t="str">
        <f>$B$2</f>
        <v>A01</v>
      </c>
      <c r="I101" s="21"/>
      <c r="J101" s="9" t="str">
        <f>$J$2</f>
        <v>1.0.0.0</v>
      </c>
      <c r="K101" s="21" t="s">
        <v>459</v>
      </c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>
      <c r="A102" s="9">
        <f t="shared" si="13"/>
        <v>101</v>
      </c>
      <c r="B102" s="9" t="str">
        <f t="shared" si="14"/>
        <v>A101</v>
      </c>
      <c r="C102" s="17" t="s">
        <v>198</v>
      </c>
      <c r="D102" s="17" t="s">
        <v>199</v>
      </c>
      <c r="E102" s="9" t="s">
        <v>13</v>
      </c>
      <c r="F102" s="9" t="s">
        <v>15</v>
      </c>
      <c r="G102" s="69" t="s">
        <v>49</v>
      </c>
      <c r="H102" s="9" t="str">
        <f>$B$101</f>
        <v>A100</v>
      </c>
      <c r="I102" s="54"/>
      <c r="J102" s="9" t="s">
        <v>245</v>
      </c>
      <c r="K102" s="54" t="s">
        <v>460</v>
      </c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ht="15.75" customHeight="1">
      <c r="A103" s="25">
        <f t="shared" si="13"/>
        <v>102</v>
      </c>
      <c r="B103" s="25" t="str">
        <f t="shared" si="14"/>
        <v>A102</v>
      </c>
      <c r="C103" s="19" t="s">
        <v>216</v>
      </c>
      <c r="D103" s="19" t="s">
        <v>217</v>
      </c>
      <c r="E103" s="25" t="s">
        <v>21</v>
      </c>
      <c r="F103" s="25" t="s">
        <v>131</v>
      </c>
      <c r="G103" s="70" t="s">
        <v>49</v>
      </c>
      <c r="H103" s="25" t="str">
        <f t="shared" ref="H103:H115" si="25">$B$102</f>
        <v>A101</v>
      </c>
      <c r="I103" s="21" t="s">
        <v>218</v>
      </c>
      <c r="J103" s="25" t="s">
        <v>245</v>
      </c>
      <c r="K103" s="21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25">
        <f t="shared" si="13"/>
        <v>103</v>
      </c>
      <c r="B104" s="25" t="str">
        <f t="shared" si="14"/>
        <v>A103</v>
      </c>
      <c r="C104" s="19" t="s">
        <v>220</v>
      </c>
      <c r="D104" s="19" t="s">
        <v>221</v>
      </c>
      <c r="E104" s="25" t="s">
        <v>21</v>
      </c>
      <c r="F104" s="25" t="s">
        <v>131</v>
      </c>
      <c r="G104" s="70" t="s">
        <v>49</v>
      </c>
      <c r="H104" s="25" t="str">
        <f t="shared" si="25"/>
        <v>A101</v>
      </c>
      <c r="I104" s="21" t="s">
        <v>218</v>
      </c>
      <c r="J104" s="25" t="s">
        <v>245</v>
      </c>
      <c r="K104" s="21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25">
        <f t="shared" si="13"/>
        <v>104</v>
      </c>
      <c r="B105" s="25" t="str">
        <f t="shared" si="14"/>
        <v>A104</v>
      </c>
      <c r="C105" s="19" t="s">
        <v>224</v>
      </c>
      <c r="D105" s="19" t="s">
        <v>225</v>
      </c>
      <c r="E105" s="25" t="s">
        <v>21</v>
      </c>
      <c r="F105" s="25" t="s">
        <v>464</v>
      </c>
      <c r="G105" s="70" t="s">
        <v>49</v>
      </c>
      <c r="H105" s="25" t="str">
        <f t="shared" si="25"/>
        <v>A101</v>
      </c>
      <c r="I105" s="21"/>
      <c r="J105" s="25" t="s">
        <v>245</v>
      </c>
      <c r="K105" s="60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71">
        <f t="shared" si="13"/>
        <v>105</v>
      </c>
      <c r="B106" s="71" t="str">
        <f t="shared" si="14"/>
        <v>A105</v>
      </c>
      <c r="C106" s="42" t="s">
        <v>117</v>
      </c>
      <c r="D106" s="42" t="s">
        <v>229</v>
      </c>
      <c r="E106" s="71" t="s">
        <v>21</v>
      </c>
      <c r="F106" s="71" t="s">
        <v>433</v>
      </c>
      <c r="G106" s="72" t="s">
        <v>49</v>
      </c>
      <c r="H106" s="25" t="str">
        <f t="shared" si="25"/>
        <v>A101</v>
      </c>
      <c r="I106" s="21"/>
      <c r="J106" s="71" t="s">
        <v>471</v>
      </c>
      <c r="K106" s="21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25">
        <f t="shared" si="13"/>
        <v>106</v>
      </c>
      <c r="B107" s="25" t="str">
        <f t="shared" si="14"/>
        <v>A106</v>
      </c>
      <c r="C107" s="19" t="s">
        <v>120</v>
      </c>
      <c r="D107" s="19" t="s">
        <v>233</v>
      </c>
      <c r="E107" s="25" t="s">
        <v>21</v>
      </c>
      <c r="F107" s="25" t="s">
        <v>433</v>
      </c>
      <c r="G107" s="70" t="s">
        <v>49</v>
      </c>
      <c r="H107" s="25" t="str">
        <f t="shared" si="25"/>
        <v>A101</v>
      </c>
      <c r="I107" s="74"/>
      <c r="J107" s="25" t="s">
        <v>471</v>
      </c>
      <c r="K107" s="74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75">
        <f t="shared" si="13"/>
        <v>107</v>
      </c>
      <c r="B108" s="75" t="str">
        <f t="shared" si="14"/>
        <v>A107</v>
      </c>
      <c r="C108" s="34" t="s">
        <v>474</v>
      </c>
      <c r="D108" s="21" t="s">
        <v>243</v>
      </c>
      <c r="E108" s="75" t="s">
        <v>21</v>
      </c>
      <c r="F108" s="75" t="s">
        <v>476</v>
      </c>
      <c r="G108" s="76" t="s">
        <v>49</v>
      </c>
      <c r="H108" s="25" t="str">
        <f t="shared" si="25"/>
        <v>A101</v>
      </c>
      <c r="I108" s="21"/>
      <c r="J108" s="75" t="s">
        <v>471</v>
      </c>
      <c r="K108" s="42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25">
        <f t="shared" si="13"/>
        <v>108</v>
      </c>
      <c r="B109" s="25" t="str">
        <f t="shared" si="14"/>
        <v>A108</v>
      </c>
      <c r="C109" s="19" t="s">
        <v>478</v>
      </c>
      <c r="D109" s="19" t="s">
        <v>248</v>
      </c>
      <c r="E109" s="25" t="s">
        <v>21</v>
      </c>
      <c r="F109" s="25" t="s">
        <v>476</v>
      </c>
      <c r="G109" s="70" t="s">
        <v>49</v>
      </c>
      <c r="H109" s="25" t="str">
        <f t="shared" si="25"/>
        <v>A101</v>
      </c>
      <c r="I109" s="19"/>
      <c r="J109" s="25" t="s">
        <v>471</v>
      </c>
      <c r="K109" s="19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25">
        <f t="shared" si="13"/>
        <v>109</v>
      </c>
      <c r="B110" s="25" t="str">
        <f t="shared" si="14"/>
        <v>A109</v>
      </c>
      <c r="C110" s="19" t="s">
        <v>480</v>
      </c>
      <c r="D110" s="19" t="s">
        <v>255</v>
      </c>
      <c r="E110" s="25" t="s">
        <v>21</v>
      </c>
      <c r="F110" s="25" t="s">
        <v>476</v>
      </c>
      <c r="G110" s="70" t="s">
        <v>49</v>
      </c>
      <c r="H110" s="25" t="str">
        <f t="shared" si="25"/>
        <v>A101</v>
      </c>
      <c r="I110" s="21"/>
      <c r="J110" s="25" t="s">
        <v>471</v>
      </c>
      <c r="K110" s="21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25">
        <f t="shared" si="13"/>
        <v>110</v>
      </c>
      <c r="B111" s="25" t="str">
        <f t="shared" si="14"/>
        <v>A110</v>
      </c>
      <c r="C111" s="19" t="s">
        <v>140</v>
      </c>
      <c r="D111" s="19" t="s">
        <v>260</v>
      </c>
      <c r="E111" s="25" t="s">
        <v>21</v>
      </c>
      <c r="F111" s="25" t="s">
        <v>482</v>
      </c>
      <c r="G111" s="70" t="s">
        <v>49</v>
      </c>
      <c r="H111" s="25" t="str">
        <f t="shared" si="25"/>
        <v>A101</v>
      </c>
      <c r="I111" s="19"/>
      <c r="J111" s="25" t="s">
        <v>471</v>
      </c>
      <c r="K111" s="19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25">
        <f t="shared" si="13"/>
        <v>111</v>
      </c>
      <c r="B112" s="25" t="str">
        <f t="shared" si="14"/>
        <v>A111</v>
      </c>
      <c r="C112" s="19" t="s">
        <v>163</v>
      </c>
      <c r="D112" s="19" t="s">
        <v>264</v>
      </c>
      <c r="E112" s="25" t="s">
        <v>21</v>
      </c>
      <c r="F112" s="25" t="s">
        <v>208</v>
      </c>
      <c r="G112" s="70" t="s">
        <v>49</v>
      </c>
      <c r="H112" s="25" t="str">
        <f t="shared" si="25"/>
        <v>A101</v>
      </c>
      <c r="I112" s="19" t="s">
        <v>266</v>
      </c>
      <c r="J112" s="25" t="s">
        <v>471</v>
      </c>
      <c r="K112" s="19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25">
        <f t="shared" si="13"/>
        <v>112</v>
      </c>
      <c r="B113" s="25" t="str">
        <f t="shared" si="14"/>
        <v>A112</v>
      </c>
      <c r="C113" s="19" t="s">
        <v>167</v>
      </c>
      <c r="D113" s="19" t="s">
        <v>270</v>
      </c>
      <c r="E113" s="25" t="s">
        <v>21</v>
      </c>
      <c r="F113" s="25" t="s">
        <v>208</v>
      </c>
      <c r="G113" s="70" t="s">
        <v>49</v>
      </c>
      <c r="H113" s="25" t="str">
        <f t="shared" si="25"/>
        <v>A101</v>
      </c>
      <c r="I113" s="19" t="s">
        <v>266</v>
      </c>
      <c r="J113" s="25" t="s">
        <v>471</v>
      </c>
      <c r="K113" s="19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25">
        <f t="shared" si="13"/>
        <v>113</v>
      </c>
      <c r="B114" s="25" t="str">
        <f t="shared" si="14"/>
        <v>A113</v>
      </c>
      <c r="C114" s="19" t="s">
        <v>124</v>
      </c>
      <c r="D114" s="19" t="s">
        <v>239</v>
      </c>
      <c r="E114" s="25" t="s">
        <v>21</v>
      </c>
      <c r="F114" s="25" t="s">
        <v>433</v>
      </c>
      <c r="G114" s="70" t="s">
        <v>49</v>
      </c>
      <c r="H114" s="25" t="str">
        <f t="shared" si="25"/>
        <v>A101</v>
      </c>
      <c r="I114" s="21"/>
      <c r="J114" s="25" t="s">
        <v>471</v>
      </c>
      <c r="K114" s="21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>
        <f t="shared" si="13"/>
        <v>114</v>
      </c>
      <c r="B115" s="9" t="str">
        <f t="shared" si="14"/>
        <v>A114</v>
      </c>
      <c r="C115" s="17" t="s">
        <v>280</v>
      </c>
      <c r="D115" s="17"/>
      <c r="E115" s="9" t="s">
        <v>13</v>
      </c>
      <c r="F115" s="9" t="s">
        <v>15</v>
      </c>
      <c r="G115" s="69" t="s">
        <v>49</v>
      </c>
      <c r="H115" s="9" t="str">
        <f t="shared" si="25"/>
        <v>A101</v>
      </c>
      <c r="I115" s="54"/>
      <c r="J115" s="9" t="s">
        <v>245</v>
      </c>
      <c r="K115" s="54" t="s">
        <v>487</v>
      </c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ht="12.0" customHeight="1">
      <c r="A116" s="9">
        <f t="shared" si="13"/>
        <v>115</v>
      </c>
      <c r="B116" s="9" t="str">
        <f t="shared" si="14"/>
        <v>A115</v>
      </c>
      <c r="C116" s="17" t="s">
        <v>283</v>
      </c>
      <c r="D116" s="17"/>
      <c r="E116" s="9" t="s">
        <v>13</v>
      </c>
      <c r="F116" s="9" t="s">
        <v>15</v>
      </c>
      <c r="G116" s="69" t="s">
        <v>27</v>
      </c>
      <c r="H116" s="9" t="str">
        <f>$B$115</f>
        <v>A114</v>
      </c>
      <c r="I116" s="54" t="s">
        <v>219</v>
      </c>
      <c r="J116" s="9" t="s">
        <v>245</v>
      </c>
      <c r="K116" s="54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ht="12.75" customHeight="1">
      <c r="A117" s="25">
        <f t="shared" si="13"/>
        <v>116</v>
      </c>
      <c r="B117" s="25" t="str">
        <f t="shared" si="14"/>
        <v>A116</v>
      </c>
      <c r="C117" s="19" t="s">
        <v>287</v>
      </c>
      <c r="D117" s="19" t="s">
        <v>288</v>
      </c>
      <c r="E117" s="25" t="s">
        <v>21</v>
      </c>
      <c r="F117" s="25" t="s">
        <v>404</v>
      </c>
      <c r="G117" s="70" t="s">
        <v>16</v>
      </c>
      <c r="H117" s="25" t="str">
        <f>$B$116</f>
        <v>A115</v>
      </c>
      <c r="I117" s="21" t="s">
        <v>290</v>
      </c>
      <c r="J117" s="25" t="s">
        <v>245</v>
      </c>
      <c r="K117" s="21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>
        <f t="shared" si="13"/>
        <v>117</v>
      </c>
      <c r="B118" s="9" t="str">
        <f t="shared" si="14"/>
        <v>A117</v>
      </c>
      <c r="C118" s="17" t="s">
        <v>490</v>
      </c>
      <c r="D118" s="17" t="s">
        <v>491</v>
      </c>
      <c r="E118" s="9" t="s">
        <v>13</v>
      </c>
      <c r="F118" s="9" t="s">
        <v>15</v>
      </c>
      <c r="G118" s="69" t="s">
        <v>49</v>
      </c>
      <c r="H118" s="9" t="str">
        <f>$B$101</f>
        <v>A100</v>
      </c>
      <c r="I118" s="54"/>
      <c r="J118" s="9" t="s">
        <v>245</v>
      </c>
      <c r="K118" s="54" t="s">
        <v>493</v>
      </c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ht="15.75" customHeight="1">
      <c r="A119" s="25">
        <f t="shared" si="13"/>
        <v>118</v>
      </c>
      <c r="B119" s="25" t="str">
        <f t="shared" si="14"/>
        <v>A118</v>
      </c>
      <c r="C119" s="19" t="s">
        <v>216</v>
      </c>
      <c r="D119" s="19" t="s">
        <v>217</v>
      </c>
      <c r="E119" s="25" t="s">
        <v>21</v>
      </c>
      <c r="F119" s="25" t="s">
        <v>131</v>
      </c>
      <c r="G119" s="70" t="s">
        <v>49</v>
      </c>
      <c r="H119" s="25" t="str">
        <f t="shared" ref="H119:H131" si="26">$B$118</f>
        <v>A117</v>
      </c>
      <c r="I119" s="21" t="s">
        <v>218</v>
      </c>
      <c r="J119" s="25" t="s">
        <v>245</v>
      </c>
      <c r="K119" s="21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25">
        <f t="shared" si="13"/>
        <v>119</v>
      </c>
      <c r="B120" s="25" t="str">
        <f t="shared" si="14"/>
        <v>A119</v>
      </c>
      <c r="C120" s="19" t="s">
        <v>220</v>
      </c>
      <c r="D120" s="19" t="s">
        <v>221</v>
      </c>
      <c r="E120" s="25" t="s">
        <v>21</v>
      </c>
      <c r="F120" s="25" t="s">
        <v>131</v>
      </c>
      <c r="G120" s="70" t="s">
        <v>49</v>
      </c>
      <c r="H120" s="25" t="str">
        <f t="shared" si="26"/>
        <v>A117</v>
      </c>
      <c r="I120" s="21" t="s">
        <v>218</v>
      </c>
      <c r="J120" s="25" t="s">
        <v>245</v>
      </c>
      <c r="K120" s="21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25">
        <f t="shared" si="13"/>
        <v>120</v>
      </c>
      <c r="B121" s="25" t="str">
        <f t="shared" si="14"/>
        <v>A120</v>
      </c>
      <c r="C121" s="19" t="s">
        <v>224</v>
      </c>
      <c r="D121" s="19" t="s">
        <v>225</v>
      </c>
      <c r="E121" s="25" t="s">
        <v>21</v>
      </c>
      <c r="F121" s="25" t="s">
        <v>464</v>
      </c>
      <c r="G121" s="70" t="s">
        <v>49</v>
      </c>
      <c r="H121" s="25" t="str">
        <f t="shared" si="26"/>
        <v>A117</v>
      </c>
      <c r="I121" s="21"/>
      <c r="J121" s="25" t="s">
        <v>245</v>
      </c>
      <c r="K121" s="21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71">
        <f t="shared" si="13"/>
        <v>121</v>
      </c>
      <c r="B122" s="71" t="str">
        <f t="shared" si="14"/>
        <v>A121</v>
      </c>
      <c r="C122" s="42" t="s">
        <v>117</v>
      </c>
      <c r="D122" s="42" t="s">
        <v>494</v>
      </c>
      <c r="E122" s="71" t="s">
        <v>21</v>
      </c>
      <c r="F122" s="71" t="s">
        <v>433</v>
      </c>
      <c r="G122" s="72" t="s">
        <v>49</v>
      </c>
      <c r="H122" s="25" t="str">
        <f t="shared" si="26"/>
        <v>A117</v>
      </c>
      <c r="I122" s="54"/>
      <c r="J122" s="71" t="s">
        <v>471</v>
      </c>
      <c r="K122" s="54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25">
        <f t="shared" si="13"/>
        <v>122</v>
      </c>
      <c r="B123" s="25" t="str">
        <f t="shared" si="14"/>
        <v>A122</v>
      </c>
      <c r="C123" s="19" t="s">
        <v>120</v>
      </c>
      <c r="D123" s="19" t="s">
        <v>495</v>
      </c>
      <c r="E123" s="25" t="s">
        <v>21</v>
      </c>
      <c r="F123" s="25" t="s">
        <v>433</v>
      </c>
      <c r="G123" s="70" t="s">
        <v>49</v>
      </c>
      <c r="H123" s="25" t="str">
        <f t="shared" si="26"/>
        <v>A117</v>
      </c>
      <c r="I123" s="74"/>
      <c r="J123" s="25" t="s">
        <v>471</v>
      </c>
      <c r="K123" s="74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75">
        <f t="shared" si="13"/>
        <v>123</v>
      </c>
      <c r="B124" s="75" t="str">
        <f t="shared" si="14"/>
        <v>A123</v>
      </c>
      <c r="C124" s="34" t="s">
        <v>474</v>
      </c>
      <c r="D124" s="21" t="s">
        <v>496</v>
      </c>
      <c r="E124" s="75" t="s">
        <v>21</v>
      </c>
      <c r="F124" s="75" t="s">
        <v>476</v>
      </c>
      <c r="G124" s="76" t="s">
        <v>49</v>
      </c>
      <c r="H124" s="25" t="str">
        <f t="shared" si="26"/>
        <v>A117</v>
      </c>
      <c r="I124" s="21"/>
      <c r="J124" s="75" t="s">
        <v>471</v>
      </c>
      <c r="K124" s="54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25">
        <f t="shared" si="13"/>
        <v>124</v>
      </c>
      <c r="B125" s="25" t="str">
        <f t="shared" si="14"/>
        <v>A124</v>
      </c>
      <c r="C125" s="19" t="s">
        <v>478</v>
      </c>
      <c r="D125" s="19" t="s">
        <v>497</v>
      </c>
      <c r="E125" s="25" t="s">
        <v>21</v>
      </c>
      <c r="F125" s="25" t="s">
        <v>476</v>
      </c>
      <c r="G125" s="70" t="s">
        <v>49</v>
      </c>
      <c r="H125" s="25" t="str">
        <f t="shared" si="26"/>
        <v>A117</v>
      </c>
      <c r="I125" s="19"/>
      <c r="J125" s="25" t="s">
        <v>471</v>
      </c>
      <c r="K125" s="19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25">
        <f t="shared" si="13"/>
        <v>125</v>
      </c>
      <c r="B126" s="25" t="str">
        <f t="shared" si="14"/>
        <v>A125</v>
      </c>
      <c r="C126" s="19" t="s">
        <v>480</v>
      </c>
      <c r="D126" s="19" t="s">
        <v>499</v>
      </c>
      <c r="E126" s="25" t="s">
        <v>21</v>
      </c>
      <c r="F126" s="25" t="s">
        <v>476</v>
      </c>
      <c r="G126" s="70" t="s">
        <v>49</v>
      </c>
      <c r="H126" s="25" t="str">
        <f t="shared" si="26"/>
        <v>A117</v>
      </c>
      <c r="I126" s="21"/>
      <c r="J126" s="25" t="s">
        <v>471</v>
      </c>
      <c r="K126" s="21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25">
        <f t="shared" si="13"/>
        <v>126</v>
      </c>
      <c r="B127" s="25" t="str">
        <f t="shared" si="14"/>
        <v>A126</v>
      </c>
      <c r="C127" s="19" t="s">
        <v>140</v>
      </c>
      <c r="D127" s="19" t="s">
        <v>500</v>
      </c>
      <c r="E127" s="25" t="s">
        <v>21</v>
      </c>
      <c r="F127" s="25" t="s">
        <v>482</v>
      </c>
      <c r="G127" s="70" t="s">
        <v>49</v>
      </c>
      <c r="H127" s="25" t="str">
        <f t="shared" si="26"/>
        <v>A117</v>
      </c>
      <c r="I127" s="19"/>
      <c r="J127" s="25" t="s">
        <v>471</v>
      </c>
      <c r="K127" s="19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25">
        <f t="shared" si="13"/>
        <v>127</v>
      </c>
      <c r="B128" s="25" t="str">
        <f t="shared" si="14"/>
        <v>A127</v>
      </c>
      <c r="C128" s="19" t="s">
        <v>163</v>
      </c>
      <c r="D128" s="19" t="s">
        <v>501</v>
      </c>
      <c r="E128" s="25" t="s">
        <v>21</v>
      </c>
      <c r="F128" s="25" t="s">
        <v>208</v>
      </c>
      <c r="G128" s="70" t="s">
        <v>49</v>
      </c>
      <c r="H128" s="25" t="str">
        <f t="shared" si="26"/>
        <v>A117</v>
      </c>
      <c r="I128" s="19" t="s">
        <v>266</v>
      </c>
      <c r="J128" s="25" t="s">
        <v>471</v>
      </c>
      <c r="K128" s="19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25">
        <f t="shared" si="13"/>
        <v>128</v>
      </c>
      <c r="B129" s="25" t="str">
        <f t="shared" si="14"/>
        <v>A128</v>
      </c>
      <c r="C129" s="19" t="s">
        <v>167</v>
      </c>
      <c r="D129" s="19" t="s">
        <v>502</v>
      </c>
      <c r="E129" s="25" t="s">
        <v>21</v>
      </c>
      <c r="F129" s="25" t="s">
        <v>208</v>
      </c>
      <c r="G129" s="70" t="s">
        <v>49</v>
      </c>
      <c r="H129" s="25" t="str">
        <f t="shared" si="26"/>
        <v>A117</v>
      </c>
      <c r="I129" s="19" t="s">
        <v>266</v>
      </c>
      <c r="J129" s="25" t="s">
        <v>471</v>
      </c>
      <c r="K129" s="19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25">
        <f t="shared" si="13"/>
        <v>129</v>
      </c>
      <c r="B130" s="25" t="str">
        <f t="shared" si="14"/>
        <v>A129</v>
      </c>
      <c r="C130" s="19" t="s">
        <v>124</v>
      </c>
      <c r="D130" s="19" t="s">
        <v>498</v>
      </c>
      <c r="E130" s="25" t="s">
        <v>21</v>
      </c>
      <c r="F130" s="25" t="s">
        <v>433</v>
      </c>
      <c r="G130" s="70" t="s">
        <v>49</v>
      </c>
      <c r="H130" s="25" t="str">
        <f t="shared" si="26"/>
        <v>A117</v>
      </c>
      <c r="I130" s="21"/>
      <c r="J130" s="25" t="s">
        <v>471</v>
      </c>
      <c r="K130" s="21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>
        <f t="shared" si="13"/>
        <v>130</v>
      </c>
      <c r="B131" s="9" t="str">
        <f t="shared" si="14"/>
        <v>A130</v>
      </c>
      <c r="C131" s="17" t="s">
        <v>280</v>
      </c>
      <c r="D131" s="17"/>
      <c r="E131" s="9" t="s">
        <v>13</v>
      </c>
      <c r="F131" s="9" t="s">
        <v>15</v>
      </c>
      <c r="G131" s="69" t="s">
        <v>49</v>
      </c>
      <c r="H131" s="9" t="str">
        <f t="shared" si="26"/>
        <v>A117</v>
      </c>
      <c r="I131" s="54"/>
      <c r="J131" s="9" t="s">
        <v>245</v>
      </c>
      <c r="K131" s="54" t="s">
        <v>503</v>
      </c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ht="15.75" customHeight="1">
      <c r="A132" s="9">
        <f t="shared" si="13"/>
        <v>131</v>
      </c>
      <c r="B132" s="9" t="str">
        <f t="shared" si="14"/>
        <v>A131</v>
      </c>
      <c r="C132" s="17" t="s">
        <v>283</v>
      </c>
      <c r="D132" s="17"/>
      <c r="E132" s="9" t="s">
        <v>13</v>
      </c>
      <c r="F132" s="9" t="s">
        <v>15</v>
      </c>
      <c r="G132" s="69" t="s">
        <v>27</v>
      </c>
      <c r="H132" s="9" t="str">
        <f>$B$131</f>
        <v>A130</v>
      </c>
      <c r="I132" s="54" t="s">
        <v>219</v>
      </c>
      <c r="J132" s="9" t="s">
        <v>245</v>
      </c>
      <c r="K132" s="54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ht="15.75" customHeight="1">
      <c r="A133" s="25">
        <f t="shared" si="13"/>
        <v>132</v>
      </c>
      <c r="B133" s="25" t="str">
        <f t="shared" si="14"/>
        <v>A132</v>
      </c>
      <c r="C133" s="19" t="s">
        <v>506</v>
      </c>
      <c r="D133" s="19" t="s">
        <v>288</v>
      </c>
      <c r="E133" s="25" t="s">
        <v>21</v>
      </c>
      <c r="F133" s="25" t="s">
        <v>404</v>
      </c>
      <c r="G133" s="70" t="s">
        <v>16</v>
      </c>
      <c r="H133" s="25" t="str">
        <f>$B$132</f>
        <v>A131</v>
      </c>
      <c r="I133" s="21" t="s">
        <v>507</v>
      </c>
      <c r="J133" s="25" t="s">
        <v>245</v>
      </c>
      <c r="K133" s="21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>
        <f t="shared" si="13"/>
        <v>133</v>
      </c>
      <c r="B134" s="9" t="str">
        <f t="shared" si="14"/>
        <v>A133</v>
      </c>
      <c r="C134" s="17" t="s">
        <v>453</v>
      </c>
      <c r="D134" s="17" t="s">
        <v>454</v>
      </c>
      <c r="E134" s="9" t="s">
        <v>13</v>
      </c>
      <c r="F134" s="9" t="s">
        <v>15</v>
      </c>
      <c r="G134" s="69" t="s">
        <v>49</v>
      </c>
      <c r="H134" s="9" t="str">
        <f>$B$101</f>
        <v>A100</v>
      </c>
      <c r="I134" s="54"/>
      <c r="J134" s="9" t="s">
        <v>245</v>
      </c>
      <c r="K134" s="54" t="s">
        <v>508</v>
      </c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>
      <c r="A135" s="25">
        <f t="shared" si="13"/>
        <v>134</v>
      </c>
      <c r="B135" s="25" t="str">
        <f t="shared" si="14"/>
        <v>A134</v>
      </c>
      <c r="C135" s="19" t="s">
        <v>216</v>
      </c>
      <c r="D135" s="19" t="s">
        <v>217</v>
      </c>
      <c r="E135" s="25" t="s">
        <v>21</v>
      </c>
      <c r="F135" s="25" t="s">
        <v>131</v>
      </c>
      <c r="G135" s="70" t="s">
        <v>49</v>
      </c>
      <c r="H135" s="25" t="str">
        <f t="shared" ref="H135:H139" si="27">$B$134</f>
        <v>A133</v>
      </c>
      <c r="I135" s="21" t="s">
        <v>218</v>
      </c>
      <c r="J135" s="25" t="s">
        <v>245</v>
      </c>
      <c r="K135" s="21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71">
        <f t="shared" si="13"/>
        <v>135</v>
      </c>
      <c r="B136" s="71" t="str">
        <f t="shared" si="14"/>
        <v>A135</v>
      </c>
      <c r="C136" s="42" t="s">
        <v>220</v>
      </c>
      <c r="D136" s="42" t="s">
        <v>221</v>
      </c>
      <c r="E136" s="71" t="s">
        <v>21</v>
      </c>
      <c r="F136" s="71" t="s">
        <v>131</v>
      </c>
      <c r="G136" s="72" t="s">
        <v>49</v>
      </c>
      <c r="H136" s="25" t="str">
        <f t="shared" si="27"/>
        <v>A133</v>
      </c>
      <c r="I136" s="43" t="s">
        <v>218</v>
      </c>
      <c r="J136" s="71" t="s">
        <v>245</v>
      </c>
      <c r="K136" s="43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25">
        <f t="shared" si="13"/>
        <v>136</v>
      </c>
      <c r="B137" s="25" t="str">
        <f t="shared" si="14"/>
        <v>A136</v>
      </c>
      <c r="C137" s="19" t="s">
        <v>224</v>
      </c>
      <c r="D137" s="19" t="s">
        <v>225</v>
      </c>
      <c r="E137" s="25" t="s">
        <v>21</v>
      </c>
      <c r="F137" s="25" t="s">
        <v>464</v>
      </c>
      <c r="G137" s="70" t="s">
        <v>49</v>
      </c>
      <c r="H137" s="25" t="str">
        <f t="shared" si="27"/>
        <v>A133</v>
      </c>
      <c r="I137" s="21"/>
      <c r="J137" s="25" t="s">
        <v>245</v>
      </c>
      <c r="K137" s="21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75">
        <f t="shared" si="13"/>
        <v>137</v>
      </c>
      <c r="B138" s="75" t="str">
        <f t="shared" si="14"/>
        <v>A137</v>
      </c>
      <c r="C138" s="34" t="s">
        <v>232</v>
      </c>
      <c r="D138" s="34" t="s">
        <v>455</v>
      </c>
      <c r="E138" s="75" t="s">
        <v>21</v>
      </c>
      <c r="F138" s="75" t="s">
        <v>433</v>
      </c>
      <c r="G138" s="76" t="s">
        <v>49</v>
      </c>
      <c r="H138" s="25" t="str">
        <f t="shared" si="27"/>
        <v>A133</v>
      </c>
      <c r="I138" s="74"/>
      <c r="J138" s="75" t="s">
        <v>471</v>
      </c>
      <c r="K138" s="77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25">
        <f t="shared" si="13"/>
        <v>138</v>
      </c>
      <c r="B139" s="25" t="str">
        <f t="shared" si="14"/>
        <v>A138</v>
      </c>
      <c r="C139" s="19" t="s">
        <v>238</v>
      </c>
      <c r="D139" s="19" t="s">
        <v>456</v>
      </c>
      <c r="E139" s="25" t="s">
        <v>21</v>
      </c>
      <c r="F139" s="25" t="s">
        <v>433</v>
      </c>
      <c r="G139" s="70" t="s">
        <v>49</v>
      </c>
      <c r="H139" s="25" t="str">
        <f t="shared" si="27"/>
        <v>A133</v>
      </c>
      <c r="I139" s="21"/>
      <c r="J139" s="25" t="s">
        <v>471</v>
      </c>
      <c r="K139" s="21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>
        <f t="shared" si="13"/>
        <v>139</v>
      </c>
      <c r="B140" s="9" t="str">
        <f t="shared" si="14"/>
        <v>A139</v>
      </c>
      <c r="C140" s="17" t="s">
        <v>457</v>
      </c>
      <c r="D140" s="17" t="s">
        <v>458</v>
      </c>
      <c r="E140" s="9" t="s">
        <v>13</v>
      </c>
      <c r="F140" s="9" t="s">
        <v>15</v>
      </c>
      <c r="G140" s="69" t="s">
        <v>49</v>
      </c>
      <c r="H140" s="9" t="str">
        <f>$B$101</f>
        <v>A100</v>
      </c>
      <c r="I140" s="54"/>
      <c r="J140" s="9" t="s">
        <v>245</v>
      </c>
      <c r="K140" s="54" t="s">
        <v>520</v>
      </c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ht="15.75" customHeight="1">
      <c r="A141" s="25">
        <f t="shared" si="13"/>
        <v>140</v>
      </c>
      <c r="B141" s="25" t="str">
        <f t="shared" si="14"/>
        <v>A140</v>
      </c>
      <c r="C141" s="19" t="s">
        <v>216</v>
      </c>
      <c r="D141" s="19" t="s">
        <v>217</v>
      </c>
      <c r="E141" s="25" t="s">
        <v>21</v>
      </c>
      <c r="F141" s="25" t="s">
        <v>131</v>
      </c>
      <c r="G141" s="70" t="s">
        <v>49</v>
      </c>
      <c r="H141" s="25" t="str">
        <f t="shared" ref="H141:H154" si="28">$B$140</f>
        <v>A139</v>
      </c>
      <c r="I141" s="21" t="s">
        <v>461</v>
      </c>
      <c r="J141" s="25" t="s">
        <v>245</v>
      </c>
      <c r="K141" s="21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25">
        <f t="shared" si="13"/>
        <v>141</v>
      </c>
      <c r="B142" s="25" t="str">
        <f t="shared" si="14"/>
        <v>A141</v>
      </c>
      <c r="C142" s="19" t="s">
        <v>220</v>
      </c>
      <c r="D142" s="19" t="s">
        <v>221</v>
      </c>
      <c r="E142" s="25" t="s">
        <v>21</v>
      </c>
      <c r="F142" s="25" t="s">
        <v>131</v>
      </c>
      <c r="G142" s="70" t="s">
        <v>49</v>
      </c>
      <c r="H142" s="25" t="str">
        <f t="shared" si="28"/>
        <v>A139</v>
      </c>
      <c r="I142" s="21" t="s">
        <v>218</v>
      </c>
      <c r="J142" s="25" t="s">
        <v>245</v>
      </c>
      <c r="K142" s="21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25">
        <f t="shared" si="13"/>
        <v>142</v>
      </c>
      <c r="B143" s="25" t="str">
        <f t="shared" si="14"/>
        <v>A142</v>
      </c>
      <c r="C143" s="19" t="s">
        <v>462</v>
      </c>
      <c r="D143" s="19" t="s">
        <v>463</v>
      </c>
      <c r="E143" s="25" t="s">
        <v>21</v>
      </c>
      <c r="F143" s="25" t="s">
        <v>524</v>
      </c>
      <c r="G143" s="70" t="s">
        <v>49</v>
      </c>
      <c r="H143" s="25" t="str">
        <f t="shared" si="28"/>
        <v>A139</v>
      </c>
      <c r="I143" s="21"/>
      <c r="J143" s="25" t="s">
        <v>245</v>
      </c>
      <c r="K143" s="21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25">
        <f t="shared" si="13"/>
        <v>143</v>
      </c>
      <c r="B144" s="25" t="str">
        <f t="shared" si="14"/>
        <v>A143</v>
      </c>
      <c r="C144" s="19" t="s">
        <v>465</v>
      </c>
      <c r="D144" s="19" t="s">
        <v>466</v>
      </c>
      <c r="E144" s="25" t="s">
        <v>21</v>
      </c>
      <c r="F144" s="25" t="s">
        <v>525</v>
      </c>
      <c r="G144" s="70" t="s">
        <v>49</v>
      </c>
      <c r="H144" s="25" t="str">
        <f t="shared" si="28"/>
        <v>A139</v>
      </c>
      <c r="I144" s="21"/>
      <c r="J144" s="25" t="s">
        <v>245</v>
      </c>
      <c r="K144" s="21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25">
        <f t="shared" si="13"/>
        <v>144</v>
      </c>
      <c r="B145" s="25" t="str">
        <f t="shared" si="14"/>
        <v>A144</v>
      </c>
      <c r="C145" s="19" t="s">
        <v>467</v>
      </c>
      <c r="D145" s="19" t="s">
        <v>468</v>
      </c>
      <c r="E145" s="25" t="s">
        <v>21</v>
      </c>
      <c r="F145" s="25" t="s">
        <v>208</v>
      </c>
      <c r="G145" s="70" t="s">
        <v>49</v>
      </c>
      <c r="H145" s="25" t="str">
        <f t="shared" si="28"/>
        <v>A139</v>
      </c>
      <c r="I145" s="21" t="s">
        <v>147</v>
      </c>
      <c r="J145" s="25" t="s">
        <v>245</v>
      </c>
      <c r="K145" s="21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25">
        <f t="shared" si="13"/>
        <v>145</v>
      </c>
      <c r="B146" s="25" t="str">
        <f t="shared" si="14"/>
        <v>A145</v>
      </c>
      <c r="C146" s="19" t="s">
        <v>117</v>
      </c>
      <c r="D146" s="19" t="s">
        <v>472</v>
      </c>
      <c r="E146" s="25" t="s">
        <v>21</v>
      </c>
      <c r="F146" s="25" t="s">
        <v>433</v>
      </c>
      <c r="G146" s="70" t="s">
        <v>49</v>
      </c>
      <c r="H146" s="25" t="str">
        <f t="shared" si="28"/>
        <v>A139</v>
      </c>
      <c r="I146" s="19"/>
      <c r="J146" s="25" t="s">
        <v>471</v>
      </c>
      <c r="K146" s="19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71">
        <f t="shared" si="13"/>
        <v>146</v>
      </c>
      <c r="B147" s="71" t="str">
        <f t="shared" si="14"/>
        <v>A146</v>
      </c>
      <c r="C147" s="42" t="s">
        <v>120</v>
      </c>
      <c r="D147" s="42" t="s">
        <v>473</v>
      </c>
      <c r="E147" s="71" t="s">
        <v>21</v>
      </c>
      <c r="F147" s="71" t="s">
        <v>433</v>
      </c>
      <c r="G147" s="72" t="s">
        <v>49</v>
      </c>
      <c r="H147" s="25" t="str">
        <f t="shared" si="28"/>
        <v>A139</v>
      </c>
      <c r="I147" s="34"/>
      <c r="J147" s="71" t="s">
        <v>471</v>
      </c>
      <c r="K147" s="34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25">
        <f t="shared" si="13"/>
        <v>147</v>
      </c>
      <c r="B148" s="25" t="str">
        <f t="shared" si="14"/>
        <v>A147</v>
      </c>
      <c r="C148" s="19" t="s">
        <v>474</v>
      </c>
      <c r="D148" s="19" t="s">
        <v>477</v>
      </c>
      <c r="E148" s="25" t="s">
        <v>21</v>
      </c>
      <c r="F148" s="25" t="s">
        <v>476</v>
      </c>
      <c r="G148" s="70" t="s">
        <v>49</v>
      </c>
      <c r="H148" s="25" t="str">
        <f t="shared" si="28"/>
        <v>A139</v>
      </c>
      <c r="I148" s="19"/>
      <c r="J148" s="25" t="s">
        <v>471</v>
      </c>
      <c r="K148" s="19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75">
        <f t="shared" si="13"/>
        <v>148</v>
      </c>
      <c r="B149" s="75" t="str">
        <f t="shared" si="14"/>
        <v>A148</v>
      </c>
      <c r="C149" s="34" t="s">
        <v>478</v>
      </c>
      <c r="D149" s="34" t="s">
        <v>479</v>
      </c>
      <c r="E149" s="75" t="s">
        <v>21</v>
      </c>
      <c r="F149" s="75" t="s">
        <v>476</v>
      </c>
      <c r="G149" s="76" t="s">
        <v>49</v>
      </c>
      <c r="H149" s="25" t="str">
        <f t="shared" si="28"/>
        <v>A139</v>
      </c>
      <c r="I149" s="34"/>
      <c r="J149" s="75" t="s">
        <v>471</v>
      </c>
      <c r="K149" s="34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25">
        <f t="shared" si="13"/>
        <v>149</v>
      </c>
      <c r="B150" s="25" t="str">
        <f t="shared" si="14"/>
        <v>A149</v>
      </c>
      <c r="C150" s="19" t="s">
        <v>140</v>
      </c>
      <c r="D150" s="19" t="s">
        <v>481</v>
      </c>
      <c r="E150" s="25" t="s">
        <v>21</v>
      </c>
      <c r="F150" s="25" t="s">
        <v>482</v>
      </c>
      <c r="G150" s="70" t="s">
        <v>49</v>
      </c>
      <c r="H150" s="25" t="str">
        <f t="shared" si="28"/>
        <v>A139</v>
      </c>
      <c r="I150" s="19"/>
      <c r="J150" s="25" t="s">
        <v>471</v>
      </c>
      <c r="K150" s="19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25">
        <f t="shared" si="13"/>
        <v>150</v>
      </c>
      <c r="B151" s="25" t="str">
        <f t="shared" si="14"/>
        <v>A150</v>
      </c>
      <c r="C151" s="19" t="s">
        <v>163</v>
      </c>
      <c r="D151" s="19" t="s">
        <v>483</v>
      </c>
      <c r="E151" s="25" t="s">
        <v>21</v>
      </c>
      <c r="F151" s="25" t="s">
        <v>208</v>
      </c>
      <c r="G151" s="70" t="s">
        <v>49</v>
      </c>
      <c r="H151" s="25" t="str">
        <f t="shared" si="28"/>
        <v>A139</v>
      </c>
      <c r="I151" s="19" t="s">
        <v>266</v>
      </c>
      <c r="J151" s="25" t="s">
        <v>471</v>
      </c>
      <c r="K151" s="19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25">
        <f t="shared" si="13"/>
        <v>151</v>
      </c>
      <c r="B152" s="25" t="str">
        <f t="shared" si="14"/>
        <v>A151</v>
      </c>
      <c r="C152" s="19" t="s">
        <v>167</v>
      </c>
      <c r="D152" s="19" t="s">
        <v>484</v>
      </c>
      <c r="E152" s="25" t="s">
        <v>21</v>
      </c>
      <c r="F152" s="25" t="s">
        <v>208</v>
      </c>
      <c r="G152" s="70" t="s">
        <v>49</v>
      </c>
      <c r="H152" s="25" t="str">
        <f t="shared" si="28"/>
        <v>A139</v>
      </c>
      <c r="I152" s="19" t="s">
        <v>266</v>
      </c>
      <c r="J152" s="25" t="s">
        <v>471</v>
      </c>
      <c r="K152" s="19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25">
        <f t="shared" si="13"/>
        <v>152</v>
      </c>
      <c r="B153" s="25" t="str">
        <f t="shared" si="14"/>
        <v>A152</v>
      </c>
      <c r="C153" s="19" t="s">
        <v>124</v>
      </c>
      <c r="D153" s="19" t="s">
        <v>475</v>
      </c>
      <c r="E153" s="25" t="s">
        <v>21</v>
      </c>
      <c r="F153" s="25" t="s">
        <v>433</v>
      </c>
      <c r="G153" s="70" t="s">
        <v>49</v>
      </c>
      <c r="H153" s="25" t="str">
        <f t="shared" si="28"/>
        <v>A139</v>
      </c>
      <c r="I153" s="43"/>
      <c r="J153" s="25" t="s">
        <v>471</v>
      </c>
      <c r="K153" s="21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>
        <f t="shared" si="13"/>
        <v>153</v>
      </c>
      <c r="B154" s="9" t="str">
        <f t="shared" si="14"/>
        <v>A153</v>
      </c>
      <c r="C154" s="17" t="s">
        <v>280</v>
      </c>
      <c r="D154" s="17"/>
      <c r="E154" s="9" t="s">
        <v>13</v>
      </c>
      <c r="F154" s="9" t="s">
        <v>15</v>
      </c>
      <c r="G154" s="69" t="s">
        <v>49</v>
      </c>
      <c r="H154" s="9" t="str">
        <f t="shared" si="28"/>
        <v>A139</v>
      </c>
      <c r="I154" s="54"/>
      <c r="J154" s="81" t="s">
        <v>245</v>
      </c>
      <c r="K154" s="54" t="s">
        <v>540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ht="15.75" customHeight="1">
      <c r="A155" s="9">
        <f t="shared" si="13"/>
        <v>154</v>
      </c>
      <c r="B155" s="9" t="str">
        <f t="shared" si="14"/>
        <v>A154</v>
      </c>
      <c r="C155" s="17" t="s">
        <v>283</v>
      </c>
      <c r="D155" s="17"/>
      <c r="E155" s="9" t="s">
        <v>13</v>
      </c>
      <c r="F155" s="9" t="s">
        <v>15</v>
      </c>
      <c r="G155" s="69" t="s">
        <v>27</v>
      </c>
      <c r="H155" s="9" t="str">
        <f>$B$154</f>
        <v>A153</v>
      </c>
      <c r="I155" s="82" t="s">
        <v>219</v>
      </c>
      <c r="J155" s="9" t="s">
        <v>245</v>
      </c>
      <c r="K155" s="54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ht="15.75" customHeight="1">
      <c r="A156" s="25">
        <f t="shared" si="13"/>
        <v>155</v>
      </c>
      <c r="B156" s="25" t="str">
        <f t="shared" si="14"/>
        <v>A155</v>
      </c>
      <c r="C156" s="19" t="s">
        <v>488</v>
      </c>
      <c r="D156" s="19" t="s">
        <v>288</v>
      </c>
      <c r="E156" s="25" t="s">
        <v>21</v>
      </c>
      <c r="F156" s="25" t="s">
        <v>404</v>
      </c>
      <c r="G156" s="70" t="s">
        <v>16</v>
      </c>
      <c r="H156" s="25" t="str">
        <f>$B$155</f>
        <v>A154</v>
      </c>
      <c r="I156" s="21" t="s">
        <v>489</v>
      </c>
      <c r="J156" s="25" t="s">
        <v>245</v>
      </c>
      <c r="K156" s="21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>
        <f t="shared" si="13"/>
        <v>156</v>
      </c>
      <c r="B157" s="9" t="str">
        <f t="shared" si="14"/>
        <v>A156</v>
      </c>
      <c r="C157" s="17" t="s">
        <v>296</v>
      </c>
      <c r="D157" s="17" t="s">
        <v>297</v>
      </c>
      <c r="E157" s="9" t="s">
        <v>13</v>
      </c>
      <c r="F157" s="9" t="s">
        <v>15</v>
      </c>
      <c r="G157" s="69" t="s">
        <v>49</v>
      </c>
      <c r="H157" s="9" t="str">
        <f>$B$101</f>
        <v>A100</v>
      </c>
      <c r="I157" s="54"/>
      <c r="J157" s="9" t="s">
        <v>22</v>
      </c>
      <c r="K157" s="54" t="s">
        <v>548</v>
      </c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ht="15.75" customHeight="1">
      <c r="A158" s="25">
        <f t="shared" si="13"/>
        <v>157</v>
      </c>
      <c r="B158" s="25" t="str">
        <f t="shared" si="14"/>
        <v>A157</v>
      </c>
      <c r="C158" s="19" t="s">
        <v>300</v>
      </c>
      <c r="D158" s="19" t="s">
        <v>301</v>
      </c>
      <c r="E158" s="25" t="s">
        <v>21</v>
      </c>
      <c r="F158" s="25" t="s">
        <v>551</v>
      </c>
      <c r="G158" s="70" t="s">
        <v>49</v>
      </c>
      <c r="H158" s="25" t="str">
        <f t="shared" ref="H158:H194" si="29">$B$157</f>
        <v>A156</v>
      </c>
      <c r="I158" s="21"/>
      <c r="J158" s="25" t="s">
        <v>22</v>
      </c>
      <c r="K158" s="21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25">
        <f t="shared" si="13"/>
        <v>158</v>
      </c>
      <c r="B159" s="25" t="str">
        <f t="shared" si="14"/>
        <v>A158</v>
      </c>
      <c r="C159" s="19" t="s">
        <v>303</v>
      </c>
      <c r="D159" s="19" t="s">
        <v>304</v>
      </c>
      <c r="E159" s="25" t="s">
        <v>21</v>
      </c>
      <c r="F159" s="25" t="s">
        <v>404</v>
      </c>
      <c r="G159" s="70" t="s">
        <v>49</v>
      </c>
      <c r="H159" s="25" t="str">
        <f t="shared" si="29"/>
        <v>A156</v>
      </c>
      <c r="I159" s="21" t="s">
        <v>306</v>
      </c>
      <c r="J159" s="25" t="s">
        <v>22</v>
      </c>
      <c r="K159" s="21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25">
        <f t="shared" si="13"/>
        <v>159</v>
      </c>
      <c r="B160" s="25" t="str">
        <f t="shared" si="14"/>
        <v>A159</v>
      </c>
      <c r="C160" s="19" t="s">
        <v>308</v>
      </c>
      <c r="D160" s="19" t="s">
        <v>309</v>
      </c>
      <c r="E160" s="25" t="s">
        <v>21</v>
      </c>
      <c r="F160" s="25" t="s">
        <v>415</v>
      </c>
      <c r="G160" s="70" t="s">
        <v>49</v>
      </c>
      <c r="H160" s="25" t="str">
        <f t="shared" si="29"/>
        <v>A156</v>
      </c>
      <c r="I160" s="21"/>
      <c r="J160" s="25" t="s">
        <v>22</v>
      </c>
      <c r="K160" s="21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25">
        <f t="shared" si="13"/>
        <v>160</v>
      </c>
      <c r="B161" s="25" t="str">
        <f t="shared" si="14"/>
        <v>A160</v>
      </c>
      <c r="C161" s="19" t="s">
        <v>312</v>
      </c>
      <c r="D161" s="19" t="s">
        <v>314</v>
      </c>
      <c r="E161" s="25" t="s">
        <v>21</v>
      </c>
      <c r="F161" s="25" t="s">
        <v>208</v>
      </c>
      <c r="G161" s="70" t="s">
        <v>16</v>
      </c>
      <c r="H161" s="25" t="str">
        <f t="shared" si="29"/>
        <v>A156</v>
      </c>
      <c r="I161" s="21" t="s">
        <v>559</v>
      </c>
      <c r="J161" s="25" t="s">
        <v>22</v>
      </c>
      <c r="K161" s="21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25">
        <f t="shared" si="13"/>
        <v>161</v>
      </c>
      <c r="B162" s="25" t="str">
        <f t="shared" si="14"/>
        <v>A161</v>
      </c>
      <c r="C162" s="19" t="s">
        <v>317</v>
      </c>
      <c r="D162" s="19" t="s">
        <v>318</v>
      </c>
      <c r="E162" s="25" t="s">
        <v>21</v>
      </c>
      <c r="F162" s="25" t="s">
        <v>39</v>
      </c>
      <c r="G162" s="70" t="s">
        <v>49</v>
      </c>
      <c r="H162" s="25" t="str">
        <f t="shared" si="29"/>
        <v>A156</v>
      </c>
      <c r="I162" s="43" t="s">
        <v>562</v>
      </c>
      <c r="J162" s="25" t="s">
        <v>22</v>
      </c>
      <c r="K162" s="21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25">
        <f t="shared" si="13"/>
        <v>162</v>
      </c>
      <c r="B163" s="25" t="str">
        <f t="shared" si="14"/>
        <v>A162</v>
      </c>
      <c r="C163" s="19" t="s">
        <v>320</v>
      </c>
      <c r="D163" s="19" t="s">
        <v>321</v>
      </c>
      <c r="E163" s="25" t="s">
        <v>21</v>
      </c>
      <c r="F163" s="25" t="s">
        <v>99</v>
      </c>
      <c r="G163" s="70" t="s">
        <v>49</v>
      </c>
      <c r="H163" s="25" t="str">
        <f t="shared" si="29"/>
        <v>A156</v>
      </c>
      <c r="I163" s="43" t="s">
        <v>562</v>
      </c>
      <c r="J163" s="25" t="s">
        <v>22</v>
      </c>
      <c r="K163" s="21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25">
        <f t="shared" si="13"/>
        <v>163</v>
      </c>
      <c r="B164" s="25" t="str">
        <f t="shared" si="14"/>
        <v>A163</v>
      </c>
      <c r="C164" s="19" t="s">
        <v>324</v>
      </c>
      <c r="D164" s="19" t="s">
        <v>567</v>
      </c>
      <c r="E164" s="25" t="s">
        <v>21</v>
      </c>
      <c r="F164" s="25" t="s">
        <v>208</v>
      </c>
      <c r="G164" s="70" t="s">
        <v>16</v>
      </c>
      <c r="H164" s="25" t="str">
        <f t="shared" si="29"/>
        <v>A156</v>
      </c>
      <c r="I164" s="21" t="s">
        <v>147</v>
      </c>
      <c r="J164" s="25" t="s">
        <v>22</v>
      </c>
      <c r="K164" s="21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25">
        <f t="shared" si="13"/>
        <v>164</v>
      </c>
      <c r="B165" s="25" t="str">
        <f t="shared" si="14"/>
        <v>A164</v>
      </c>
      <c r="C165" s="19" t="s">
        <v>329</v>
      </c>
      <c r="D165" s="19" t="s">
        <v>330</v>
      </c>
      <c r="E165" s="25" t="s">
        <v>21</v>
      </c>
      <c r="F165" s="25" t="s">
        <v>208</v>
      </c>
      <c r="G165" s="70" t="s">
        <v>16</v>
      </c>
      <c r="H165" s="25" t="str">
        <f t="shared" si="29"/>
        <v>A156</v>
      </c>
      <c r="I165" s="19" t="s">
        <v>331</v>
      </c>
      <c r="J165" s="25" t="s">
        <v>22</v>
      </c>
      <c r="K165" s="21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25">
        <f t="shared" si="13"/>
        <v>165</v>
      </c>
      <c r="B166" s="25" t="str">
        <f t="shared" si="14"/>
        <v>A165</v>
      </c>
      <c r="C166" s="19" t="s">
        <v>332</v>
      </c>
      <c r="D166" s="19" t="s">
        <v>333</v>
      </c>
      <c r="E166" s="25" t="s">
        <v>21</v>
      </c>
      <c r="F166" s="25" t="s">
        <v>208</v>
      </c>
      <c r="G166" s="70" t="s">
        <v>49</v>
      </c>
      <c r="H166" s="25" t="str">
        <f t="shared" si="29"/>
        <v>A156</v>
      </c>
      <c r="I166" s="19" t="s">
        <v>572</v>
      </c>
      <c r="J166" s="25" t="s">
        <v>22</v>
      </c>
      <c r="K166" s="21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25">
        <f t="shared" si="13"/>
        <v>166</v>
      </c>
      <c r="B167" s="25" t="str">
        <f t="shared" si="14"/>
        <v>A166</v>
      </c>
      <c r="C167" s="19" t="s">
        <v>339</v>
      </c>
      <c r="D167" s="19" t="s">
        <v>340</v>
      </c>
      <c r="E167" s="25" t="s">
        <v>21</v>
      </c>
      <c r="F167" s="25" t="s">
        <v>208</v>
      </c>
      <c r="G167" s="70" t="s">
        <v>49</v>
      </c>
      <c r="H167" s="25" t="str">
        <f t="shared" si="29"/>
        <v>A156</v>
      </c>
      <c r="I167" s="19" t="s">
        <v>576</v>
      </c>
      <c r="J167" s="25" t="s">
        <v>22</v>
      </c>
      <c r="K167" s="21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25">
        <f t="shared" si="13"/>
        <v>167</v>
      </c>
      <c r="B168" s="25" t="str">
        <f t="shared" si="14"/>
        <v>A167</v>
      </c>
      <c r="C168" s="19" t="s">
        <v>346</v>
      </c>
      <c r="D168" s="19" t="s">
        <v>347</v>
      </c>
      <c r="E168" s="25" t="s">
        <v>21</v>
      </c>
      <c r="F168" s="25" t="s">
        <v>131</v>
      </c>
      <c r="G168" s="70" t="s">
        <v>49</v>
      </c>
      <c r="H168" s="25" t="str">
        <f t="shared" si="29"/>
        <v>A156</v>
      </c>
      <c r="I168" s="19" t="s">
        <v>348</v>
      </c>
      <c r="J168" s="25" t="s">
        <v>22</v>
      </c>
      <c r="K168" s="21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25">
        <f t="shared" si="13"/>
        <v>168</v>
      </c>
      <c r="B169" s="25" t="str">
        <f t="shared" si="14"/>
        <v>A168</v>
      </c>
      <c r="C169" s="19" t="s">
        <v>353</v>
      </c>
      <c r="D169" s="19" t="s">
        <v>354</v>
      </c>
      <c r="E169" s="25" t="s">
        <v>21</v>
      </c>
      <c r="F169" s="25" t="s">
        <v>433</v>
      </c>
      <c r="G169" s="70" t="s">
        <v>49</v>
      </c>
      <c r="H169" s="25" t="str">
        <f t="shared" si="29"/>
        <v>A156</v>
      </c>
      <c r="I169" s="19"/>
      <c r="J169" s="25" t="s">
        <v>60</v>
      </c>
      <c r="K169" s="21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25">
        <f t="shared" si="13"/>
        <v>169</v>
      </c>
      <c r="B170" s="25" t="str">
        <f t="shared" si="14"/>
        <v>A169</v>
      </c>
      <c r="C170" s="19" t="s">
        <v>216</v>
      </c>
      <c r="D170" s="19" t="s">
        <v>217</v>
      </c>
      <c r="E170" s="25" t="s">
        <v>21</v>
      </c>
      <c r="F170" s="25" t="s">
        <v>131</v>
      </c>
      <c r="G170" s="70" t="s">
        <v>49</v>
      </c>
      <c r="H170" s="25" t="str">
        <f t="shared" si="29"/>
        <v>A156</v>
      </c>
      <c r="I170" s="21" t="s">
        <v>218</v>
      </c>
      <c r="J170" s="25" t="s">
        <v>245</v>
      </c>
      <c r="K170" s="21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25">
        <f t="shared" si="13"/>
        <v>170</v>
      </c>
      <c r="B171" s="25" t="str">
        <f t="shared" si="14"/>
        <v>A170</v>
      </c>
      <c r="C171" s="19" t="s">
        <v>365</v>
      </c>
      <c r="D171" s="19" t="s">
        <v>221</v>
      </c>
      <c r="E171" s="25" t="s">
        <v>21</v>
      </c>
      <c r="F171" s="25" t="s">
        <v>131</v>
      </c>
      <c r="G171" s="70" t="s">
        <v>49</v>
      </c>
      <c r="H171" s="25" t="str">
        <f t="shared" si="29"/>
        <v>A156</v>
      </c>
      <c r="I171" s="21" t="s">
        <v>218</v>
      </c>
      <c r="J171" s="25" t="s">
        <v>245</v>
      </c>
      <c r="K171" s="21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25">
        <f t="shared" si="13"/>
        <v>171</v>
      </c>
      <c r="B172" s="25" t="str">
        <f t="shared" si="14"/>
        <v>A171</v>
      </c>
      <c r="C172" s="19" t="s">
        <v>368</v>
      </c>
      <c r="D172" s="19" t="s">
        <v>369</v>
      </c>
      <c r="E172" s="25" t="s">
        <v>21</v>
      </c>
      <c r="F172" s="25" t="s">
        <v>208</v>
      </c>
      <c r="G172" s="70" t="s">
        <v>49</v>
      </c>
      <c r="H172" s="25" t="str">
        <f t="shared" si="29"/>
        <v>A156</v>
      </c>
      <c r="I172" s="21" t="s">
        <v>587</v>
      </c>
      <c r="J172" s="25" t="s">
        <v>60</v>
      </c>
      <c r="K172" s="21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25">
        <f t="shared" si="13"/>
        <v>172</v>
      </c>
      <c r="B173" s="25" t="str">
        <f t="shared" si="14"/>
        <v>A172</v>
      </c>
      <c r="C173" s="19" t="s">
        <v>372</v>
      </c>
      <c r="D173" s="19" t="s">
        <v>373</v>
      </c>
      <c r="E173" s="25" t="s">
        <v>21</v>
      </c>
      <c r="F173" s="25" t="s">
        <v>590</v>
      </c>
      <c r="G173" s="70" t="s">
        <v>49</v>
      </c>
      <c r="H173" s="25" t="str">
        <f t="shared" si="29"/>
        <v>A156</v>
      </c>
      <c r="I173" s="21" t="s">
        <v>591</v>
      </c>
      <c r="J173" s="25" t="s">
        <v>60</v>
      </c>
      <c r="K173" s="21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25">
        <f t="shared" si="13"/>
        <v>173</v>
      </c>
      <c r="B174" s="25" t="str">
        <f t="shared" si="14"/>
        <v>A173</v>
      </c>
      <c r="C174" s="19" t="s">
        <v>376</v>
      </c>
      <c r="D174" s="19" t="s">
        <v>378</v>
      </c>
      <c r="E174" s="25" t="s">
        <v>21</v>
      </c>
      <c r="F174" s="25" t="s">
        <v>208</v>
      </c>
      <c r="G174" s="70" t="s">
        <v>49</v>
      </c>
      <c r="H174" s="25" t="str">
        <f t="shared" si="29"/>
        <v>A156</v>
      </c>
      <c r="I174" s="21" t="s">
        <v>379</v>
      </c>
      <c r="J174" s="25" t="s">
        <v>60</v>
      </c>
      <c r="K174" s="21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25">
        <f t="shared" si="13"/>
        <v>174</v>
      </c>
      <c r="B175" s="25" t="str">
        <f t="shared" si="14"/>
        <v>A174</v>
      </c>
      <c r="C175" s="19" t="s">
        <v>382</v>
      </c>
      <c r="D175" s="19" t="s">
        <v>383</v>
      </c>
      <c r="E175" s="25" t="s">
        <v>21</v>
      </c>
      <c r="F175" s="25" t="s">
        <v>208</v>
      </c>
      <c r="G175" s="70" t="s">
        <v>49</v>
      </c>
      <c r="H175" s="25" t="str">
        <f t="shared" si="29"/>
        <v>A156</v>
      </c>
      <c r="I175" s="21" t="s">
        <v>384</v>
      </c>
      <c r="J175" s="25" t="s">
        <v>60</v>
      </c>
      <c r="K175" s="21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83">
        <f t="shared" si="13"/>
        <v>175</v>
      </c>
      <c r="B176" s="83" t="str">
        <f t="shared" si="14"/>
        <v>A175</v>
      </c>
      <c r="C176" s="84" t="s">
        <v>598</v>
      </c>
      <c r="D176" s="84" t="s">
        <v>599</v>
      </c>
      <c r="E176" s="85" t="s">
        <v>21</v>
      </c>
      <c r="F176" s="85" t="s">
        <v>600</v>
      </c>
      <c r="G176" s="86" t="s">
        <v>49</v>
      </c>
      <c r="H176" s="85" t="str">
        <f t="shared" si="29"/>
        <v>A156</v>
      </c>
      <c r="I176" s="87" t="s">
        <v>601</v>
      </c>
      <c r="J176" s="83" t="s">
        <v>60</v>
      </c>
      <c r="K176" s="88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25">
        <f t="shared" si="13"/>
        <v>176</v>
      </c>
      <c r="B177" s="25" t="str">
        <f t="shared" si="14"/>
        <v>A176</v>
      </c>
      <c r="C177" s="19" t="s">
        <v>392</v>
      </c>
      <c r="D177" s="19" t="s">
        <v>393</v>
      </c>
      <c r="E177" s="25" t="s">
        <v>21</v>
      </c>
      <c r="F177" s="25" t="s">
        <v>604</v>
      </c>
      <c r="G177" s="70" t="s">
        <v>49</v>
      </c>
      <c r="H177" s="25" t="str">
        <f t="shared" si="29"/>
        <v>A156</v>
      </c>
      <c r="I177" s="21"/>
      <c r="J177" s="25" t="s">
        <v>605</v>
      </c>
      <c r="K177" s="21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25">
        <f t="shared" si="13"/>
        <v>177</v>
      </c>
      <c r="B178" s="25" t="str">
        <f t="shared" si="14"/>
        <v>A177</v>
      </c>
      <c r="C178" s="19" t="s">
        <v>397</v>
      </c>
      <c r="D178" s="19" t="s">
        <v>398</v>
      </c>
      <c r="E178" s="25" t="s">
        <v>21</v>
      </c>
      <c r="F178" s="25" t="s">
        <v>208</v>
      </c>
      <c r="G178" s="70" t="s">
        <v>49</v>
      </c>
      <c r="H178" s="25" t="str">
        <f t="shared" si="29"/>
        <v>A156</v>
      </c>
      <c r="I178" s="19" t="s">
        <v>147</v>
      </c>
      <c r="J178" s="25" t="s">
        <v>605</v>
      </c>
      <c r="K178" s="21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25">
        <f t="shared" si="13"/>
        <v>178</v>
      </c>
      <c r="B179" s="25" t="str">
        <f t="shared" si="14"/>
        <v>A178</v>
      </c>
      <c r="C179" s="19" t="s">
        <v>400</v>
      </c>
      <c r="D179" s="19" t="s">
        <v>402</v>
      </c>
      <c r="E179" s="25" t="s">
        <v>21</v>
      </c>
      <c r="F179" s="25" t="s">
        <v>208</v>
      </c>
      <c r="G179" s="70" t="s">
        <v>49</v>
      </c>
      <c r="H179" s="25" t="str">
        <f t="shared" si="29"/>
        <v>A156</v>
      </c>
      <c r="I179" s="19" t="s">
        <v>147</v>
      </c>
      <c r="J179" s="25" t="s">
        <v>606</v>
      </c>
      <c r="K179" s="21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25">
        <f t="shared" si="13"/>
        <v>179</v>
      </c>
      <c r="B180" s="25" t="str">
        <f t="shared" si="14"/>
        <v>A179</v>
      </c>
      <c r="C180" s="19" t="s">
        <v>411</v>
      </c>
      <c r="D180" s="19" t="s">
        <v>412</v>
      </c>
      <c r="E180" s="25" t="s">
        <v>21</v>
      </c>
      <c r="F180" s="25" t="s">
        <v>607</v>
      </c>
      <c r="G180" s="70" t="s">
        <v>49</v>
      </c>
      <c r="H180" s="25" t="str">
        <f t="shared" si="29"/>
        <v>A156</v>
      </c>
      <c r="I180" s="19" t="s">
        <v>610</v>
      </c>
      <c r="J180" s="25" t="s">
        <v>606</v>
      </c>
      <c r="K180" s="21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25">
        <f t="shared" si="13"/>
        <v>180</v>
      </c>
      <c r="B181" s="25" t="str">
        <f t="shared" si="14"/>
        <v>A180</v>
      </c>
      <c r="C181" s="19" t="s">
        <v>416</v>
      </c>
      <c r="D181" s="19" t="s">
        <v>417</v>
      </c>
      <c r="E181" s="25" t="s">
        <v>21</v>
      </c>
      <c r="F181" s="25" t="s">
        <v>607</v>
      </c>
      <c r="G181" s="70" t="s">
        <v>49</v>
      </c>
      <c r="H181" s="25" t="str">
        <f t="shared" si="29"/>
        <v>A156</v>
      </c>
      <c r="I181" s="19" t="s">
        <v>610</v>
      </c>
      <c r="J181" s="25" t="s">
        <v>606</v>
      </c>
      <c r="K181" s="21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25">
        <f t="shared" si="13"/>
        <v>181</v>
      </c>
      <c r="B182" s="25" t="str">
        <f t="shared" si="14"/>
        <v>A181</v>
      </c>
      <c r="C182" s="19" t="s">
        <v>421</v>
      </c>
      <c r="D182" s="19" t="s">
        <v>422</v>
      </c>
      <c r="E182" s="25" t="s">
        <v>21</v>
      </c>
      <c r="F182" s="25" t="s">
        <v>148</v>
      </c>
      <c r="G182" s="70" t="s">
        <v>49</v>
      </c>
      <c r="H182" s="25" t="str">
        <f t="shared" si="29"/>
        <v>A156</v>
      </c>
      <c r="I182" s="19"/>
      <c r="J182" s="25" t="s">
        <v>80</v>
      </c>
      <c r="K182" s="21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25">
        <f t="shared" si="13"/>
        <v>182</v>
      </c>
      <c r="B183" s="25" t="str">
        <f t="shared" si="14"/>
        <v>A182</v>
      </c>
      <c r="C183" s="19" t="s">
        <v>424</v>
      </c>
      <c r="D183" s="19" t="s">
        <v>425</v>
      </c>
      <c r="E183" s="25" t="s">
        <v>21</v>
      </c>
      <c r="F183" s="25" t="s">
        <v>122</v>
      </c>
      <c r="G183" s="70" t="s">
        <v>49</v>
      </c>
      <c r="H183" s="25" t="str">
        <f t="shared" si="29"/>
        <v>A156</v>
      </c>
      <c r="I183" s="19"/>
      <c r="J183" s="25" t="s">
        <v>80</v>
      </c>
      <c r="K183" s="21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25">
        <f t="shared" si="13"/>
        <v>183</v>
      </c>
      <c r="B184" s="25" t="str">
        <f t="shared" si="14"/>
        <v>A183</v>
      </c>
      <c r="C184" s="19" t="s">
        <v>426</v>
      </c>
      <c r="D184" s="19" t="s">
        <v>428</v>
      </c>
      <c r="E184" s="25" t="s">
        <v>21</v>
      </c>
      <c r="F184" s="25" t="s">
        <v>122</v>
      </c>
      <c r="G184" s="70" t="s">
        <v>49</v>
      </c>
      <c r="H184" s="25" t="str">
        <f t="shared" si="29"/>
        <v>A156</v>
      </c>
      <c r="I184" s="19"/>
      <c r="J184" s="25" t="s">
        <v>80</v>
      </c>
      <c r="K184" s="21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25">
        <f t="shared" si="13"/>
        <v>184</v>
      </c>
      <c r="B185" s="25" t="str">
        <f t="shared" si="14"/>
        <v>A184</v>
      </c>
      <c r="C185" s="19" t="s">
        <v>432</v>
      </c>
      <c r="D185" s="19" t="s">
        <v>434</v>
      </c>
      <c r="E185" s="25" t="s">
        <v>21</v>
      </c>
      <c r="F185" s="25" t="s">
        <v>131</v>
      </c>
      <c r="G185" s="70" t="s">
        <v>49</v>
      </c>
      <c r="H185" s="25" t="str">
        <f t="shared" si="29"/>
        <v>A156</v>
      </c>
      <c r="I185" s="19" t="s">
        <v>435</v>
      </c>
      <c r="J185" s="25" t="s">
        <v>613</v>
      </c>
      <c r="K185" s="21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25">
        <f t="shared" si="13"/>
        <v>185</v>
      </c>
      <c r="B186" s="25" t="str">
        <f t="shared" si="14"/>
        <v>A185</v>
      </c>
      <c r="C186" s="19" t="s">
        <v>438</v>
      </c>
      <c r="D186" s="19" t="s">
        <v>439</v>
      </c>
      <c r="E186" s="25" t="s">
        <v>21</v>
      </c>
      <c r="F186" s="25" t="s">
        <v>208</v>
      </c>
      <c r="G186" s="70" t="s">
        <v>49</v>
      </c>
      <c r="H186" s="25" t="str">
        <f t="shared" si="29"/>
        <v>A156</v>
      </c>
      <c r="I186" s="19" t="s">
        <v>440</v>
      </c>
      <c r="J186" s="25" t="s">
        <v>613</v>
      </c>
      <c r="K186" s="21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25">
        <f t="shared" si="13"/>
        <v>186</v>
      </c>
      <c r="B187" s="25" t="str">
        <f t="shared" si="14"/>
        <v>A186</v>
      </c>
      <c r="C187" s="19" t="s">
        <v>619</v>
      </c>
      <c r="D187" s="19" t="s">
        <v>621</v>
      </c>
      <c r="E187" s="25" t="s">
        <v>21</v>
      </c>
      <c r="F187" s="25" t="s">
        <v>208</v>
      </c>
      <c r="G187" s="70" t="s">
        <v>49</v>
      </c>
      <c r="H187" s="25" t="str">
        <f t="shared" si="29"/>
        <v>A156</v>
      </c>
      <c r="I187" s="19" t="s">
        <v>147</v>
      </c>
      <c r="J187" s="25" t="s">
        <v>622</v>
      </c>
      <c r="K187" s="21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25">
        <f t="shared" si="13"/>
        <v>187</v>
      </c>
      <c r="B188" s="25" t="str">
        <f t="shared" si="14"/>
        <v>A187</v>
      </c>
      <c r="C188" s="19" t="s">
        <v>442</v>
      </c>
      <c r="D188" s="19" t="s">
        <v>443</v>
      </c>
      <c r="E188" s="25" t="s">
        <v>21</v>
      </c>
      <c r="F188" s="25" t="s">
        <v>208</v>
      </c>
      <c r="G188" s="70" t="s">
        <v>49</v>
      </c>
      <c r="H188" s="25" t="str">
        <f t="shared" si="29"/>
        <v>A156</v>
      </c>
      <c r="I188" s="19" t="s">
        <v>624</v>
      </c>
      <c r="J188" s="25" t="s">
        <v>613</v>
      </c>
      <c r="K188" s="21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25">
        <f t="shared" si="13"/>
        <v>188</v>
      </c>
      <c r="B189" s="25" t="str">
        <f t="shared" si="14"/>
        <v>A188</v>
      </c>
      <c r="C189" s="19" t="s">
        <v>445</v>
      </c>
      <c r="D189" s="19" t="s">
        <v>446</v>
      </c>
      <c r="E189" s="25" t="s">
        <v>21</v>
      </c>
      <c r="F189" s="25" t="s">
        <v>208</v>
      </c>
      <c r="G189" s="70" t="s">
        <v>49</v>
      </c>
      <c r="H189" s="25" t="str">
        <f t="shared" si="29"/>
        <v>A156</v>
      </c>
      <c r="I189" s="19" t="s">
        <v>147</v>
      </c>
      <c r="J189" s="25" t="s">
        <v>625</v>
      </c>
      <c r="K189" s="21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25">
        <f t="shared" si="13"/>
        <v>189</v>
      </c>
      <c r="B190" s="25" t="str">
        <f t="shared" si="14"/>
        <v>A189</v>
      </c>
      <c r="C190" s="19" t="s">
        <v>448</v>
      </c>
      <c r="D190" s="19" t="s">
        <v>449</v>
      </c>
      <c r="E190" s="25" t="s">
        <v>21</v>
      </c>
      <c r="F190" s="25" t="s">
        <v>208</v>
      </c>
      <c r="G190" s="70" t="s">
        <v>49</v>
      </c>
      <c r="H190" s="25" t="str">
        <f t="shared" si="29"/>
        <v>A156</v>
      </c>
      <c r="I190" s="19" t="s">
        <v>147</v>
      </c>
      <c r="J190" s="25" t="s">
        <v>629</v>
      </c>
      <c r="K190" s="21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25">
        <f t="shared" si="13"/>
        <v>190</v>
      </c>
      <c r="B191" s="25" t="str">
        <f t="shared" si="14"/>
        <v>A190</v>
      </c>
      <c r="C191" s="19" t="s">
        <v>632</v>
      </c>
      <c r="D191" s="19" t="s">
        <v>633</v>
      </c>
      <c r="E191" s="25" t="s">
        <v>21</v>
      </c>
      <c r="F191" s="25" t="s">
        <v>208</v>
      </c>
      <c r="G191" s="70" t="s">
        <v>49</v>
      </c>
      <c r="H191" s="25" t="str">
        <f t="shared" si="29"/>
        <v>A156</v>
      </c>
      <c r="I191" s="19" t="s">
        <v>252</v>
      </c>
      <c r="J191" s="25" t="s">
        <v>634</v>
      </c>
      <c r="K191" s="21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25">
        <f t="shared" si="13"/>
        <v>191</v>
      </c>
      <c r="B192" s="25" t="str">
        <f t="shared" si="14"/>
        <v>A191</v>
      </c>
      <c r="C192" s="19" t="s">
        <v>451</v>
      </c>
      <c r="D192" s="19" t="s">
        <v>636</v>
      </c>
      <c r="E192" s="25" t="s">
        <v>21</v>
      </c>
      <c r="F192" s="25" t="s">
        <v>208</v>
      </c>
      <c r="G192" s="70" t="s">
        <v>49</v>
      </c>
      <c r="H192" s="25" t="str">
        <f t="shared" si="29"/>
        <v>A156</v>
      </c>
      <c r="I192" s="19" t="s">
        <v>252</v>
      </c>
      <c r="J192" s="25" t="s">
        <v>634</v>
      </c>
      <c r="K192" s="21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25">
        <f t="shared" si="13"/>
        <v>192</v>
      </c>
      <c r="B193" s="25" t="str">
        <f t="shared" si="14"/>
        <v>A192</v>
      </c>
      <c r="C193" s="19" t="s">
        <v>639</v>
      </c>
      <c r="D193" s="19" t="s">
        <v>640</v>
      </c>
      <c r="E193" s="25" t="s">
        <v>21</v>
      </c>
      <c r="F193" s="25" t="s">
        <v>641</v>
      </c>
      <c r="G193" s="29" t="s">
        <v>49</v>
      </c>
      <c r="H193" s="25" t="str">
        <f t="shared" si="29"/>
        <v>A156</v>
      </c>
      <c r="I193" s="19" t="s">
        <v>643</v>
      </c>
      <c r="J193" s="25" t="s">
        <v>644</v>
      </c>
      <c r="K193" s="19" t="s">
        <v>645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0">
        <f t="shared" si="13"/>
        <v>193</v>
      </c>
      <c r="B194" s="90" t="str">
        <f t="shared" si="14"/>
        <v>A193</v>
      </c>
      <c r="C194" s="91" t="s">
        <v>648</v>
      </c>
      <c r="D194" s="91" t="s">
        <v>649</v>
      </c>
      <c r="E194" s="92" t="s">
        <v>21</v>
      </c>
      <c r="F194" s="90" t="s">
        <v>651</v>
      </c>
      <c r="G194" s="93" t="s">
        <v>49</v>
      </c>
      <c r="H194" s="90" t="str">
        <f t="shared" si="29"/>
        <v>A156</v>
      </c>
      <c r="I194" s="94" t="s">
        <v>252</v>
      </c>
      <c r="J194" s="95" t="s">
        <v>653</v>
      </c>
      <c r="K194" s="91" t="s">
        <v>654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25">
        <f t="shared" si="13"/>
        <v>194</v>
      </c>
      <c r="B195" s="25" t="str">
        <f t="shared" si="14"/>
        <v>A194</v>
      </c>
      <c r="C195" s="19" t="s">
        <v>657</v>
      </c>
      <c r="D195" s="19" t="s">
        <v>658</v>
      </c>
      <c r="E195" s="25" t="s">
        <v>21</v>
      </c>
      <c r="F195" s="25" t="s">
        <v>651</v>
      </c>
      <c r="G195" s="29" t="s">
        <v>49</v>
      </c>
      <c r="H195" s="25" t="s">
        <v>661</v>
      </c>
      <c r="I195" s="19" t="s">
        <v>252</v>
      </c>
      <c r="J195" s="25" t="s">
        <v>662</v>
      </c>
      <c r="K195" s="19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25">
        <f t="shared" si="13"/>
        <v>195</v>
      </c>
      <c r="B196" s="25" t="str">
        <f t="shared" si="14"/>
        <v>A195</v>
      </c>
      <c r="C196" s="96" t="s">
        <v>666</v>
      </c>
      <c r="D196" s="19" t="s">
        <v>667</v>
      </c>
      <c r="E196" s="25" t="s">
        <v>21</v>
      </c>
      <c r="F196" s="25" t="s">
        <v>651</v>
      </c>
      <c r="G196" s="29" t="s">
        <v>49</v>
      </c>
      <c r="H196" s="25" t="s">
        <v>661</v>
      </c>
      <c r="I196" s="19" t="s">
        <v>670</v>
      </c>
      <c r="J196" s="25" t="s">
        <v>671</v>
      </c>
      <c r="K196" s="19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25">
        <f t="shared" si="13"/>
        <v>196</v>
      </c>
      <c r="B197" s="25" t="str">
        <f t="shared" si="14"/>
        <v>A196</v>
      </c>
      <c r="C197" s="39" t="s">
        <v>672</v>
      </c>
      <c r="D197" s="39" t="s">
        <v>674</v>
      </c>
      <c r="E197" s="58" t="s">
        <v>21</v>
      </c>
      <c r="F197" s="58" t="s">
        <v>651</v>
      </c>
      <c r="G197" s="57" t="s">
        <v>49</v>
      </c>
      <c r="H197" s="58" t="s">
        <v>661</v>
      </c>
      <c r="I197" s="39"/>
      <c r="J197" s="58" t="s">
        <v>253</v>
      </c>
      <c r="K197" s="97" t="s">
        <v>676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25">
        <f t="shared" si="13"/>
        <v>197</v>
      </c>
      <c r="B198" s="25" t="str">
        <f t="shared" si="14"/>
        <v>A197</v>
      </c>
      <c r="C198" s="39" t="s">
        <v>679</v>
      </c>
      <c r="D198" s="39" t="s">
        <v>680</v>
      </c>
      <c r="E198" s="58" t="s">
        <v>21</v>
      </c>
      <c r="F198" s="98" t="s">
        <v>651</v>
      </c>
      <c r="G198" s="57" t="s">
        <v>49</v>
      </c>
      <c r="H198" s="58" t="s">
        <v>661</v>
      </c>
      <c r="I198" s="39" t="s">
        <v>252</v>
      </c>
      <c r="J198" s="58" t="s">
        <v>683</v>
      </c>
      <c r="K198" s="97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8">
        <f t="shared" si="13"/>
        <v>198</v>
      </c>
      <c r="B199" s="58" t="str">
        <f t="shared" si="14"/>
        <v>A198</v>
      </c>
      <c r="C199" s="39" t="s">
        <v>685</v>
      </c>
      <c r="D199" s="39" t="s">
        <v>686</v>
      </c>
      <c r="E199" s="58" t="s">
        <v>21</v>
      </c>
      <c r="F199" s="58" t="s">
        <v>688</v>
      </c>
      <c r="G199" s="99" t="s">
        <v>49</v>
      </c>
      <c r="H199" s="58" t="s">
        <v>661</v>
      </c>
      <c r="I199" s="39" t="s">
        <v>690</v>
      </c>
      <c r="J199" s="58" t="s">
        <v>691</v>
      </c>
      <c r="K199" s="97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</row>
    <row r="200" ht="15.75" customHeight="1">
      <c r="A200" s="58">
        <f t="shared" si="13"/>
        <v>199</v>
      </c>
      <c r="B200" s="58" t="str">
        <f t="shared" si="14"/>
        <v>A199</v>
      </c>
      <c r="C200" s="39" t="s">
        <v>694</v>
      </c>
      <c r="D200" s="39" t="s">
        <v>695</v>
      </c>
      <c r="E200" s="58" t="s">
        <v>21</v>
      </c>
      <c r="F200" s="58" t="s">
        <v>688</v>
      </c>
      <c r="G200" s="99" t="s">
        <v>49</v>
      </c>
      <c r="H200" s="58" t="s">
        <v>696</v>
      </c>
      <c r="I200" s="39" t="s">
        <v>697</v>
      </c>
      <c r="J200" s="58" t="s">
        <v>698</v>
      </c>
      <c r="K200" s="97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</row>
    <row r="201">
      <c r="A201" s="9">
        <f t="shared" si="13"/>
        <v>200</v>
      </c>
      <c r="B201" s="9" t="str">
        <f t="shared" si="14"/>
        <v>A200</v>
      </c>
      <c r="C201" s="17" t="s">
        <v>510</v>
      </c>
      <c r="D201" s="17"/>
      <c r="E201" s="9" t="s">
        <v>13</v>
      </c>
      <c r="F201" s="9" t="s">
        <v>15</v>
      </c>
      <c r="G201" s="69" t="s">
        <v>16</v>
      </c>
      <c r="H201" s="9" t="str">
        <f>$B$2</f>
        <v>A01</v>
      </c>
      <c r="I201" s="17" t="s">
        <v>701</v>
      </c>
      <c r="J201" s="9" t="s">
        <v>702</v>
      </c>
      <c r="K201" s="19" t="s">
        <v>703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9">
        <f t="shared" si="13"/>
        <v>201</v>
      </c>
      <c r="B202" s="9" t="str">
        <f t="shared" si="14"/>
        <v>A201</v>
      </c>
      <c r="C202" s="17" t="s">
        <v>511</v>
      </c>
      <c r="D202" s="17"/>
      <c r="E202" s="9" t="s">
        <v>13</v>
      </c>
      <c r="F202" s="9" t="s">
        <v>15</v>
      </c>
      <c r="G202" s="69" t="s">
        <v>27</v>
      </c>
      <c r="H202" s="9" t="str">
        <f>$B$201</f>
        <v>A200</v>
      </c>
      <c r="I202" s="54" t="s">
        <v>219</v>
      </c>
      <c r="J202" s="9" t="s">
        <v>702</v>
      </c>
      <c r="K202" s="54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ht="15.75" customHeight="1">
      <c r="A203" s="25">
        <f t="shared" si="13"/>
        <v>202</v>
      </c>
      <c r="B203" s="25" t="str">
        <f t="shared" si="14"/>
        <v>A202</v>
      </c>
      <c r="C203" s="19" t="s">
        <v>512</v>
      </c>
      <c r="D203" s="19" t="s">
        <v>513</v>
      </c>
      <c r="E203" s="25" t="s">
        <v>21</v>
      </c>
      <c r="F203" s="25" t="s">
        <v>126</v>
      </c>
      <c r="G203" s="29" t="s">
        <v>16</v>
      </c>
      <c r="H203" s="25" t="str">
        <f t="shared" ref="H203:H205" si="30">$B$202</f>
        <v>A201</v>
      </c>
      <c r="I203" s="21" t="s">
        <v>514</v>
      </c>
      <c r="J203" s="25" t="s">
        <v>702</v>
      </c>
      <c r="K203" s="21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25">
        <f t="shared" si="13"/>
        <v>203</v>
      </c>
      <c r="B204" s="25" t="str">
        <f t="shared" si="14"/>
        <v>A203</v>
      </c>
      <c r="C204" s="19" t="s">
        <v>515</v>
      </c>
      <c r="D204" s="19" t="s">
        <v>516</v>
      </c>
      <c r="E204" s="25" t="s">
        <v>21</v>
      </c>
      <c r="F204" s="25" t="s">
        <v>208</v>
      </c>
      <c r="G204" s="29" t="s">
        <v>16</v>
      </c>
      <c r="H204" s="25" t="str">
        <f t="shared" si="30"/>
        <v>A201</v>
      </c>
      <c r="I204" s="19" t="s">
        <v>517</v>
      </c>
      <c r="J204" s="25" t="s">
        <v>702</v>
      </c>
      <c r="K204" s="19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25">
        <f t="shared" si="13"/>
        <v>204</v>
      </c>
      <c r="B205" s="25" t="str">
        <f t="shared" si="14"/>
        <v>A204</v>
      </c>
      <c r="C205" s="19" t="s">
        <v>521</v>
      </c>
      <c r="D205" s="19" t="s">
        <v>522</v>
      </c>
      <c r="E205" s="25" t="s">
        <v>21</v>
      </c>
      <c r="F205" s="25" t="s">
        <v>99</v>
      </c>
      <c r="G205" s="29" t="s">
        <v>49</v>
      </c>
      <c r="H205" s="25" t="str">
        <f t="shared" si="30"/>
        <v>A201</v>
      </c>
      <c r="I205" s="19"/>
      <c r="J205" s="25" t="s">
        <v>715</v>
      </c>
      <c r="K205" s="19" t="s">
        <v>717</v>
      </c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9">
        <f t="shared" si="13"/>
        <v>205</v>
      </c>
      <c r="B206" s="9" t="str">
        <f t="shared" si="14"/>
        <v>A205</v>
      </c>
      <c r="C206" s="17" t="s">
        <v>523</v>
      </c>
      <c r="D206" s="17"/>
      <c r="E206" s="9" t="s">
        <v>13</v>
      </c>
      <c r="F206" s="9" t="s">
        <v>15</v>
      </c>
      <c r="G206" s="69" t="s">
        <v>49</v>
      </c>
      <c r="H206" s="9" t="str">
        <f>$B$2</f>
        <v>A01</v>
      </c>
      <c r="I206" s="17"/>
      <c r="J206" s="9" t="s">
        <v>245</v>
      </c>
      <c r="K206" s="19" t="s">
        <v>720</v>
      </c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>
        <f t="shared" si="13"/>
        <v>206</v>
      </c>
      <c r="B207" s="9" t="str">
        <f t="shared" si="14"/>
        <v>A206</v>
      </c>
      <c r="C207" s="17" t="s">
        <v>490</v>
      </c>
      <c r="D207" s="17"/>
      <c r="E207" s="9" t="s">
        <v>13</v>
      </c>
      <c r="F207" s="9" t="s">
        <v>15</v>
      </c>
      <c r="G207" s="20" t="s">
        <v>49</v>
      </c>
      <c r="H207" s="9" t="str">
        <f>$B$206</f>
        <v>A205</v>
      </c>
      <c r="I207" s="17"/>
      <c r="J207" s="9" t="s">
        <v>245</v>
      </c>
      <c r="K207" s="17" t="s">
        <v>721</v>
      </c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ht="15.75" customHeight="1">
      <c r="A208" s="25">
        <f t="shared" si="13"/>
        <v>207</v>
      </c>
      <c r="B208" s="25" t="str">
        <f t="shared" si="14"/>
        <v>A207</v>
      </c>
      <c r="C208" s="19" t="s">
        <v>608</v>
      </c>
      <c r="D208" s="19" t="s">
        <v>609</v>
      </c>
      <c r="E208" s="25" t="s">
        <v>21</v>
      </c>
      <c r="F208" s="25" t="s">
        <v>131</v>
      </c>
      <c r="G208" s="29" t="s">
        <v>49</v>
      </c>
      <c r="H208" s="25" t="str">
        <f t="shared" ref="H208:H212" si="31">$B$207</f>
        <v>A206</v>
      </c>
      <c r="I208" s="19" t="s">
        <v>528</v>
      </c>
      <c r="J208" s="25" t="s">
        <v>245</v>
      </c>
      <c r="K208" s="19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2.75" customHeight="1">
      <c r="A209" s="25">
        <f t="shared" si="13"/>
        <v>208</v>
      </c>
      <c r="B209" s="25" t="str">
        <f t="shared" si="14"/>
        <v>A208</v>
      </c>
      <c r="C209" s="19" t="s">
        <v>549</v>
      </c>
      <c r="D209" s="19" t="s">
        <v>550</v>
      </c>
      <c r="E209" s="25" t="s">
        <v>21</v>
      </c>
      <c r="F209" s="25" t="s">
        <v>208</v>
      </c>
      <c r="G209" s="29" t="s">
        <v>49</v>
      </c>
      <c r="H209" s="25" t="str">
        <f t="shared" si="31"/>
        <v>A206</v>
      </c>
      <c r="I209" s="19" t="s">
        <v>147</v>
      </c>
      <c r="J209" s="25" t="s">
        <v>245</v>
      </c>
      <c r="K209" s="19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25">
        <f t="shared" si="13"/>
        <v>209</v>
      </c>
      <c r="B210" s="25" t="str">
        <f t="shared" si="14"/>
        <v>A209</v>
      </c>
      <c r="C210" s="19" t="s">
        <v>545</v>
      </c>
      <c r="D210" s="19" t="s">
        <v>546</v>
      </c>
      <c r="E210" s="25" t="s">
        <v>21</v>
      </c>
      <c r="F210" s="25" t="s">
        <v>208</v>
      </c>
      <c r="G210" s="29" t="s">
        <v>49</v>
      </c>
      <c r="H210" s="25" t="str">
        <f t="shared" si="31"/>
        <v>A206</v>
      </c>
      <c r="I210" s="19" t="s">
        <v>547</v>
      </c>
      <c r="J210" s="25" t="s">
        <v>245</v>
      </c>
      <c r="K210" s="19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25">
        <f t="shared" si="13"/>
        <v>210</v>
      </c>
      <c r="B211" s="25" t="str">
        <f t="shared" si="14"/>
        <v>A210</v>
      </c>
      <c r="C211" s="19" t="s">
        <v>570</v>
      </c>
      <c r="D211" s="19" t="s">
        <v>571</v>
      </c>
      <c r="E211" s="25" t="s">
        <v>21</v>
      </c>
      <c r="F211" s="25" t="s">
        <v>99</v>
      </c>
      <c r="G211" s="29" t="s">
        <v>49</v>
      </c>
      <c r="H211" s="25" t="str">
        <f t="shared" si="31"/>
        <v>A206</v>
      </c>
      <c r="I211" s="19"/>
      <c r="J211" s="25" t="s">
        <v>471</v>
      </c>
      <c r="K211" s="19" t="s">
        <v>722</v>
      </c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ht="15.75" customHeight="1">
      <c r="A212" s="58">
        <f t="shared" si="13"/>
        <v>211</v>
      </c>
      <c r="B212" s="58" t="str">
        <f t="shared" si="14"/>
        <v>A211</v>
      </c>
      <c r="C212" s="39" t="s">
        <v>723</v>
      </c>
      <c r="D212" s="39" t="s">
        <v>724</v>
      </c>
      <c r="E212" s="58" t="s">
        <v>21</v>
      </c>
      <c r="F212" s="58" t="s">
        <v>208</v>
      </c>
      <c r="G212" s="99" t="s">
        <v>49</v>
      </c>
      <c r="H212" s="58" t="str">
        <f t="shared" si="31"/>
        <v>A206</v>
      </c>
      <c r="I212" s="39" t="s">
        <v>725</v>
      </c>
      <c r="J212" s="58" t="s">
        <v>726</v>
      </c>
      <c r="K212" s="39"/>
      <c r="L212" s="101"/>
      <c r="M212" s="101"/>
      <c r="N212" s="101"/>
      <c r="O212" s="101"/>
      <c r="P212" s="101"/>
      <c r="Q212" s="101"/>
      <c r="R212" s="101"/>
      <c r="S212" s="101"/>
      <c r="T212" s="101"/>
      <c r="U212" s="101"/>
      <c r="V212" s="101"/>
      <c r="W212" s="101"/>
      <c r="X212" s="101"/>
      <c r="Y212" s="101"/>
      <c r="Z212" s="101"/>
    </row>
    <row r="213" ht="15.75" customHeight="1">
      <c r="A213" s="9">
        <f t="shared" si="13"/>
        <v>212</v>
      </c>
      <c r="B213" s="9" t="str">
        <f t="shared" si="14"/>
        <v>A212</v>
      </c>
      <c r="C213" s="17" t="s">
        <v>198</v>
      </c>
      <c r="D213" s="17"/>
      <c r="E213" s="9" t="s">
        <v>13</v>
      </c>
      <c r="F213" s="9" t="s">
        <v>15</v>
      </c>
      <c r="G213" s="20" t="s">
        <v>49</v>
      </c>
      <c r="H213" s="9" t="str">
        <f>$B$206</f>
        <v>A205</v>
      </c>
      <c r="I213" s="17"/>
      <c r="J213" s="9" t="s">
        <v>245</v>
      </c>
      <c r="K213" s="17" t="s">
        <v>727</v>
      </c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ht="15.75" customHeight="1">
      <c r="A214" s="25">
        <f t="shared" si="13"/>
        <v>213</v>
      </c>
      <c r="B214" s="25" t="str">
        <f t="shared" si="14"/>
        <v>A213</v>
      </c>
      <c r="C214" s="19" t="s">
        <v>526</v>
      </c>
      <c r="D214" s="19" t="s">
        <v>527</v>
      </c>
      <c r="E214" s="25" t="s">
        <v>21</v>
      </c>
      <c r="F214" s="25" t="s">
        <v>131</v>
      </c>
      <c r="G214" s="29" t="s">
        <v>49</v>
      </c>
      <c r="H214" s="25" t="str">
        <f t="shared" ref="H214:H252" si="32">$B$213</f>
        <v>A212</v>
      </c>
      <c r="I214" s="19" t="s">
        <v>528</v>
      </c>
      <c r="J214" s="25" t="s">
        <v>245</v>
      </c>
      <c r="K214" s="19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25">
        <f t="shared" si="13"/>
        <v>214</v>
      </c>
      <c r="B215" s="25" t="str">
        <f t="shared" si="14"/>
        <v>A214</v>
      </c>
      <c r="C215" s="19" t="s">
        <v>534</v>
      </c>
      <c r="D215" s="19" t="s">
        <v>535</v>
      </c>
      <c r="E215" s="25" t="s">
        <v>21</v>
      </c>
      <c r="F215" s="25" t="s">
        <v>208</v>
      </c>
      <c r="G215" s="29" t="s">
        <v>49</v>
      </c>
      <c r="H215" s="25" t="str">
        <f t="shared" si="32"/>
        <v>A212</v>
      </c>
      <c r="I215" s="19" t="s">
        <v>147</v>
      </c>
      <c r="J215" s="25" t="s">
        <v>245</v>
      </c>
      <c r="K215" s="19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25">
        <f t="shared" si="13"/>
        <v>215</v>
      </c>
      <c r="B216" s="25" t="str">
        <f t="shared" si="14"/>
        <v>A215</v>
      </c>
      <c r="C216" s="19" t="s">
        <v>538</v>
      </c>
      <c r="D216" s="19" t="s">
        <v>539</v>
      </c>
      <c r="E216" s="25" t="s">
        <v>21</v>
      </c>
      <c r="F216" s="25" t="s">
        <v>208</v>
      </c>
      <c r="G216" s="29" t="s">
        <v>49</v>
      </c>
      <c r="H216" s="25" t="str">
        <f t="shared" si="32"/>
        <v>A212</v>
      </c>
      <c r="I216" s="19" t="s">
        <v>154</v>
      </c>
      <c r="J216" s="25" t="s">
        <v>245</v>
      </c>
      <c r="K216" s="19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25">
        <f t="shared" si="13"/>
        <v>216</v>
      </c>
      <c r="B217" s="25" t="str">
        <f t="shared" si="14"/>
        <v>A216</v>
      </c>
      <c r="C217" s="19" t="s">
        <v>570</v>
      </c>
      <c r="D217" s="19" t="s">
        <v>571</v>
      </c>
      <c r="E217" s="25" t="s">
        <v>21</v>
      </c>
      <c r="F217" s="25" t="s">
        <v>99</v>
      </c>
      <c r="G217" s="29" t="s">
        <v>49</v>
      </c>
      <c r="H217" s="25" t="str">
        <f t="shared" si="32"/>
        <v>A212</v>
      </c>
      <c r="I217" s="19"/>
      <c r="J217" s="25" t="s">
        <v>471</v>
      </c>
      <c r="K217" s="19" t="s">
        <v>728</v>
      </c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ht="15.75" customHeight="1">
      <c r="A218" s="25">
        <f t="shared" si="13"/>
        <v>217</v>
      </c>
      <c r="B218" s="25" t="str">
        <f t="shared" si="14"/>
        <v>A217</v>
      </c>
      <c r="C218" s="19" t="s">
        <v>543</v>
      </c>
      <c r="D218" s="19" t="s">
        <v>544</v>
      </c>
      <c r="E218" s="25" t="s">
        <v>21</v>
      </c>
      <c r="F218" s="25" t="s">
        <v>208</v>
      </c>
      <c r="G218" s="29" t="s">
        <v>49</v>
      </c>
      <c r="H218" s="25" t="str">
        <f t="shared" si="32"/>
        <v>A212</v>
      </c>
      <c r="I218" s="19" t="s">
        <v>147</v>
      </c>
      <c r="J218" s="25" t="s">
        <v>245</v>
      </c>
      <c r="K218" s="19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25">
        <f t="shared" si="13"/>
        <v>218</v>
      </c>
      <c r="B219" s="25" t="str">
        <f t="shared" si="14"/>
        <v>A218</v>
      </c>
      <c r="C219" s="19" t="s">
        <v>545</v>
      </c>
      <c r="D219" s="19" t="s">
        <v>546</v>
      </c>
      <c r="E219" s="25" t="s">
        <v>21</v>
      </c>
      <c r="F219" s="25" t="s">
        <v>208</v>
      </c>
      <c r="G219" s="29" t="s">
        <v>49</v>
      </c>
      <c r="H219" s="25" t="str">
        <f t="shared" si="32"/>
        <v>A212</v>
      </c>
      <c r="I219" s="19" t="s">
        <v>729</v>
      </c>
      <c r="J219" s="25" t="s">
        <v>730</v>
      </c>
      <c r="K219" s="19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25">
        <f t="shared" si="13"/>
        <v>219</v>
      </c>
      <c r="B220" s="25" t="str">
        <f t="shared" si="14"/>
        <v>A219</v>
      </c>
      <c r="C220" s="19" t="s">
        <v>549</v>
      </c>
      <c r="D220" s="19" t="s">
        <v>550</v>
      </c>
      <c r="E220" s="25" t="s">
        <v>21</v>
      </c>
      <c r="F220" s="25" t="s">
        <v>208</v>
      </c>
      <c r="G220" s="29" t="s">
        <v>49</v>
      </c>
      <c r="H220" s="25" t="str">
        <f t="shared" si="32"/>
        <v>A212</v>
      </c>
      <c r="I220" s="19" t="s">
        <v>147</v>
      </c>
      <c r="J220" s="25" t="s">
        <v>245</v>
      </c>
      <c r="K220" s="19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25">
        <f t="shared" si="13"/>
        <v>220</v>
      </c>
      <c r="B221" s="25" t="str">
        <f t="shared" si="14"/>
        <v>A220</v>
      </c>
      <c r="C221" s="19" t="s">
        <v>552</v>
      </c>
      <c r="D221" s="19" t="s">
        <v>553</v>
      </c>
      <c r="E221" s="25" t="s">
        <v>21</v>
      </c>
      <c r="F221" s="25" t="s">
        <v>131</v>
      </c>
      <c r="G221" s="29" t="s">
        <v>49</v>
      </c>
      <c r="H221" s="25" t="str">
        <f t="shared" si="32"/>
        <v>A212</v>
      </c>
      <c r="I221" s="19" t="s">
        <v>731</v>
      </c>
      <c r="J221" s="25" t="s">
        <v>730</v>
      </c>
      <c r="K221" s="17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ht="15.75" customHeight="1">
      <c r="A222" s="25">
        <f t="shared" si="13"/>
        <v>221</v>
      </c>
      <c r="B222" s="25" t="str">
        <f t="shared" si="14"/>
        <v>A221</v>
      </c>
      <c r="C222" s="19" t="s">
        <v>555</v>
      </c>
      <c r="D222" s="19" t="s">
        <v>556</v>
      </c>
      <c r="E222" s="25" t="s">
        <v>21</v>
      </c>
      <c r="F222" s="25" t="s">
        <v>208</v>
      </c>
      <c r="G222" s="29" t="s">
        <v>49</v>
      </c>
      <c r="H222" s="25" t="str">
        <f t="shared" si="32"/>
        <v>A212</v>
      </c>
      <c r="I222" s="19" t="s">
        <v>147</v>
      </c>
      <c r="J222" s="25" t="s">
        <v>606</v>
      </c>
      <c r="K222" s="17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ht="15.75" customHeight="1">
      <c r="A223" s="25">
        <f t="shared" si="13"/>
        <v>222</v>
      </c>
      <c r="B223" s="25" t="str">
        <f t="shared" si="14"/>
        <v>A222</v>
      </c>
      <c r="C223" s="19" t="s">
        <v>557</v>
      </c>
      <c r="D223" s="19" t="s">
        <v>558</v>
      </c>
      <c r="E223" s="25" t="s">
        <v>21</v>
      </c>
      <c r="F223" s="25" t="s">
        <v>208</v>
      </c>
      <c r="G223" s="29" t="s">
        <v>49</v>
      </c>
      <c r="H223" s="25" t="str">
        <f t="shared" si="32"/>
        <v>A212</v>
      </c>
      <c r="I223" s="19" t="s">
        <v>732</v>
      </c>
      <c r="J223" s="25" t="s">
        <v>730</v>
      </c>
      <c r="K223" s="17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ht="15.75" customHeight="1">
      <c r="A224" s="25">
        <f t="shared" si="13"/>
        <v>223</v>
      </c>
      <c r="B224" s="25" t="str">
        <f t="shared" si="14"/>
        <v>A223</v>
      </c>
      <c r="C224" s="19" t="s">
        <v>560</v>
      </c>
      <c r="D224" s="19" t="s">
        <v>561</v>
      </c>
      <c r="E224" s="25" t="s">
        <v>21</v>
      </c>
      <c r="F224" s="25" t="s">
        <v>208</v>
      </c>
      <c r="G224" s="29" t="s">
        <v>49</v>
      </c>
      <c r="H224" s="25" t="str">
        <f t="shared" si="32"/>
        <v>A212</v>
      </c>
      <c r="I224" s="19" t="s">
        <v>147</v>
      </c>
      <c r="J224" s="25" t="s">
        <v>606</v>
      </c>
      <c r="K224" s="19" t="s">
        <v>733</v>
      </c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ht="15.75" customHeight="1">
      <c r="A225" s="25">
        <f t="shared" si="13"/>
        <v>224</v>
      </c>
      <c r="B225" s="25" t="str">
        <f t="shared" si="14"/>
        <v>A224</v>
      </c>
      <c r="C225" s="19" t="s">
        <v>563</v>
      </c>
      <c r="D225" s="19" t="s">
        <v>564</v>
      </c>
      <c r="E225" s="25" t="s">
        <v>21</v>
      </c>
      <c r="F225" s="25" t="s">
        <v>208</v>
      </c>
      <c r="G225" s="29" t="s">
        <v>49</v>
      </c>
      <c r="H225" s="25" t="str">
        <f t="shared" si="32"/>
        <v>A212</v>
      </c>
      <c r="I225" s="19" t="s">
        <v>147</v>
      </c>
      <c r="J225" s="25" t="s">
        <v>606</v>
      </c>
      <c r="K225" s="17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ht="15.75" customHeight="1">
      <c r="A226" s="25">
        <f t="shared" si="13"/>
        <v>225</v>
      </c>
      <c r="B226" s="25" t="str">
        <f t="shared" si="14"/>
        <v>A225</v>
      </c>
      <c r="C226" s="19" t="s">
        <v>565</v>
      </c>
      <c r="D226" s="19" t="s">
        <v>566</v>
      </c>
      <c r="E226" s="25" t="s">
        <v>21</v>
      </c>
      <c r="F226" s="25" t="s">
        <v>208</v>
      </c>
      <c r="G226" s="29" t="s">
        <v>49</v>
      </c>
      <c r="H226" s="25" t="str">
        <f t="shared" si="32"/>
        <v>A212</v>
      </c>
      <c r="I226" s="19" t="s">
        <v>147</v>
      </c>
      <c r="J226" s="25" t="s">
        <v>606</v>
      </c>
      <c r="K226" s="17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ht="12.75" customHeight="1">
      <c r="A227" s="25">
        <f t="shared" si="13"/>
        <v>226</v>
      </c>
      <c r="B227" s="25" t="str">
        <f t="shared" si="14"/>
        <v>A226</v>
      </c>
      <c r="C227" s="19" t="s">
        <v>568</v>
      </c>
      <c r="D227" s="19" t="s">
        <v>569</v>
      </c>
      <c r="E227" s="25" t="s">
        <v>21</v>
      </c>
      <c r="F227" s="25" t="s">
        <v>734</v>
      </c>
      <c r="G227" s="29" t="s">
        <v>49</v>
      </c>
      <c r="H227" s="25" t="str">
        <f t="shared" si="32"/>
        <v>A212</v>
      </c>
      <c r="I227" s="19"/>
      <c r="J227" s="25" t="s">
        <v>606</v>
      </c>
      <c r="K227" s="17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ht="15.75" customHeight="1">
      <c r="A228" s="25">
        <f t="shared" si="13"/>
        <v>227</v>
      </c>
      <c r="B228" s="25" t="str">
        <f t="shared" si="14"/>
        <v>A227</v>
      </c>
      <c r="C228" s="19" t="s">
        <v>573</v>
      </c>
      <c r="D228" s="19" t="s">
        <v>574</v>
      </c>
      <c r="E228" s="25" t="s">
        <v>21</v>
      </c>
      <c r="F228" s="25" t="s">
        <v>208</v>
      </c>
      <c r="G228" s="29" t="s">
        <v>49</v>
      </c>
      <c r="H228" s="25" t="str">
        <f t="shared" si="32"/>
        <v>A212</v>
      </c>
      <c r="I228" s="19" t="s">
        <v>575</v>
      </c>
      <c r="J228" s="25" t="s">
        <v>471</v>
      </c>
      <c r="K228" s="17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ht="15.75" customHeight="1">
      <c r="A229" s="25">
        <f t="shared" si="13"/>
        <v>228</v>
      </c>
      <c r="B229" s="25" t="str">
        <f t="shared" si="14"/>
        <v>A228</v>
      </c>
      <c r="C229" s="19" t="s">
        <v>577</v>
      </c>
      <c r="D229" s="19" t="s">
        <v>578</v>
      </c>
      <c r="E229" s="25" t="s">
        <v>21</v>
      </c>
      <c r="F229" s="25" t="s">
        <v>131</v>
      </c>
      <c r="G229" s="29" t="s">
        <v>49</v>
      </c>
      <c r="H229" s="25" t="str">
        <f t="shared" si="32"/>
        <v>A212</v>
      </c>
      <c r="I229" s="19" t="s">
        <v>531</v>
      </c>
      <c r="J229" s="25" t="s">
        <v>730</v>
      </c>
      <c r="K229" s="17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ht="15.75" customHeight="1">
      <c r="A230" s="25">
        <f t="shared" si="13"/>
        <v>229</v>
      </c>
      <c r="B230" s="25" t="str">
        <f t="shared" si="14"/>
        <v>A229</v>
      </c>
      <c r="C230" s="19" t="s">
        <v>580</v>
      </c>
      <c r="D230" s="19" t="s">
        <v>581</v>
      </c>
      <c r="E230" s="25" t="s">
        <v>21</v>
      </c>
      <c r="F230" s="25" t="s">
        <v>208</v>
      </c>
      <c r="G230" s="29" t="s">
        <v>49</v>
      </c>
      <c r="H230" s="25" t="str">
        <f t="shared" si="32"/>
        <v>A212</v>
      </c>
      <c r="I230" s="19" t="s">
        <v>147</v>
      </c>
      <c r="J230" s="25" t="s">
        <v>471</v>
      </c>
      <c r="K230" s="19" t="s">
        <v>735</v>
      </c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ht="15.75" customHeight="1">
      <c r="A231" s="25">
        <f t="shared" si="13"/>
        <v>230</v>
      </c>
      <c r="B231" s="25" t="str">
        <f t="shared" si="14"/>
        <v>A230</v>
      </c>
      <c r="C231" s="19" t="s">
        <v>582</v>
      </c>
      <c r="D231" s="19" t="s">
        <v>583</v>
      </c>
      <c r="E231" s="25" t="s">
        <v>21</v>
      </c>
      <c r="F231" s="25" t="s">
        <v>131</v>
      </c>
      <c r="G231" s="29" t="s">
        <v>49</v>
      </c>
      <c r="H231" s="25" t="str">
        <f t="shared" si="32"/>
        <v>A212</v>
      </c>
      <c r="I231" s="19" t="s">
        <v>736</v>
      </c>
      <c r="J231" s="25" t="s">
        <v>737</v>
      </c>
      <c r="K231" s="17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ht="15.75" customHeight="1">
      <c r="A232" s="25">
        <f t="shared" si="13"/>
        <v>231</v>
      </c>
      <c r="B232" s="25" t="str">
        <f t="shared" si="14"/>
        <v>A231</v>
      </c>
      <c r="C232" s="19" t="s">
        <v>585</v>
      </c>
      <c r="D232" s="19" t="s">
        <v>586</v>
      </c>
      <c r="E232" s="25" t="s">
        <v>21</v>
      </c>
      <c r="F232" s="25" t="s">
        <v>208</v>
      </c>
      <c r="G232" s="29" t="s">
        <v>49</v>
      </c>
      <c r="H232" s="25" t="str">
        <f t="shared" si="32"/>
        <v>A212</v>
      </c>
      <c r="I232" s="19" t="s">
        <v>147</v>
      </c>
      <c r="J232" s="25" t="s">
        <v>471</v>
      </c>
      <c r="K232" s="17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ht="15.75" customHeight="1">
      <c r="A233" s="25">
        <f t="shared" si="13"/>
        <v>232</v>
      </c>
      <c r="B233" s="25" t="str">
        <f t="shared" si="14"/>
        <v>A232</v>
      </c>
      <c r="C233" s="19" t="s">
        <v>588</v>
      </c>
      <c r="D233" s="19" t="s">
        <v>589</v>
      </c>
      <c r="E233" s="25" t="s">
        <v>21</v>
      </c>
      <c r="F233" s="25" t="s">
        <v>208</v>
      </c>
      <c r="G233" s="29" t="s">
        <v>49</v>
      </c>
      <c r="H233" s="25" t="str">
        <f t="shared" si="32"/>
        <v>A212</v>
      </c>
      <c r="I233" s="19" t="s">
        <v>147</v>
      </c>
      <c r="J233" s="25" t="s">
        <v>738</v>
      </c>
      <c r="K233" s="17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ht="15.75" customHeight="1">
      <c r="A234" s="25">
        <f t="shared" si="13"/>
        <v>233</v>
      </c>
      <c r="B234" s="25" t="str">
        <f t="shared" si="14"/>
        <v>A233</v>
      </c>
      <c r="C234" s="19" t="s">
        <v>739</v>
      </c>
      <c r="D234" s="19" t="s">
        <v>740</v>
      </c>
      <c r="E234" s="25" t="s">
        <v>21</v>
      </c>
      <c r="F234" s="25" t="s">
        <v>131</v>
      </c>
      <c r="G234" s="29" t="s">
        <v>49</v>
      </c>
      <c r="H234" s="25" t="str">
        <f t="shared" si="32"/>
        <v>A212</v>
      </c>
      <c r="I234" s="19" t="s">
        <v>531</v>
      </c>
      <c r="J234" s="25" t="s">
        <v>730</v>
      </c>
      <c r="K234" s="17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ht="15.75" customHeight="1">
      <c r="A235" s="25">
        <f t="shared" si="13"/>
        <v>234</v>
      </c>
      <c r="B235" s="25" t="str">
        <f t="shared" si="14"/>
        <v>A234</v>
      </c>
      <c r="C235" s="19" t="s">
        <v>741</v>
      </c>
      <c r="D235" s="19" t="s">
        <v>742</v>
      </c>
      <c r="E235" s="25" t="s">
        <v>21</v>
      </c>
      <c r="F235" s="25" t="s">
        <v>131</v>
      </c>
      <c r="G235" s="29" t="s">
        <v>49</v>
      </c>
      <c r="H235" s="25" t="str">
        <f t="shared" si="32"/>
        <v>A212</v>
      </c>
      <c r="I235" s="19" t="s">
        <v>531</v>
      </c>
      <c r="J235" s="25" t="s">
        <v>730</v>
      </c>
      <c r="K235" s="17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ht="15.75" customHeight="1">
      <c r="A236" s="25">
        <f t="shared" si="13"/>
        <v>235</v>
      </c>
      <c r="B236" s="25" t="str">
        <f t="shared" si="14"/>
        <v>A235</v>
      </c>
      <c r="C236" s="19" t="s">
        <v>743</v>
      </c>
      <c r="D236" s="19" t="s">
        <v>744</v>
      </c>
      <c r="E236" s="25" t="s">
        <v>21</v>
      </c>
      <c r="F236" s="25" t="s">
        <v>131</v>
      </c>
      <c r="G236" s="29" t="s">
        <v>49</v>
      </c>
      <c r="H236" s="25" t="str">
        <f t="shared" si="32"/>
        <v>A212</v>
      </c>
      <c r="I236" s="19" t="s">
        <v>745</v>
      </c>
      <c r="J236" s="25" t="s">
        <v>730</v>
      </c>
      <c r="K236" s="17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ht="15.75" customHeight="1">
      <c r="A237" s="25">
        <f t="shared" si="13"/>
        <v>236</v>
      </c>
      <c r="B237" s="25" t="str">
        <f t="shared" si="14"/>
        <v>A236</v>
      </c>
      <c r="C237" s="19" t="s">
        <v>746</v>
      </c>
      <c r="D237" s="19" t="s">
        <v>747</v>
      </c>
      <c r="E237" s="25" t="s">
        <v>21</v>
      </c>
      <c r="F237" s="25" t="s">
        <v>208</v>
      </c>
      <c r="G237" s="29" t="s">
        <v>49</v>
      </c>
      <c r="H237" s="25" t="str">
        <f t="shared" si="32"/>
        <v>A212</v>
      </c>
      <c r="I237" s="19" t="s">
        <v>147</v>
      </c>
      <c r="J237" s="25" t="s">
        <v>730</v>
      </c>
      <c r="K237" s="17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ht="15.75" customHeight="1">
      <c r="A238" s="25">
        <f t="shared" si="13"/>
        <v>237</v>
      </c>
      <c r="B238" s="25" t="str">
        <f t="shared" si="14"/>
        <v>A237</v>
      </c>
      <c r="C238" s="19" t="s">
        <v>748</v>
      </c>
      <c r="D238" s="19" t="s">
        <v>749</v>
      </c>
      <c r="E238" s="25" t="s">
        <v>21</v>
      </c>
      <c r="F238" s="25" t="s">
        <v>208</v>
      </c>
      <c r="G238" s="29" t="s">
        <v>49</v>
      </c>
      <c r="H238" s="25" t="str">
        <f t="shared" si="32"/>
        <v>A212</v>
      </c>
      <c r="I238" s="19" t="s">
        <v>147</v>
      </c>
      <c r="J238" s="25" t="s">
        <v>730</v>
      </c>
      <c r="K238" s="17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ht="15.75" customHeight="1">
      <c r="A239" s="25">
        <f t="shared" si="13"/>
        <v>238</v>
      </c>
      <c r="B239" s="25" t="str">
        <f t="shared" si="14"/>
        <v>A238</v>
      </c>
      <c r="C239" s="19" t="s">
        <v>750</v>
      </c>
      <c r="D239" s="19" t="s">
        <v>751</v>
      </c>
      <c r="E239" s="25" t="s">
        <v>21</v>
      </c>
      <c r="F239" s="25" t="s">
        <v>208</v>
      </c>
      <c r="G239" s="29" t="s">
        <v>49</v>
      </c>
      <c r="H239" s="25" t="str">
        <f t="shared" si="32"/>
        <v>A212</v>
      </c>
      <c r="I239" s="19" t="s">
        <v>147</v>
      </c>
      <c r="J239" s="25" t="s">
        <v>730</v>
      </c>
      <c r="K239" s="17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ht="15.75" customHeight="1">
      <c r="A240" s="25">
        <f t="shared" si="13"/>
        <v>239</v>
      </c>
      <c r="B240" s="25" t="str">
        <f t="shared" si="14"/>
        <v>A239</v>
      </c>
      <c r="C240" s="19" t="s">
        <v>752</v>
      </c>
      <c r="D240" s="19" t="s">
        <v>753</v>
      </c>
      <c r="E240" s="25" t="s">
        <v>21</v>
      </c>
      <c r="F240" s="25" t="s">
        <v>208</v>
      </c>
      <c r="G240" s="29" t="s">
        <v>49</v>
      </c>
      <c r="H240" s="25" t="str">
        <f t="shared" si="32"/>
        <v>A212</v>
      </c>
      <c r="I240" s="19" t="s">
        <v>147</v>
      </c>
      <c r="J240" s="25" t="s">
        <v>730</v>
      </c>
      <c r="K240" s="17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ht="15.75" customHeight="1">
      <c r="A241" s="25">
        <f t="shared" si="13"/>
        <v>240</v>
      </c>
      <c r="B241" s="25" t="str">
        <f t="shared" si="14"/>
        <v>A240</v>
      </c>
      <c r="C241" s="19" t="s">
        <v>754</v>
      </c>
      <c r="D241" s="19" t="s">
        <v>755</v>
      </c>
      <c r="E241" s="25" t="s">
        <v>21</v>
      </c>
      <c r="F241" s="25" t="s">
        <v>208</v>
      </c>
      <c r="G241" s="29" t="s">
        <v>49</v>
      </c>
      <c r="H241" s="25" t="str">
        <f t="shared" si="32"/>
        <v>A212</v>
      </c>
      <c r="I241" s="19" t="s">
        <v>147</v>
      </c>
      <c r="J241" s="25" t="s">
        <v>730</v>
      </c>
      <c r="K241" s="17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ht="15.75" customHeight="1">
      <c r="A242" s="25">
        <f t="shared" si="13"/>
        <v>241</v>
      </c>
      <c r="B242" s="25" t="str">
        <f t="shared" si="14"/>
        <v>A241</v>
      </c>
      <c r="C242" s="19" t="s">
        <v>756</v>
      </c>
      <c r="D242" s="19" t="s">
        <v>757</v>
      </c>
      <c r="E242" s="25" t="s">
        <v>21</v>
      </c>
      <c r="F242" s="25" t="s">
        <v>208</v>
      </c>
      <c r="G242" s="29" t="s">
        <v>49</v>
      </c>
      <c r="H242" s="25" t="str">
        <f t="shared" si="32"/>
        <v>A212</v>
      </c>
      <c r="I242" s="19" t="s">
        <v>147</v>
      </c>
      <c r="J242" s="25" t="s">
        <v>730</v>
      </c>
      <c r="K242" s="17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ht="15.75" customHeight="1">
      <c r="A243" s="25">
        <f t="shared" si="13"/>
        <v>242</v>
      </c>
      <c r="B243" s="25" t="str">
        <f t="shared" si="14"/>
        <v>A242</v>
      </c>
      <c r="C243" s="19" t="s">
        <v>758</v>
      </c>
      <c r="D243" s="19" t="s">
        <v>759</v>
      </c>
      <c r="E243" s="25" t="s">
        <v>21</v>
      </c>
      <c r="F243" s="25" t="s">
        <v>208</v>
      </c>
      <c r="G243" s="29" t="s">
        <v>49</v>
      </c>
      <c r="H243" s="25" t="str">
        <f t="shared" si="32"/>
        <v>A212</v>
      </c>
      <c r="I243" s="19" t="s">
        <v>147</v>
      </c>
      <c r="J243" s="25" t="s">
        <v>730</v>
      </c>
      <c r="K243" s="17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ht="14.25" customHeight="1">
      <c r="A244" s="25">
        <f t="shared" si="13"/>
        <v>243</v>
      </c>
      <c r="B244" s="25" t="str">
        <f t="shared" si="14"/>
        <v>A243</v>
      </c>
      <c r="C244" s="19" t="s">
        <v>760</v>
      </c>
      <c r="D244" s="19" t="s">
        <v>761</v>
      </c>
      <c r="E244" s="25" t="s">
        <v>21</v>
      </c>
      <c r="F244" s="25" t="s">
        <v>208</v>
      </c>
      <c r="G244" s="29" t="s">
        <v>49</v>
      </c>
      <c r="H244" s="25" t="str">
        <f t="shared" si="32"/>
        <v>A212</v>
      </c>
      <c r="I244" s="19" t="s">
        <v>147</v>
      </c>
      <c r="J244" s="25" t="s">
        <v>730</v>
      </c>
      <c r="K244" s="17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ht="15.75" customHeight="1">
      <c r="A245" s="25">
        <f t="shared" si="13"/>
        <v>244</v>
      </c>
      <c r="B245" s="25" t="str">
        <f t="shared" si="14"/>
        <v>A244</v>
      </c>
      <c r="C245" s="19" t="s">
        <v>762</v>
      </c>
      <c r="D245" s="19" t="s">
        <v>763</v>
      </c>
      <c r="E245" s="25" t="s">
        <v>21</v>
      </c>
      <c r="F245" s="25" t="s">
        <v>208</v>
      </c>
      <c r="G245" s="29" t="s">
        <v>49</v>
      </c>
      <c r="H245" s="25" t="str">
        <f t="shared" si="32"/>
        <v>A212</v>
      </c>
      <c r="I245" s="19" t="s">
        <v>147</v>
      </c>
      <c r="J245" s="25" t="s">
        <v>730</v>
      </c>
      <c r="K245" s="17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ht="15.75" customHeight="1">
      <c r="A246" s="25">
        <f t="shared" si="13"/>
        <v>245</v>
      </c>
      <c r="B246" s="25" t="str">
        <f t="shared" si="14"/>
        <v>A245</v>
      </c>
      <c r="C246" s="19" t="s">
        <v>764</v>
      </c>
      <c r="D246" s="19" t="s">
        <v>765</v>
      </c>
      <c r="E246" s="25" t="s">
        <v>21</v>
      </c>
      <c r="F246" s="25" t="s">
        <v>208</v>
      </c>
      <c r="G246" s="29" t="s">
        <v>49</v>
      </c>
      <c r="H246" s="25" t="str">
        <f t="shared" si="32"/>
        <v>A212</v>
      </c>
      <c r="I246" s="19" t="s">
        <v>147</v>
      </c>
      <c r="J246" s="25" t="s">
        <v>730</v>
      </c>
      <c r="K246" s="17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ht="15.75" customHeight="1">
      <c r="A247" s="25">
        <f t="shared" si="13"/>
        <v>246</v>
      </c>
      <c r="B247" s="25" t="str">
        <f t="shared" si="14"/>
        <v>A246</v>
      </c>
      <c r="C247" s="19" t="s">
        <v>766</v>
      </c>
      <c r="D247" s="19" t="s">
        <v>767</v>
      </c>
      <c r="E247" s="25" t="s">
        <v>21</v>
      </c>
      <c r="F247" s="25" t="s">
        <v>208</v>
      </c>
      <c r="G247" s="29" t="s">
        <v>49</v>
      </c>
      <c r="H247" s="25" t="str">
        <f t="shared" si="32"/>
        <v>A212</v>
      </c>
      <c r="I247" s="19" t="s">
        <v>147</v>
      </c>
      <c r="J247" s="25" t="s">
        <v>730</v>
      </c>
      <c r="K247" s="17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ht="15.75" customHeight="1">
      <c r="A248" s="25">
        <f t="shared" si="13"/>
        <v>247</v>
      </c>
      <c r="B248" s="25" t="str">
        <f t="shared" si="14"/>
        <v>A247</v>
      </c>
      <c r="C248" s="19" t="s">
        <v>768</v>
      </c>
      <c r="D248" s="19" t="s">
        <v>769</v>
      </c>
      <c r="E248" s="25" t="s">
        <v>21</v>
      </c>
      <c r="F248" s="25" t="s">
        <v>208</v>
      </c>
      <c r="G248" s="29" t="s">
        <v>49</v>
      </c>
      <c r="H248" s="25" t="str">
        <f t="shared" si="32"/>
        <v>A212</v>
      </c>
      <c r="I248" s="19" t="s">
        <v>147</v>
      </c>
      <c r="J248" s="25" t="s">
        <v>730</v>
      </c>
      <c r="K248" s="17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ht="15.75" customHeight="1">
      <c r="A249" s="25">
        <f t="shared" si="13"/>
        <v>248</v>
      </c>
      <c r="B249" s="25" t="str">
        <f t="shared" si="14"/>
        <v>A248</v>
      </c>
      <c r="C249" s="19" t="s">
        <v>770</v>
      </c>
      <c r="D249" s="19" t="s">
        <v>771</v>
      </c>
      <c r="E249" s="25" t="s">
        <v>21</v>
      </c>
      <c r="F249" s="25" t="s">
        <v>208</v>
      </c>
      <c r="G249" s="29" t="s">
        <v>49</v>
      </c>
      <c r="H249" s="25" t="str">
        <f t="shared" si="32"/>
        <v>A212</v>
      </c>
      <c r="I249" s="19" t="s">
        <v>147</v>
      </c>
      <c r="J249" s="25" t="s">
        <v>730</v>
      </c>
      <c r="K249" s="17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ht="15.75" customHeight="1">
      <c r="A250" s="25">
        <f t="shared" si="13"/>
        <v>249</v>
      </c>
      <c r="B250" s="25" t="str">
        <f t="shared" si="14"/>
        <v>A249</v>
      </c>
      <c r="C250" s="19" t="s">
        <v>772</v>
      </c>
      <c r="D250" s="19" t="s">
        <v>773</v>
      </c>
      <c r="E250" s="25" t="s">
        <v>21</v>
      </c>
      <c r="F250" s="25" t="s">
        <v>208</v>
      </c>
      <c r="G250" s="29" t="s">
        <v>49</v>
      </c>
      <c r="H250" s="25" t="str">
        <f t="shared" si="32"/>
        <v>A212</v>
      </c>
      <c r="I250" s="19" t="s">
        <v>147</v>
      </c>
      <c r="J250" s="25" t="s">
        <v>730</v>
      </c>
      <c r="K250" s="17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ht="15.75" customHeight="1">
      <c r="A251" s="90">
        <f t="shared" si="13"/>
        <v>250</v>
      </c>
      <c r="B251" s="90" t="str">
        <f t="shared" si="14"/>
        <v>A250</v>
      </c>
      <c r="C251" s="94" t="s">
        <v>592</v>
      </c>
      <c r="D251" s="94" t="s">
        <v>593</v>
      </c>
      <c r="E251" s="90" t="s">
        <v>21</v>
      </c>
      <c r="F251" s="90" t="s">
        <v>208</v>
      </c>
      <c r="G251" s="102" t="s">
        <v>49</v>
      </c>
      <c r="H251" s="90" t="str">
        <f t="shared" si="32"/>
        <v>A212</v>
      </c>
      <c r="I251" s="94" t="s">
        <v>594</v>
      </c>
      <c r="J251" s="90" t="s">
        <v>653</v>
      </c>
      <c r="K251" s="103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ht="15.75" customHeight="1">
      <c r="A252" s="90">
        <f t="shared" si="13"/>
        <v>251</v>
      </c>
      <c r="B252" s="90" t="str">
        <f t="shared" si="14"/>
        <v>A251</v>
      </c>
      <c r="C252" s="94" t="s">
        <v>595</v>
      </c>
      <c r="D252" s="94" t="s">
        <v>596</v>
      </c>
      <c r="E252" s="90" t="s">
        <v>21</v>
      </c>
      <c r="F252" s="90" t="s">
        <v>774</v>
      </c>
      <c r="G252" s="102" t="s">
        <v>49</v>
      </c>
      <c r="H252" s="90" t="str">
        <f t="shared" si="32"/>
        <v>A212</v>
      </c>
      <c r="I252" s="94" t="s">
        <v>597</v>
      </c>
      <c r="J252" s="95" t="s">
        <v>653</v>
      </c>
      <c r="K252" s="103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ht="15.75" customHeight="1">
      <c r="A253" s="9">
        <f t="shared" si="13"/>
        <v>252</v>
      </c>
      <c r="B253" s="9" t="str">
        <f t="shared" si="14"/>
        <v>A252</v>
      </c>
      <c r="C253" s="17" t="s">
        <v>453</v>
      </c>
      <c r="D253" s="17"/>
      <c r="E253" s="9" t="s">
        <v>13</v>
      </c>
      <c r="F253" s="9" t="s">
        <v>15</v>
      </c>
      <c r="G253" s="20" t="s">
        <v>49</v>
      </c>
      <c r="H253" s="9" t="str">
        <f>$B$206</f>
        <v>A205</v>
      </c>
      <c r="I253" s="17"/>
      <c r="J253" s="9" t="s">
        <v>245</v>
      </c>
      <c r="K253" s="17" t="s">
        <v>775</v>
      </c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ht="15.75" customHeight="1">
      <c r="A254" s="25">
        <f t="shared" si="13"/>
        <v>253</v>
      </c>
      <c r="B254" s="25" t="str">
        <f t="shared" si="14"/>
        <v>A253</v>
      </c>
      <c r="C254" s="19" t="s">
        <v>602</v>
      </c>
      <c r="D254" s="19" t="s">
        <v>603</v>
      </c>
      <c r="E254" s="25" t="s">
        <v>21</v>
      </c>
      <c r="F254" s="25" t="s">
        <v>131</v>
      </c>
      <c r="G254" s="29" t="s">
        <v>49</v>
      </c>
      <c r="H254" s="25" t="str">
        <f t="shared" ref="H254:H255" si="33">$B$253</f>
        <v>A252</v>
      </c>
      <c r="I254" s="19" t="s">
        <v>528</v>
      </c>
      <c r="J254" s="25" t="s">
        <v>245</v>
      </c>
      <c r="K254" s="19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25">
        <f t="shared" si="13"/>
        <v>254</v>
      </c>
      <c r="B255" s="25" t="str">
        <f t="shared" si="14"/>
        <v>A254</v>
      </c>
      <c r="C255" s="19" t="s">
        <v>549</v>
      </c>
      <c r="D255" s="19" t="s">
        <v>550</v>
      </c>
      <c r="E255" s="25" t="s">
        <v>21</v>
      </c>
      <c r="F255" s="25" t="s">
        <v>208</v>
      </c>
      <c r="G255" s="29" t="s">
        <v>49</v>
      </c>
      <c r="H255" s="25" t="str">
        <f t="shared" si="33"/>
        <v>A252</v>
      </c>
      <c r="I255" s="19" t="s">
        <v>147</v>
      </c>
      <c r="J255" s="25" t="s">
        <v>245</v>
      </c>
      <c r="K255" s="19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9">
        <f t="shared" si="13"/>
        <v>255</v>
      </c>
      <c r="B256" s="9" t="str">
        <f t="shared" si="14"/>
        <v>A255</v>
      </c>
      <c r="C256" s="17" t="s">
        <v>457</v>
      </c>
      <c r="D256" s="17"/>
      <c r="E256" s="9" t="s">
        <v>13</v>
      </c>
      <c r="F256" s="9" t="s">
        <v>15</v>
      </c>
      <c r="G256" s="20" t="s">
        <v>49</v>
      </c>
      <c r="H256" s="9" t="str">
        <f>$B$206</f>
        <v>A205</v>
      </c>
      <c r="I256" s="17"/>
      <c r="J256" s="9" t="s">
        <v>606</v>
      </c>
      <c r="K256" s="17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25">
        <f t="shared" si="13"/>
        <v>256</v>
      </c>
      <c r="B257" s="25" t="str">
        <f t="shared" si="14"/>
        <v>A256</v>
      </c>
      <c r="C257" s="19" t="s">
        <v>552</v>
      </c>
      <c r="D257" s="19" t="s">
        <v>611</v>
      </c>
      <c r="E257" s="25" t="s">
        <v>21</v>
      </c>
      <c r="F257" s="25" t="s">
        <v>131</v>
      </c>
      <c r="G257" s="29" t="s">
        <v>49</v>
      </c>
      <c r="H257" s="25" t="str">
        <f t="shared" ref="H257:H259" si="34">$B$256</f>
        <v>A255</v>
      </c>
      <c r="I257" s="19" t="s">
        <v>612</v>
      </c>
      <c r="J257" s="25" t="s">
        <v>606</v>
      </c>
      <c r="K257" s="19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25">
        <f t="shared" si="13"/>
        <v>257</v>
      </c>
      <c r="B258" s="25" t="str">
        <f t="shared" si="14"/>
        <v>A257</v>
      </c>
      <c r="C258" s="19" t="s">
        <v>614</v>
      </c>
      <c r="D258" s="19" t="s">
        <v>615</v>
      </c>
      <c r="E258" s="25" t="s">
        <v>21</v>
      </c>
      <c r="F258" s="25" t="s">
        <v>208</v>
      </c>
      <c r="G258" s="29" t="s">
        <v>49</v>
      </c>
      <c r="H258" s="25" t="str">
        <f t="shared" si="34"/>
        <v>A255</v>
      </c>
      <c r="I258" s="19" t="s">
        <v>147</v>
      </c>
      <c r="J258" s="25" t="s">
        <v>606</v>
      </c>
      <c r="K258" s="19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25">
        <f t="shared" si="13"/>
        <v>258</v>
      </c>
      <c r="B259" s="25" t="str">
        <f t="shared" si="14"/>
        <v>A258</v>
      </c>
      <c r="C259" s="19" t="s">
        <v>616</v>
      </c>
      <c r="D259" s="19" t="s">
        <v>617</v>
      </c>
      <c r="E259" s="25" t="s">
        <v>21</v>
      </c>
      <c r="F259" s="25" t="s">
        <v>208</v>
      </c>
      <c r="G259" s="29" t="s">
        <v>49</v>
      </c>
      <c r="H259" s="25" t="str">
        <f t="shared" si="34"/>
        <v>A255</v>
      </c>
      <c r="I259" s="19" t="s">
        <v>618</v>
      </c>
      <c r="J259" s="25" t="s">
        <v>606</v>
      </c>
      <c r="K259" s="19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9">
        <f t="shared" si="13"/>
        <v>259</v>
      </c>
      <c r="B260" s="9" t="str">
        <f t="shared" si="14"/>
        <v>A259</v>
      </c>
      <c r="C260" s="17" t="s">
        <v>620</v>
      </c>
      <c r="D260" s="17"/>
      <c r="E260" s="9" t="s">
        <v>13</v>
      </c>
      <c r="F260" s="9" t="s">
        <v>15</v>
      </c>
      <c r="G260" s="69" t="s">
        <v>49</v>
      </c>
      <c r="H260" s="9" t="str">
        <f>$B$2</f>
        <v>A01</v>
      </c>
      <c r="I260" s="17"/>
      <c r="J260" s="9" t="s">
        <v>471</v>
      </c>
      <c r="K260" s="19" t="s">
        <v>776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25">
        <f t="shared" si="13"/>
        <v>260</v>
      </c>
      <c r="B261" s="25" t="str">
        <f t="shared" si="14"/>
        <v>A260</v>
      </c>
      <c r="C261" s="19" t="s">
        <v>623</v>
      </c>
      <c r="D261" s="19"/>
      <c r="E261" s="25" t="s">
        <v>13</v>
      </c>
      <c r="F261" s="25" t="s">
        <v>15</v>
      </c>
      <c r="G261" s="29" t="s">
        <v>16</v>
      </c>
      <c r="H261" s="25" t="str">
        <f>$B$260</f>
        <v>A259</v>
      </c>
      <c r="I261" s="17" t="s">
        <v>219</v>
      </c>
      <c r="J261" s="25" t="s">
        <v>471</v>
      </c>
      <c r="K261" s="19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25">
        <f t="shared" si="13"/>
        <v>261</v>
      </c>
      <c r="B262" s="25" t="str">
        <f t="shared" si="14"/>
        <v>A261</v>
      </c>
      <c r="C262" s="19" t="s">
        <v>777</v>
      </c>
      <c r="D262" s="19" t="s">
        <v>627</v>
      </c>
      <c r="E262" s="25" t="s">
        <v>21</v>
      </c>
      <c r="F262" s="25" t="s">
        <v>404</v>
      </c>
      <c r="G262" s="29" t="s">
        <v>16</v>
      </c>
      <c r="H262" s="25" t="str">
        <f t="shared" ref="H262:H264" si="35">$B$261</f>
        <v>A260</v>
      </c>
      <c r="I262" s="19" t="s">
        <v>778</v>
      </c>
      <c r="J262" s="25" t="s">
        <v>779</v>
      </c>
      <c r="K262" s="19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25">
        <f t="shared" si="13"/>
        <v>262</v>
      </c>
      <c r="B263" s="25" t="str">
        <f t="shared" si="14"/>
        <v>A262</v>
      </c>
      <c r="C263" s="19" t="s">
        <v>780</v>
      </c>
      <c r="D263" s="19" t="s">
        <v>781</v>
      </c>
      <c r="E263" s="25" t="s">
        <v>21</v>
      </c>
      <c r="F263" s="25" t="s">
        <v>208</v>
      </c>
      <c r="G263" s="29" t="s">
        <v>16</v>
      </c>
      <c r="H263" s="25" t="str">
        <f t="shared" si="35"/>
        <v>A260</v>
      </c>
      <c r="I263" s="19" t="s">
        <v>782</v>
      </c>
      <c r="J263" s="25" t="s">
        <v>471</v>
      </c>
      <c r="K263" s="19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9">
        <f t="shared" si="13"/>
        <v>263</v>
      </c>
      <c r="B264" s="9" t="str">
        <f t="shared" si="14"/>
        <v>A263</v>
      </c>
      <c r="C264" s="17" t="s">
        <v>783</v>
      </c>
      <c r="D264" s="17" t="s">
        <v>784</v>
      </c>
      <c r="E264" s="9" t="s">
        <v>13</v>
      </c>
      <c r="F264" s="9" t="s">
        <v>15</v>
      </c>
      <c r="G264" s="20" t="s">
        <v>16</v>
      </c>
      <c r="H264" s="9" t="str">
        <f t="shared" si="35"/>
        <v>A260</v>
      </c>
      <c r="I264" s="17" t="s">
        <v>785</v>
      </c>
      <c r="J264" s="9" t="s">
        <v>779</v>
      </c>
      <c r="K264" s="17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ht="14.25" customHeight="1">
      <c r="A265" s="9">
        <f t="shared" si="13"/>
        <v>264</v>
      </c>
      <c r="B265" s="9" t="str">
        <f t="shared" si="14"/>
        <v>A264</v>
      </c>
      <c r="C265" s="17" t="s">
        <v>786</v>
      </c>
      <c r="D265" s="17"/>
      <c r="E265" s="9" t="s">
        <v>13</v>
      </c>
      <c r="F265" s="9" t="s">
        <v>15</v>
      </c>
      <c r="G265" s="20" t="s">
        <v>27</v>
      </c>
      <c r="H265" s="9" t="str">
        <f>$B$264</f>
        <v>A263</v>
      </c>
      <c r="I265" s="17" t="s">
        <v>219</v>
      </c>
      <c r="J265" s="9" t="s">
        <v>471</v>
      </c>
      <c r="K265" s="17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ht="14.25" customHeight="1">
      <c r="A266" s="25">
        <f t="shared" si="13"/>
        <v>265</v>
      </c>
      <c r="B266" s="25" t="str">
        <f t="shared" si="14"/>
        <v>A265</v>
      </c>
      <c r="C266" s="19" t="s">
        <v>512</v>
      </c>
      <c r="D266" s="19" t="s">
        <v>787</v>
      </c>
      <c r="E266" s="25" t="s">
        <v>21</v>
      </c>
      <c r="F266" s="25" t="s">
        <v>56</v>
      </c>
      <c r="G266" s="29" t="s">
        <v>16</v>
      </c>
      <c r="H266" s="25" t="str">
        <f>$B$265</f>
        <v>A264</v>
      </c>
      <c r="I266" s="19" t="s">
        <v>788</v>
      </c>
      <c r="J266" s="25" t="s">
        <v>779</v>
      </c>
      <c r="K266" s="19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9">
        <f t="shared" si="13"/>
        <v>266</v>
      </c>
      <c r="B267" s="9" t="str">
        <f t="shared" si="14"/>
        <v>A266</v>
      </c>
      <c r="C267" s="17" t="s">
        <v>789</v>
      </c>
      <c r="D267" s="17" t="s">
        <v>647</v>
      </c>
      <c r="E267" s="9" t="s">
        <v>13</v>
      </c>
      <c r="F267" s="9" t="s">
        <v>15</v>
      </c>
      <c r="G267" s="20" t="s">
        <v>49</v>
      </c>
      <c r="H267" s="9" t="str">
        <f>$B$261</f>
        <v>A260</v>
      </c>
      <c r="I267" s="17" t="s">
        <v>790</v>
      </c>
      <c r="J267" s="9" t="s">
        <v>471</v>
      </c>
      <c r="K267" s="17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ht="14.25" customHeight="1">
      <c r="A268" s="25">
        <f t="shared" si="13"/>
        <v>267</v>
      </c>
      <c r="B268" s="25" t="str">
        <f t="shared" si="14"/>
        <v>A267</v>
      </c>
      <c r="C268" s="19" t="s">
        <v>704</v>
      </c>
      <c r="D268" s="19" t="s">
        <v>678</v>
      </c>
      <c r="E268" s="25" t="s">
        <v>21</v>
      </c>
      <c r="F268" s="25" t="s">
        <v>148</v>
      </c>
      <c r="G268" s="29" t="s">
        <v>49</v>
      </c>
      <c r="H268" s="25" t="str">
        <f t="shared" ref="H268:H279" si="36">$B$267</f>
        <v>A266</v>
      </c>
      <c r="I268" s="19" t="s">
        <v>791</v>
      </c>
      <c r="J268" s="25" t="s">
        <v>471</v>
      </c>
      <c r="K268" s="19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25">
        <f t="shared" si="13"/>
        <v>268</v>
      </c>
      <c r="B269" s="25" t="str">
        <f t="shared" si="14"/>
        <v>A268</v>
      </c>
      <c r="C269" s="19" t="s">
        <v>792</v>
      </c>
      <c r="D269" s="19" t="s">
        <v>682</v>
      </c>
      <c r="E269" s="25" t="s">
        <v>21</v>
      </c>
      <c r="F269" s="25" t="s">
        <v>404</v>
      </c>
      <c r="G269" s="29" t="s">
        <v>49</v>
      </c>
      <c r="H269" s="25" t="str">
        <f t="shared" si="36"/>
        <v>A266</v>
      </c>
      <c r="I269" s="19" t="s">
        <v>793</v>
      </c>
      <c r="J269" s="25" t="s">
        <v>471</v>
      </c>
      <c r="K269" s="19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25">
        <f t="shared" si="13"/>
        <v>269</v>
      </c>
      <c r="B270" s="25" t="str">
        <f t="shared" si="14"/>
        <v>A269</v>
      </c>
      <c r="C270" s="19" t="s">
        <v>794</v>
      </c>
      <c r="D270" s="19" t="s">
        <v>795</v>
      </c>
      <c r="E270" s="25" t="s">
        <v>21</v>
      </c>
      <c r="F270" s="25" t="s">
        <v>404</v>
      </c>
      <c r="G270" s="29" t="s">
        <v>49</v>
      </c>
      <c r="H270" s="25" t="str">
        <f t="shared" si="36"/>
        <v>A266</v>
      </c>
      <c r="I270" s="19" t="s">
        <v>796</v>
      </c>
      <c r="J270" s="25" t="s">
        <v>471</v>
      </c>
      <c r="K270" s="19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25">
        <f t="shared" si="13"/>
        <v>270</v>
      </c>
      <c r="B271" s="25" t="str">
        <f t="shared" si="14"/>
        <v>A270</v>
      </c>
      <c r="C271" s="19" t="s">
        <v>797</v>
      </c>
      <c r="D271" s="19" t="s">
        <v>656</v>
      </c>
      <c r="E271" s="25" t="s">
        <v>21</v>
      </c>
      <c r="F271" s="25" t="s">
        <v>208</v>
      </c>
      <c r="G271" s="29" t="s">
        <v>49</v>
      </c>
      <c r="H271" s="25" t="str">
        <f t="shared" si="36"/>
        <v>A266</v>
      </c>
      <c r="I271" s="19" t="s">
        <v>798</v>
      </c>
      <c r="J271" s="25" t="s">
        <v>471</v>
      </c>
      <c r="K271" s="19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25">
        <f t="shared" si="13"/>
        <v>271</v>
      </c>
      <c r="B272" s="25" t="str">
        <f t="shared" si="14"/>
        <v>A271</v>
      </c>
      <c r="C272" s="19" t="s">
        <v>799</v>
      </c>
      <c r="D272" s="19" t="s">
        <v>660</v>
      </c>
      <c r="E272" s="25" t="s">
        <v>21</v>
      </c>
      <c r="F272" s="25" t="s">
        <v>208</v>
      </c>
      <c r="G272" s="29" t="s">
        <v>49</v>
      </c>
      <c r="H272" s="25" t="str">
        <f t="shared" si="36"/>
        <v>A266</v>
      </c>
      <c r="I272" s="19" t="s">
        <v>798</v>
      </c>
      <c r="J272" s="25" t="s">
        <v>471</v>
      </c>
      <c r="K272" s="19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25">
        <f t="shared" si="13"/>
        <v>272</v>
      </c>
      <c r="B273" s="25" t="str">
        <f t="shared" si="14"/>
        <v>A272</v>
      </c>
      <c r="C273" s="19" t="s">
        <v>800</v>
      </c>
      <c r="D273" s="19" t="s">
        <v>664</v>
      </c>
      <c r="E273" s="25" t="s">
        <v>21</v>
      </c>
      <c r="F273" s="25" t="s">
        <v>404</v>
      </c>
      <c r="G273" s="29" t="s">
        <v>49</v>
      </c>
      <c r="H273" s="25" t="str">
        <f t="shared" si="36"/>
        <v>A266</v>
      </c>
      <c r="I273" s="19" t="s">
        <v>665</v>
      </c>
      <c r="J273" s="25" t="s">
        <v>471</v>
      </c>
      <c r="K273" s="19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25">
        <f t="shared" si="13"/>
        <v>273</v>
      </c>
      <c r="B274" s="25" t="str">
        <f t="shared" si="14"/>
        <v>A273</v>
      </c>
      <c r="C274" s="19" t="s">
        <v>801</v>
      </c>
      <c r="D274" s="19" t="s">
        <v>669</v>
      </c>
      <c r="E274" s="25" t="s">
        <v>21</v>
      </c>
      <c r="F274" s="25" t="s">
        <v>148</v>
      </c>
      <c r="G274" s="29" t="s">
        <v>49</v>
      </c>
      <c r="H274" s="25" t="str">
        <f t="shared" si="36"/>
        <v>A266</v>
      </c>
      <c r="I274" s="19" t="s">
        <v>790</v>
      </c>
      <c r="J274" s="25" t="s">
        <v>471</v>
      </c>
      <c r="K274" s="19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25">
        <f t="shared" si="13"/>
        <v>274</v>
      </c>
      <c r="B275" s="25" t="str">
        <f t="shared" si="14"/>
        <v>A274</v>
      </c>
      <c r="C275" s="19" t="s">
        <v>802</v>
      </c>
      <c r="D275" s="19" t="s">
        <v>675</v>
      </c>
      <c r="E275" s="25" t="s">
        <v>21</v>
      </c>
      <c r="F275" s="25" t="s">
        <v>803</v>
      </c>
      <c r="G275" s="29" t="s">
        <v>49</v>
      </c>
      <c r="H275" s="25" t="str">
        <f t="shared" si="36"/>
        <v>A266</v>
      </c>
      <c r="I275" s="19" t="s">
        <v>804</v>
      </c>
      <c r="J275" s="25" t="s">
        <v>471</v>
      </c>
      <c r="K275" s="19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25">
        <f t="shared" si="13"/>
        <v>275</v>
      </c>
      <c r="B276" s="104" t="str">
        <f t="shared" si="14"/>
        <v>A275</v>
      </c>
      <c r="C276" s="19" t="s">
        <v>805</v>
      </c>
      <c r="D276" s="19" t="s">
        <v>806</v>
      </c>
      <c r="E276" s="25" t="s">
        <v>21</v>
      </c>
      <c r="F276" s="25" t="s">
        <v>148</v>
      </c>
      <c r="G276" s="25" t="s">
        <v>49</v>
      </c>
      <c r="H276" s="25" t="str">
        <f t="shared" si="36"/>
        <v>A266</v>
      </c>
      <c r="I276" s="19" t="s">
        <v>807</v>
      </c>
      <c r="J276" s="25" t="s">
        <v>726</v>
      </c>
      <c r="K276" s="19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25">
        <f t="shared" si="13"/>
        <v>276</v>
      </c>
      <c r="B277" s="104" t="str">
        <f t="shared" si="14"/>
        <v>A276</v>
      </c>
      <c r="C277" s="105" t="s">
        <v>808</v>
      </c>
      <c r="D277" s="19" t="s">
        <v>809</v>
      </c>
      <c r="E277" s="25" t="s">
        <v>21</v>
      </c>
      <c r="F277" s="25" t="s">
        <v>148</v>
      </c>
      <c r="G277" s="29" t="s">
        <v>49</v>
      </c>
      <c r="H277" s="25" t="str">
        <f t="shared" si="36"/>
        <v>A266</v>
      </c>
      <c r="I277" s="19" t="s">
        <v>807</v>
      </c>
      <c r="J277" s="25" t="s">
        <v>726</v>
      </c>
      <c r="K277" s="19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25">
        <f t="shared" si="13"/>
        <v>277</v>
      </c>
      <c r="B278" s="25" t="str">
        <f t="shared" si="14"/>
        <v>A277</v>
      </c>
      <c r="C278" s="19" t="s">
        <v>810</v>
      </c>
      <c r="D278" s="19" t="s">
        <v>811</v>
      </c>
      <c r="E278" s="25" t="s">
        <v>21</v>
      </c>
      <c r="F278" s="25" t="s">
        <v>208</v>
      </c>
      <c r="G278" s="29" t="s">
        <v>49</v>
      </c>
      <c r="H278" s="25" t="str">
        <f t="shared" si="36"/>
        <v>A266</v>
      </c>
      <c r="I278" s="19" t="s">
        <v>812</v>
      </c>
      <c r="J278" s="25" t="s">
        <v>813</v>
      </c>
      <c r="K278" s="19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25">
        <f t="shared" si="13"/>
        <v>278</v>
      </c>
      <c r="B279" s="25" t="str">
        <f t="shared" si="14"/>
        <v>A278</v>
      </c>
      <c r="C279" s="19" t="s">
        <v>814</v>
      </c>
      <c r="D279" s="19" t="s">
        <v>815</v>
      </c>
      <c r="E279" s="25" t="s">
        <v>21</v>
      </c>
      <c r="F279" s="25" t="s">
        <v>816</v>
      </c>
      <c r="G279" s="29" t="s">
        <v>49</v>
      </c>
      <c r="H279" s="25" t="str">
        <f t="shared" si="36"/>
        <v>A266</v>
      </c>
      <c r="I279" s="19" t="s">
        <v>817</v>
      </c>
      <c r="J279" s="25" t="s">
        <v>818</v>
      </c>
      <c r="K279" s="19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25">
        <v>275.0</v>
      </c>
      <c r="B280" s="25" t="s">
        <v>819</v>
      </c>
      <c r="C280" s="19" t="s">
        <v>820</v>
      </c>
      <c r="D280" s="19" t="s">
        <v>821</v>
      </c>
      <c r="E280" s="25" t="s">
        <v>21</v>
      </c>
      <c r="F280" s="25" t="s">
        <v>822</v>
      </c>
      <c r="G280" s="29" t="s">
        <v>49</v>
      </c>
      <c r="H280" s="25" t="s">
        <v>823</v>
      </c>
      <c r="I280" s="19" t="s">
        <v>824</v>
      </c>
      <c r="J280" s="25" t="s">
        <v>825</v>
      </c>
      <c r="K280" s="19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25">
        <v>276.0</v>
      </c>
      <c r="B281" s="25" t="s">
        <v>826</v>
      </c>
      <c r="C281" s="19" t="s">
        <v>827</v>
      </c>
      <c r="D281" s="19" t="s">
        <v>828</v>
      </c>
      <c r="E281" s="25" t="s">
        <v>21</v>
      </c>
      <c r="F281" s="25" t="s">
        <v>829</v>
      </c>
      <c r="G281" s="29" t="s">
        <v>49</v>
      </c>
      <c r="H281" s="25" t="str">
        <f t="shared" ref="H281:H283" si="37">$B$267</f>
        <v>A266</v>
      </c>
      <c r="I281" s="19" t="s">
        <v>830</v>
      </c>
      <c r="J281" s="25"/>
      <c r="K281" s="19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25">
        <v>277.0</v>
      </c>
      <c r="B282" s="25" t="s">
        <v>831</v>
      </c>
      <c r="C282" s="19" t="s">
        <v>832</v>
      </c>
      <c r="D282" s="19" t="s">
        <v>833</v>
      </c>
      <c r="E282" s="25" t="s">
        <v>21</v>
      </c>
      <c r="F282" s="25" t="s">
        <v>208</v>
      </c>
      <c r="G282" s="29" t="s">
        <v>49</v>
      </c>
      <c r="H282" s="25" t="str">
        <f t="shared" si="37"/>
        <v>A266</v>
      </c>
      <c r="I282" s="19" t="s">
        <v>834</v>
      </c>
      <c r="J282" s="25"/>
      <c r="K282" s="19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25">
        <v>278.0</v>
      </c>
      <c r="B283" s="25" t="s">
        <v>835</v>
      </c>
      <c r="C283" s="19" t="s">
        <v>836</v>
      </c>
      <c r="D283" s="19" t="s">
        <v>837</v>
      </c>
      <c r="E283" s="25" t="s">
        <v>21</v>
      </c>
      <c r="F283" s="25" t="s">
        <v>208</v>
      </c>
      <c r="G283" s="29" t="s">
        <v>49</v>
      </c>
      <c r="H283" s="25" t="str">
        <f t="shared" si="37"/>
        <v>A266</v>
      </c>
      <c r="I283" s="19" t="s">
        <v>838</v>
      </c>
      <c r="J283" s="25"/>
      <c r="K283" s="19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25">
        <v>279.0</v>
      </c>
      <c r="B284" s="25" t="s">
        <v>839</v>
      </c>
      <c r="C284" s="19" t="s">
        <v>840</v>
      </c>
      <c r="D284" s="19" t="s">
        <v>841</v>
      </c>
      <c r="E284" s="25" t="s">
        <v>21</v>
      </c>
      <c r="F284" s="25" t="s">
        <v>651</v>
      </c>
      <c r="G284" s="29" t="s">
        <v>49</v>
      </c>
      <c r="H284" s="25" t="s">
        <v>842</v>
      </c>
      <c r="I284" s="19" t="s">
        <v>843</v>
      </c>
      <c r="J284" s="25"/>
      <c r="K284" s="19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9">
        <f t="shared" ref="A285:A287" si="38">ROW()-1</f>
        <v>284</v>
      </c>
      <c r="B285" s="9" t="str">
        <f t="shared" ref="B285:B291" si="39">CONCATENATE("A",IF(A285&lt;=9,0,),A285)</f>
        <v>A284</v>
      </c>
      <c r="C285" s="17" t="s">
        <v>844</v>
      </c>
      <c r="D285" s="17" t="s">
        <v>845</v>
      </c>
      <c r="E285" s="9" t="s">
        <v>13</v>
      </c>
      <c r="F285" s="25" t="s">
        <v>15</v>
      </c>
      <c r="G285" s="29" t="s">
        <v>49</v>
      </c>
      <c r="H285" s="9" t="str">
        <f>$B$267</f>
        <v>A266</v>
      </c>
      <c r="I285" s="17" t="s">
        <v>846</v>
      </c>
      <c r="J285" s="25" t="s">
        <v>237</v>
      </c>
      <c r="K285" s="19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9">
        <f t="shared" si="38"/>
        <v>285</v>
      </c>
      <c r="B286" s="9" t="str">
        <f t="shared" si="39"/>
        <v>A285</v>
      </c>
      <c r="C286" s="17" t="s">
        <v>847</v>
      </c>
      <c r="D286" s="17" t="s">
        <v>848</v>
      </c>
      <c r="E286" s="9" t="s">
        <v>13</v>
      </c>
      <c r="F286" s="9" t="s">
        <v>15</v>
      </c>
      <c r="G286" s="20" t="s">
        <v>450</v>
      </c>
      <c r="H286" s="9" t="str">
        <f>$B$285</f>
        <v>A284</v>
      </c>
      <c r="I286" s="17" t="s">
        <v>219</v>
      </c>
      <c r="J286" s="9" t="s">
        <v>237</v>
      </c>
      <c r="K286" s="17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ht="12.75" customHeight="1">
      <c r="A287" s="25">
        <f t="shared" si="38"/>
        <v>286</v>
      </c>
      <c r="B287" s="25" t="str">
        <f t="shared" si="39"/>
        <v>A286</v>
      </c>
      <c r="C287" s="19" t="s">
        <v>692</v>
      </c>
      <c r="D287" s="19" t="s">
        <v>849</v>
      </c>
      <c r="E287" s="25" t="s">
        <v>21</v>
      </c>
      <c r="F287" s="25" t="s">
        <v>70</v>
      </c>
      <c r="G287" s="29" t="s">
        <v>49</v>
      </c>
      <c r="H287" s="25" t="s">
        <v>835</v>
      </c>
      <c r="I287" s="19"/>
      <c r="J287" s="25" t="s">
        <v>237</v>
      </c>
      <c r="K287" s="19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106">
        <v>280.0</v>
      </c>
      <c r="B288" s="25" t="str">
        <f t="shared" si="39"/>
        <v>A280</v>
      </c>
      <c r="C288" s="19" t="s">
        <v>850</v>
      </c>
      <c r="D288" s="19" t="s">
        <v>851</v>
      </c>
      <c r="E288" s="25" t="s">
        <v>21</v>
      </c>
      <c r="F288" s="25" t="s">
        <v>39</v>
      </c>
      <c r="G288" s="29" t="s">
        <v>49</v>
      </c>
      <c r="H288" s="25" t="s">
        <v>835</v>
      </c>
      <c r="I288" s="19"/>
      <c r="J288" s="25" t="s">
        <v>237</v>
      </c>
      <c r="K288" s="19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25">
        <f>ROW()-1</f>
        <v>288</v>
      </c>
      <c r="B289" s="25" t="str">
        <f t="shared" si="39"/>
        <v>A288</v>
      </c>
      <c r="C289" s="19" t="s">
        <v>852</v>
      </c>
      <c r="D289" s="19" t="s">
        <v>853</v>
      </c>
      <c r="E289" s="25" t="s">
        <v>21</v>
      </c>
      <c r="F289" s="25" t="s">
        <v>122</v>
      </c>
      <c r="G289" s="29" t="s">
        <v>49</v>
      </c>
      <c r="H289" s="25" t="s">
        <v>835</v>
      </c>
      <c r="I289" s="19"/>
      <c r="J289" s="25" t="s">
        <v>237</v>
      </c>
      <c r="K289" s="19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106">
        <v>282.0</v>
      </c>
      <c r="B290" s="25" t="str">
        <f t="shared" si="39"/>
        <v>A282</v>
      </c>
      <c r="C290" s="19" t="s">
        <v>854</v>
      </c>
      <c r="D290" s="19" t="s">
        <v>855</v>
      </c>
      <c r="E290" s="25" t="s">
        <v>21</v>
      </c>
      <c r="F290" s="25" t="s">
        <v>56</v>
      </c>
      <c r="G290" s="29" t="s">
        <v>49</v>
      </c>
      <c r="H290" s="25" t="s">
        <v>835</v>
      </c>
      <c r="I290" s="19"/>
      <c r="J290" s="25" t="s">
        <v>237</v>
      </c>
      <c r="K290" s="19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25">
        <f>ROW()-1</f>
        <v>290</v>
      </c>
      <c r="B291" s="25" t="str">
        <f t="shared" si="39"/>
        <v>A290</v>
      </c>
      <c r="C291" s="19" t="s">
        <v>856</v>
      </c>
      <c r="D291" s="19" t="s">
        <v>856</v>
      </c>
      <c r="E291" s="25" t="s">
        <v>21</v>
      </c>
      <c r="F291" s="25" t="s">
        <v>208</v>
      </c>
      <c r="G291" s="29" t="s">
        <v>49</v>
      </c>
      <c r="H291" s="25" t="s">
        <v>835</v>
      </c>
      <c r="I291" s="19" t="s">
        <v>857</v>
      </c>
      <c r="J291" s="25" t="s">
        <v>237</v>
      </c>
      <c r="K291" s="19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9">
        <v>284.0</v>
      </c>
      <c r="B292" s="9">
        <v>284.0</v>
      </c>
      <c r="C292" s="17" t="s">
        <v>858</v>
      </c>
      <c r="D292" s="17" t="s">
        <v>859</v>
      </c>
      <c r="E292" s="9" t="s">
        <v>13</v>
      </c>
      <c r="F292" s="9" t="s">
        <v>15</v>
      </c>
      <c r="G292" s="20" t="s">
        <v>49</v>
      </c>
      <c r="H292" s="9" t="s">
        <v>823</v>
      </c>
      <c r="I292" s="17"/>
      <c r="J292" s="25" t="s">
        <v>860</v>
      </c>
      <c r="K292" s="19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9">
        <f t="shared" ref="A293:B293" si="40">ROW()-1</f>
        <v>292</v>
      </c>
      <c r="B293" s="9">
        <f t="shared" si="40"/>
        <v>292</v>
      </c>
      <c r="C293" s="17" t="s">
        <v>861</v>
      </c>
      <c r="D293" s="17" t="s">
        <v>862</v>
      </c>
      <c r="E293" s="9" t="s">
        <v>13</v>
      </c>
      <c r="F293" s="9" t="s">
        <v>15</v>
      </c>
      <c r="G293" s="20" t="s">
        <v>450</v>
      </c>
      <c r="H293" s="9" t="s">
        <v>863</v>
      </c>
      <c r="I293" s="17"/>
      <c r="J293" s="25" t="s">
        <v>860</v>
      </c>
      <c r="K293" s="19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25">
        <v>286.0</v>
      </c>
      <c r="B294" s="25">
        <v>286.0</v>
      </c>
      <c r="C294" s="19" t="s">
        <v>852</v>
      </c>
      <c r="D294" s="19" t="s">
        <v>864</v>
      </c>
      <c r="E294" s="25" t="s">
        <v>21</v>
      </c>
      <c r="F294" s="25" t="s">
        <v>865</v>
      </c>
      <c r="G294" s="29" t="s">
        <v>49</v>
      </c>
      <c r="H294" s="25" t="s">
        <v>866</v>
      </c>
      <c r="I294" s="19"/>
      <c r="J294" s="25" t="s">
        <v>860</v>
      </c>
      <c r="K294" s="19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25">
        <f t="shared" ref="A295:B295" si="41">ROW()-1</f>
        <v>294</v>
      </c>
      <c r="B295" s="25">
        <f t="shared" si="41"/>
        <v>294</v>
      </c>
      <c r="C295" s="19" t="s">
        <v>856</v>
      </c>
      <c r="D295" s="19" t="s">
        <v>856</v>
      </c>
      <c r="E295" s="25" t="s">
        <v>21</v>
      </c>
      <c r="F295" s="25" t="s">
        <v>208</v>
      </c>
      <c r="G295" s="29" t="s">
        <v>49</v>
      </c>
      <c r="H295" s="25" t="s">
        <v>866</v>
      </c>
      <c r="I295" s="19" t="s">
        <v>857</v>
      </c>
      <c r="J295" s="25" t="s">
        <v>860</v>
      </c>
      <c r="K295" s="19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25">
        <v>288.0</v>
      </c>
      <c r="B296" s="25">
        <v>288.0</v>
      </c>
      <c r="C296" s="19" t="s">
        <v>867</v>
      </c>
      <c r="D296" s="19" t="s">
        <v>868</v>
      </c>
      <c r="E296" s="25" t="s">
        <v>21</v>
      </c>
      <c r="F296" s="25" t="s">
        <v>208</v>
      </c>
      <c r="G296" s="29" t="s">
        <v>49</v>
      </c>
      <c r="H296" s="25" t="s">
        <v>866</v>
      </c>
      <c r="I296" s="19" t="s">
        <v>869</v>
      </c>
      <c r="J296" s="25" t="s">
        <v>860</v>
      </c>
      <c r="K296" s="19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2.75" customHeight="1">
      <c r="A297" s="5"/>
      <c r="B297" s="5"/>
      <c r="C297" s="22"/>
      <c r="D297" s="22"/>
      <c r="E297" s="35"/>
      <c r="F297" s="35"/>
      <c r="G297" s="5"/>
      <c r="H297" s="5"/>
      <c r="I297" s="5"/>
      <c r="J297" s="3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2.75" customHeight="1">
      <c r="A298" s="5"/>
      <c r="B298" s="5"/>
      <c r="C298" s="22"/>
      <c r="D298" s="22"/>
      <c r="E298" s="35"/>
      <c r="F298" s="35"/>
      <c r="G298" s="5"/>
      <c r="H298" s="5"/>
      <c r="I298" s="5"/>
      <c r="J298" s="3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2.75" customHeight="1">
      <c r="A299" s="5"/>
      <c r="B299" s="5"/>
      <c r="C299" s="22"/>
      <c r="D299" s="22"/>
      <c r="E299" s="35"/>
      <c r="F299" s="35"/>
      <c r="G299" s="5"/>
      <c r="H299" s="5"/>
      <c r="I299" s="5"/>
      <c r="J299" s="3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2.75" customHeight="1">
      <c r="A300" s="5"/>
      <c r="B300" s="5"/>
      <c r="C300" s="22"/>
      <c r="D300" s="22"/>
      <c r="E300" s="35"/>
      <c r="F300" s="35"/>
      <c r="G300" s="5"/>
      <c r="H300" s="5"/>
      <c r="I300" s="5"/>
      <c r="J300" s="3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2.75" customHeight="1">
      <c r="A301" s="5"/>
      <c r="B301" s="5"/>
      <c r="C301" s="22"/>
      <c r="D301" s="22"/>
      <c r="E301" s="35"/>
      <c r="F301" s="35"/>
      <c r="G301" s="5"/>
      <c r="H301" s="5"/>
      <c r="I301" s="5"/>
      <c r="J301" s="3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2.75" customHeight="1">
      <c r="A302" s="5"/>
      <c r="B302" s="5"/>
      <c r="C302" s="22"/>
      <c r="D302" s="22"/>
      <c r="E302" s="35"/>
      <c r="F302" s="35"/>
      <c r="G302" s="5"/>
      <c r="H302" s="5"/>
      <c r="I302" s="5"/>
      <c r="J302" s="3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2.75" customHeight="1">
      <c r="A303" s="5"/>
      <c r="B303" s="5"/>
      <c r="C303" s="22"/>
      <c r="D303" s="22"/>
      <c r="E303" s="35"/>
      <c r="F303" s="35"/>
      <c r="G303" s="5"/>
      <c r="H303" s="5"/>
      <c r="I303" s="5"/>
      <c r="J303" s="3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2.75" customHeight="1">
      <c r="A304" s="5"/>
      <c r="B304" s="5"/>
      <c r="C304" s="22"/>
      <c r="D304" s="22"/>
      <c r="E304" s="35"/>
      <c r="F304" s="35"/>
      <c r="G304" s="5"/>
      <c r="H304" s="5"/>
      <c r="I304" s="5"/>
      <c r="J304" s="3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2.75" customHeight="1">
      <c r="A305" s="5"/>
      <c r="B305" s="5"/>
      <c r="C305" s="22"/>
      <c r="D305" s="22"/>
      <c r="E305" s="35"/>
      <c r="F305" s="35"/>
      <c r="G305" s="5"/>
      <c r="H305" s="5"/>
      <c r="I305" s="5"/>
      <c r="J305" s="3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2.75" customHeight="1">
      <c r="A306" s="5"/>
      <c r="B306" s="5"/>
      <c r="C306" s="22"/>
      <c r="D306" s="22"/>
      <c r="E306" s="35"/>
      <c r="F306" s="35"/>
      <c r="G306" s="5"/>
      <c r="H306" s="5"/>
      <c r="I306" s="5"/>
      <c r="J306" s="3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2.75" customHeight="1">
      <c r="A307" s="5"/>
      <c r="B307" s="5"/>
      <c r="C307" s="22"/>
      <c r="D307" s="22"/>
      <c r="E307" s="35"/>
      <c r="F307" s="35"/>
      <c r="G307" s="5"/>
      <c r="H307" s="5"/>
      <c r="I307" s="5"/>
      <c r="J307" s="3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2.75" customHeight="1">
      <c r="A308" s="5"/>
      <c r="B308" s="5"/>
      <c r="C308" s="22"/>
      <c r="D308" s="22"/>
      <c r="E308" s="35"/>
      <c r="F308" s="35"/>
      <c r="G308" s="5"/>
      <c r="H308" s="5"/>
      <c r="I308" s="5"/>
      <c r="J308" s="3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2.75" customHeight="1">
      <c r="A309" s="5"/>
      <c r="B309" s="5"/>
      <c r="C309" s="22"/>
      <c r="D309" s="22"/>
      <c r="E309" s="35"/>
      <c r="F309" s="35"/>
      <c r="G309" s="5"/>
      <c r="H309" s="5"/>
      <c r="I309" s="5"/>
      <c r="J309" s="3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2.75" customHeight="1">
      <c r="A310" s="5"/>
      <c r="B310" s="5"/>
      <c r="C310" s="22"/>
      <c r="D310" s="22"/>
      <c r="E310" s="35"/>
      <c r="F310" s="35"/>
      <c r="G310" s="5"/>
      <c r="H310" s="5"/>
      <c r="I310" s="5"/>
      <c r="J310" s="3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2.75" customHeight="1">
      <c r="A311" s="5"/>
      <c r="B311" s="5"/>
      <c r="C311" s="22"/>
      <c r="D311" s="22"/>
      <c r="E311" s="35"/>
      <c r="F311" s="35"/>
      <c r="G311" s="5"/>
      <c r="H311" s="5"/>
      <c r="I311" s="5"/>
      <c r="J311" s="3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2.75" customHeight="1">
      <c r="A312" s="5"/>
      <c r="B312" s="5"/>
      <c r="C312" s="22"/>
      <c r="D312" s="22"/>
      <c r="E312" s="35"/>
      <c r="F312" s="35"/>
      <c r="G312" s="5"/>
      <c r="H312" s="5"/>
      <c r="I312" s="5"/>
      <c r="J312" s="3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2.75" customHeight="1">
      <c r="A313" s="5"/>
      <c r="B313" s="5"/>
      <c r="C313" s="22"/>
      <c r="D313" s="22"/>
      <c r="E313" s="35"/>
      <c r="F313" s="35"/>
      <c r="G313" s="5"/>
      <c r="H313" s="5"/>
      <c r="I313" s="5"/>
      <c r="J313" s="3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2.75" customHeight="1">
      <c r="A314" s="5"/>
      <c r="B314" s="5"/>
      <c r="C314" s="22"/>
      <c r="D314" s="22"/>
      <c r="E314" s="35"/>
      <c r="F314" s="35"/>
      <c r="G314" s="5"/>
      <c r="H314" s="5"/>
      <c r="I314" s="5"/>
      <c r="J314" s="3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2.75" customHeight="1">
      <c r="A315" s="5"/>
      <c r="B315" s="5"/>
      <c r="C315" s="22"/>
      <c r="D315" s="22"/>
      <c r="E315" s="35"/>
      <c r="F315" s="35"/>
      <c r="G315" s="5"/>
      <c r="H315" s="5"/>
      <c r="I315" s="5"/>
      <c r="J315" s="3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2.75" customHeight="1">
      <c r="A316" s="5"/>
      <c r="B316" s="5"/>
      <c r="C316" s="22"/>
      <c r="D316" s="22"/>
      <c r="E316" s="35"/>
      <c r="F316" s="35"/>
      <c r="G316" s="5"/>
      <c r="H316" s="5"/>
      <c r="I316" s="5"/>
      <c r="J316" s="3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2.75" customHeight="1">
      <c r="A317" s="5"/>
      <c r="B317" s="5"/>
      <c r="C317" s="22"/>
      <c r="D317" s="22"/>
      <c r="E317" s="35"/>
      <c r="F317" s="35"/>
      <c r="G317" s="5"/>
      <c r="H317" s="5"/>
      <c r="I317" s="5"/>
      <c r="J317" s="3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2.75" customHeight="1">
      <c r="A318" s="5"/>
      <c r="B318" s="5"/>
      <c r="C318" s="22"/>
      <c r="D318" s="22"/>
      <c r="E318" s="35"/>
      <c r="F318" s="35"/>
      <c r="G318" s="5"/>
      <c r="H318" s="5"/>
      <c r="I318" s="5"/>
      <c r="J318" s="3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2.75" customHeight="1">
      <c r="A319" s="5"/>
      <c r="B319" s="5"/>
      <c r="C319" s="22"/>
      <c r="D319" s="22"/>
      <c r="E319" s="35"/>
      <c r="F319" s="35"/>
      <c r="G319" s="5"/>
      <c r="H319" s="5"/>
      <c r="I319" s="5"/>
      <c r="J319" s="3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2.75" customHeight="1">
      <c r="A320" s="5"/>
      <c r="B320" s="5"/>
      <c r="C320" s="22"/>
      <c r="D320" s="22"/>
      <c r="E320" s="35"/>
      <c r="F320" s="35"/>
      <c r="G320" s="5"/>
      <c r="H320" s="5"/>
      <c r="I320" s="5"/>
      <c r="J320" s="3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2.75" customHeight="1">
      <c r="A321" s="5"/>
      <c r="B321" s="5"/>
      <c r="C321" s="22"/>
      <c r="D321" s="22"/>
      <c r="E321" s="35"/>
      <c r="F321" s="35"/>
      <c r="G321" s="5"/>
      <c r="H321" s="5"/>
      <c r="I321" s="5"/>
      <c r="J321" s="3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2.75" customHeight="1">
      <c r="A322" s="5"/>
      <c r="B322" s="5"/>
      <c r="C322" s="22"/>
      <c r="D322" s="22"/>
      <c r="E322" s="35"/>
      <c r="F322" s="35"/>
      <c r="G322" s="5"/>
      <c r="H322" s="5"/>
      <c r="I322" s="5"/>
      <c r="J322" s="3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2.75" customHeight="1">
      <c r="A323" s="5"/>
      <c r="B323" s="5"/>
      <c r="C323" s="22"/>
      <c r="D323" s="22"/>
      <c r="E323" s="35"/>
      <c r="F323" s="35"/>
      <c r="G323" s="5"/>
      <c r="H323" s="5"/>
      <c r="I323" s="5"/>
      <c r="J323" s="3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2.75" customHeight="1">
      <c r="A324" s="5"/>
      <c r="B324" s="5"/>
      <c r="C324" s="22"/>
      <c r="D324" s="22"/>
      <c r="E324" s="35"/>
      <c r="F324" s="35"/>
      <c r="G324" s="5"/>
      <c r="H324" s="5"/>
      <c r="I324" s="5"/>
      <c r="J324" s="3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2.75" customHeight="1">
      <c r="A325" s="5"/>
      <c r="B325" s="5"/>
      <c r="C325" s="22"/>
      <c r="D325" s="22"/>
      <c r="E325" s="35"/>
      <c r="F325" s="35"/>
      <c r="G325" s="5"/>
      <c r="H325" s="5"/>
      <c r="I325" s="5"/>
      <c r="J325" s="3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2.75" customHeight="1">
      <c r="A326" s="5"/>
      <c r="B326" s="5"/>
      <c r="C326" s="22"/>
      <c r="D326" s="22"/>
      <c r="E326" s="35"/>
      <c r="F326" s="35"/>
      <c r="G326" s="5"/>
      <c r="H326" s="5"/>
      <c r="I326" s="5"/>
      <c r="J326" s="3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2.75" customHeight="1">
      <c r="A327" s="5"/>
      <c r="B327" s="5"/>
      <c r="C327" s="22"/>
      <c r="D327" s="22"/>
      <c r="E327" s="35"/>
      <c r="F327" s="35"/>
      <c r="G327" s="5"/>
      <c r="H327" s="5"/>
      <c r="I327" s="5"/>
      <c r="J327" s="3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2.75" customHeight="1">
      <c r="A328" s="5"/>
      <c r="B328" s="5"/>
      <c r="C328" s="22"/>
      <c r="D328" s="22"/>
      <c r="E328" s="35"/>
      <c r="F328" s="35"/>
      <c r="G328" s="5"/>
      <c r="H328" s="5"/>
      <c r="I328" s="5"/>
      <c r="J328" s="3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2.75" customHeight="1">
      <c r="A329" s="5"/>
      <c r="B329" s="5"/>
      <c r="C329" s="22"/>
      <c r="D329" s="22"/>
      <c r="E329" s="35"/>
      <c r="F329" s="35"/>
      <c r="G329" s="5"/>
      <c r="H329" s="5"/>
      <c r="I329" s="5"/>
      <c r="J329" s="3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2.75" customHeight="1">
      <c r="A330" s="5"/>
      <c r="B330" s="5"/>
      <c r="C330" s="22"/>
      <c r="D330" s="22"/>
      <c r="E330" s="35"/>
      <c r="F330" s="35"/>
      <c r="G330" s="5"/>
      <c r="H330" s="5"/>
      <c r="I330" s="5"/>
      <c r="J330" s="3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2.75" customHeight="1">
      <c r="A331" s="5"/>
      <c r="B331" s="5"/>
      <c r="C331" s="22"/>
      <c r="D331" s="22"/>
      <c r="E331" s="35"/>
      <c r="F331" s="35"/>
      <c r="G331" s="5"/>
      <c r="H331" s="5"/>
      <c r="I331" s="5"/>
      <c r="J331" s="3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2.75" customHeight="1">
      <c r="A332" s="5"/>
      <c r="B332" s="5"/>
      <c r="C332" s="22"/>
      <c r="D332" s="22"/>
      <c r="E332" s="35"/>
      <c r="F332" s="35"/>
      <c r="G332" s="5"/>
      <c r="H332" s="5"/>
      <c r="I332" s="5"/>
      <c r="J332" s="3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2.75" customHeight="1">
      <c r="A333" s="5"/>
      <c r="B333" s="5"/>
      <c r="C333" s="22"/>
      <c r="D333" s="22"/>
      <c r="E333" s="35"/>
      <c r="F333" s="35"/>
      <c r="G333" s="5"/>
      <c r="H333" s="5"/>
      <c r="I333" s="5"/>
      <c r="J333" s="3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2.75" customHeight="1">
      <c r="A334" s="5"/>
      <c r="B334" s="5"/>
      <c r="C334" s="22"/>
      <c r="D334" s="22"/>
      <c r="E334" s="35"/>
      <c r="F334" s="35"/>
      <c r="G334" s="5"/>
      <c r="H334" s="5"/>
      <c r="I334" s="5"/>
      <c r="J334" s="3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2.75" customHeight="1">
      <c r="A335" s="5"/>
      <c r="B335" s="5"/>
      <c r="C335" s="22"/>
      <c r="D335" s="22"/>
      <c r="E335" s="35"/>
      <c r="F335" s="35"/>
      <c r="G335" s="5"/>
      <c r="H335" s="5"/>
      <c r="I335" s="5"/>
      <c r="J335" s="3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2.75" customHeight="1">
      <c r="A336" s="5"/>
      <c r="B336" s="5"/>
      <c r="C336" s="22"/>
      <c r="D336" s="22"/>
      <c r="E336" s="35"/>
      <c r="F336" s="35"/>
      <c r="G336" s="5"/>
      <c r="H336" s="5"/>
      <c r="I336" s="5"/>
      <c r="J336" s="3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2.75" customHeight="1">
      <c r="A337" s="5"/>
      <c r="B337" s="5"/>
      <c r="C337" s="22"/>
      <c r="D337" s="22"/>
      <c r="E337" s="35"/>
      <c r="F337" s="35"/>
      <c r="G337" s="5"/>
      <c r="H337" s="5"/>
      <c r="I337" s="5"/>
      <c r="J337" s="3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2.75" customHeight="1">
      <c r="A338" s="5"/>
      <c r="B338" s="5"/>
      <c r="C338" s="22"/>
      <c r="D338" s="22"/>
      <c r="E338" s="35"/>
      <c r="F338" s="35"/>
      <c r="G338" s="5"/>
      <c r="H338" s="5"/>
      <c r="I338" s="5"/>
      <c r="J338" s="3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2.75" customHeight="1">
      <c r="A339" s="5"/>
      <c r="B339" s="5"/>
      <c r="C339" s="22"/>
      <c r="D339" s="22"/>
      <c r="E339" s="35"/>
      <c r="F339" s="35"/>
      <c r="G339" s="5"/>
      <c r="H339" s="5"/>
      <c r="I339" s="5"/>
      <c r="J339" s="3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2.75" customHeight="1">
      <c r="A340" s="5"/>
      <c r="B340" s="5"/>
      <c r="C340" s="22"/>
      <c r="D340" s="22"/>
      <c r="E340" s="35"/>
      <c r="F340" s="35"/>
      <c r="G340" s="5"/>
      <c r="H340" s="5"/>
      <c r="I340" s="5"/>
      <c r="J340" s="3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2.75" customHeight="1">
      <c r="A341" s="5"/>
      <c r="B341" s="5"/>
      <c r="C341" s="22"/>
      <c r="D341" s="22"/>
      <c r="E341" s="35"/>
      <c r="F341" s="35"/>
      <c r="G341" s="5"/>
      <c r="H341" s="5"/>
      <c r="I341" s="5"/>
      <c r="J341" s="3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2.75" customHeight="1">
      <c r="A342" s="5"/>
      <c r="B342" s="5"/>
      <c r="C342" s="22"/>
      <c r="D342" s="22"/>
      <c r="E342" s="35"/>
      <c r="F342" s="35"/>
      <c r="G342" s="5"/>
      <c r="H342" s="5"/>
      <c r="I342" s="5"/>
      <c r="J342" s="3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2.75" customHeight="1">
      <c r="A343" s="5"/>
      <c r="B343" s="5"/>
      <c r="C343" s="22"/>
      <c r="D343" s="22"/>
      <c r="E343" s="35"/>
      <c r="F343" s="35"/>
      <c r="G343" s="5"/>
      <c r="H343" s="5"/>
      <c r="I343" s="5"/>
      <c r="J343" s="3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2.75" customHeight="1">
      <c r="A344" s="5"/>
      <c r="B344" s="5"/>
      <c r="C344" s="22"/>
      <c r="D344" s="22"/>
      <c r="E344" s="35"/>
      <c r="F344" s="35"/>
      <c r="G344" s="5"/>
      <c r="H344" s="5"/>
      <c r="I344" s="5"/>
      <c r="J344" s="3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2.75" customHeight="1">
      <c r="A345" s="5"/>
      <c r="B345" s="5"/>
      <c r="C345" s="22"/>
      <c r="D345" s="22"/>
      <c r="E345" s="35"/>
      <c r="F345" s="35"/>
      <c r="G345" s="5"/>
      <c r="H345" s="5"/>
      <c r="I345" s="5"/>
      <c r="J345" s="3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2.75" customHeight="1">
      <c r="A346" s="5"/>
      <c r="B346" s="5"/>
      <c r="C346" s="22"/>
      <c r="D346" s="22"/>
      <c r="E346" s="35"/>
      <c r="F346" s="35"/>
      <c r="G346" s="5"/>
      <c r="H346" s="5"/>
      <c r="I346" s="5"/>
      <c r="J346" s="3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2.75" customHeight="1">
      <c r="A347" s="5"/>
      <c r="B347" s="5"/>
      <c r="C347" s="22"/>
      <c r="D347" s="22"/>
      <c r="E347" s="35"/>
      <c r="F347" s="35"/>
      <c r="G347" s="5"/>
      <c r="H347" s="5"/>
      <c r="I347" s="5"/>
      <c r="J347" s="3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2.75" customHeight="1">
      <c r="A348" s="5"/>
      <c r="B348" s="5"/>
      <c r="C348" s="22"/>
      <c r="D348" s="22"/>
      <c r="E348" s="35"/>
      <c r="F348" s="35"/>
      <c r="G348" s="5"/>
      <c r="H348" s="5"/>
      <c r="I348" s="5"/>
      <c r="J348" s="3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2.75" customHeight="1">
      <c r="A349" s="5"/>
      <c r="B349" s="5"/>
      <c r="C349" s="22"/>
      <c r="D349" s="22"/>
      <c r="E349" s="35"/>
      <c r="F349" s="35"/>
      <c r="G349" s="5"/>
      <c r="H349" s="5"/>
      <c r="I349" s="5"/>
      <c r="J349" s="3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2.75" customHeight="1">
      <c r="A350" s="5"/>
      <c r="B350" s="5"/>
      <c r="C350" s="22"/>
      <c r="D350" s="22"/>
      <c r="E350" s="35"/>
      <c r="F350" s="35"/>
      <c r="G350" s="5"/>
      <c r="H350" s="5"/>
      <c r="I350" s="5"/>
      <c r="J350" s="3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2.75" customHeight="1">
      <c r="A351" s="5"/>
      <c r="B351" s="5"/>
      <c r="C351" s="22"/>
      <c r="D351" s="22"/>
      <c r="E351" s="35"/>
      <c r="F351" s="35"/>
      <c r="G351" s="5"/>
      <c r="H351" s="5"/>
      <c r="I351" s="5"/>
      <c r="J351" s="3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2.75" customHeight="1">
      <c r="A352" s="5"/>
      <c r="B352" s="5"/>
      <c r="C352" s="22"/>
      <c r="D352" s="22"/>
      <c r="E352" s="35"/>
      <c r="F352" s="35"/>
      <c r="G352" s="5"/>
      <c r="H352" s="5"/>
      <c r="I352" s="5"/>
      <c r="J352" s="3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2.75" customHeight="1">
      <c r="A353" s="5"/>
      <c r="B353" s="5"/>
      <c r="C353" s="22"/>
      <c r="D353" s="22"/>
      <c r="E353" s="35"/>
      <c r="F353" s="35"/>
      <c r="G353" s="5"/>
      <c r="H353" s="5"/>
      <c r="I353" s="5"/>
      <c r="J353" s="3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2.75" customHeight="1">
      <c r="A354" s="5"/>
      <c r="B354" s="5"/>
      <c r="C354" s="22"/>
      <c r="D354" s="22"/>
      <c r="E354" s="35"/>
      <c r="F354" s="35"/>
      <c r="G354" s="5"/>
      <c r="H354" s="5"/>
      <c r="I354" s="5"/>
      <c r="J354" s="3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2.75" customHeight="1">
      <c r="A355" s="5"/>
      <c r="B355" s="5"/>
      <c r="C355" s="22"/>
      <c r="D355" s="22"/>
      <c r="E355" s="35"/>
      <c r="F355" s="35"/>
      <c r="G355" s="5"/>
      <c r="H355" s="5"/>
      <c r="I355" s="5"/>
      <c r="J355" s="3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2.75" customHeight="1">
      <c r="A356" s="5"/>
      <c r="B356" s="5"/>
      <c r="C356" s="22"/>
      <c r="D356" s="22"/>
      <c r="E356" s="35"/>
      <c r="F356" s="35"/>
      <c r="G356" s="5"/>
      <c r="H356" s="5"/>
      <c r="I356" s="5"/>
      <c r="J356" s="3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2.75" customHeight="1">
      <c r="A357" s="5"/>
      <c r="B357" s="5"/>
      <c r="C357" s="22"/>
      <c r="D357" s="22"/>
      <c r="E357" s="35"/>
      <c r="F357" s="35"/>
      <c r="G357" s="5"/>
      <c r="H357" s="5"/>
      <c r="I357" s="5"/>
      <c r="J357" s="3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2.75" customHeight="1">
      <c r="A358" s="5"/>
      <c r="B358" s="5"/>
      <c r="C358" s="22"/>
      <c r="D358" s="22"/>
      <c r="E358" s="35"/>
      <c r="F358" s="35"/>
      <c r="G358" s="5"/>
      <c r="H358" s="5"/>
      <c r="I358" s="5"/>
      <c r="J358" s="3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2.75" customHeight="1">
      <c r="A359" s="5"/>
      <c r="B359" s="5"/>
      <c r="C359" s="22"/>
      <c r="D359" s="22"/>
      <c r="E359" s="35"/>
      <c r="F359" s="35"/>
      <c r="G359" s="5"/>
      <c r="H359" s="5"/>
      <c r="I359" s="5"/>
      <c r="J359" s="3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2.75" customHeight="1">
      <c r="A360" s="5"/>
      <c r="B360" s="5"/>
      <c r="C360" s="22"/>
      <c r="D360" s="22"/>
      <c r="E360" s="35"/>
      <c r="F360" s="35"/>
      <c r="G360" s="5"/>
      <c r="H360" s="5"/>
      <c r="I360" s="5"/>
      <c r="J360" s="3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2.75" customHeight="1">
      <c r="A361" s="5"/>
      <c r="B361" s="5"/>
      <c r="C361" s="22"/>
      <c r="D361" s="22"/>
      <c r="E361" s="35"/>
      <c r="F361" s="35"/>
      <c r="G361" s="5"/>
      <c r="H361" s="5"/>
      <c r="I361" s="5"/>
      <c r="J361" s="3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2.75" customHeight="1">
      <c r="A362" s="5"/>
      <c r="B362" s="5"/>
      <c r="C362" s="22"/>
      <c r="D362" s="22"/>
      <c r="E362" s="35"/>
      <c r="F362" s="35"/>
      <c r="G362" s="5"/>
      <c r="H362" s="5"/>
      <c r="I362" s="5"/>
      <c r="J362" s="3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2.75" customHeight="1">
      <c r="A363" s="5"/>
      <c r="B363" s="5"/>
      <c r="C363" s="22"/>
      <c r="D363" s="22"/>
      <c r="E363" s="35"/>
      <c r="F363" s="35"/>
      <c r="G363" s="5"/>
      <c r="H363" s="5"/>
      <c r="I363" s="5"/>
      <c r="J363" s="3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2.75" customHeight="1">
      <c r="A364" s="5"/>
      <c r="B364" s="5"/>
      <c r="C364" s="22"/>
      <c r="D364" s="22"/>
      <c r="E364" s="35"/>
      <c r="F364" s="35"/>
      <c r="G364" s="5"/>
      <c r="H364" s="5"/>
      <c r="I364" s="5"/>
      <c r="J364" s="3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2.75" customHeight="1">
      <c r="A365" s="5"/>
      <c r="B365" s="5"/>
      <c r="C365" s="22"/>
      <c r="D365" s="22"/>
      <c r="E365" s="35"/>
      <c r="F365" s="35"/>
      <c r="G365" s="5"/>
      <c r="H365" s="5"/>
      <c r="I365" s="5"/>
      <c r="J365" s="3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2.75" customHeight="1">
      <c r="A366" s="5"/>
      <c r="B366" s="5"/>
      <c r="C366" s="22"/>
      <c r="D366" s="22"/>
      <c r="E366" s="35"/>
      <c r="F366" s="35"/>
      <c r="G366" s="5"/>
      <c r="H366" s="5"/>
      <c r="I366" s="5"/>
      <c r="J366" s="3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2.75" customHeight="1">
      <c r="A367" s="5"/>
      <c r="B367" s="5"/>
      <c r="C367" s="22"/>
      <c r="D367" s="22"/>
      <c r="E367" s="35"/>
      <c r="F367" s="35"/>
      <c r="G367" s="5"/>
      <c r="H367" s="5"/>
      <c r="I367" s="5"/>
      <c r="J367" s="3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2.75" customHeight="1">
      <c r="A368" s="5"/>
      <c r="B368" s="5"/>
      <c r="C368" s="22"/>
      <c r="D368" s="22"/>
      <c r="E368" s="35"/>
      <c r="F368" s="35"/>
      <c r="G368" s="5"/>
      <c r="H368" s="5"/>
      <c r="I368" s="5"/>
      <c r="J368" s="3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2.75" customHeight="1">
      <c r="A369" s="5"/>
      <c r="B369" s="5"/>
      <c r="C369" s="22"/>
      <c r="D369" s="22"/>
      <c r="E369" s="35"/>
      <c r="F369" s="35"/>
      <c r="G369" s="5"/>
      <c r="H369" s="5"/>
      <c r="I369" s="5"/>
      <c r="J369" s="3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2.75" customHeight="1">
      <c r="A370" s="5"/>
      <c r="B370" s="5"/>
      <c r="C370" s="22"/>
      <c r="D370" s="22"/>
      <c r="E370" s="35"/>
      <c r="F370" s="35"/>
      <c r="G370" s="5"/>
      <c r="H370" s="5"/>
      <c r="I370" s="5"/>
      <c r="J370" s="3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2.75" customHeight="1">
      <c r="A371" s="5"/>
      <c r="B371" s="5"/>
      <c r="C371" s="22"/>
      <c r="D371" s="22"/>
      <c r="E371" s="35"/>
      <c r="F371" s="35"/>
      <c r="G371" s="5"/>
      <c r="H371" s="5"/>
      <c r="I371" s="5"/>
      <c r="J371" s="3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2.75" customHeight="1">
      <c r="A372" s="5"/>
      <c r="B372" s="5"/>
      <c r="C372" s="22"/>
      <c r="D372" s="22"/>
      <c r="E372" s="35"/>
      <c r="F372" s="35"/>
      <c r="G372" s="5"/>
      <c r="H372" s="5"/>
      <c r="I372" s="5"/>
      <c r="J372" s="3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2.75" customHeight="1">
      <c r="A373" s="5"/>
      <c r="B373" s="5"/>
      <c r="C373" s="22"/>
      <c r="D373" s="22"/>
      <c r="E373" s="35"/>
      <c r="F373" s="35"/>
      <c r="G373" s="5"/>
      <c r="H373" s="5"/>
      <c r="I373" s="5"/>
      <c r="J373" s="3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2.75" customHeight="1">
      <c r="A374" s="5"/>
      <c r="B374" s="5"/>
      <c r="C374" s="22"/>
      <c r="D374" s="22"/>
      <c r="E374" s="35"/>
      <c r="F374" s="35"/>
      <c r="G374" s="5"/>
      <c r="H374" s="5"/>
      <c r="I374" s="5"/>
      <c r="J374" s="3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2.75" customHeight="1">
      <c r="A375" s="5"/>
      <c r="B375" s="5"/>
      <c r="C375" s="22"/>
      <c r="D375" s="22"/>
      <c r="E375" s="35"/>
      <c r="F375" s="35"/>
      <c r="G375" s="5"/>
      <c r="H375" s="5"/>
      <c r="I375" s="5"/>
      <c r="J375" s="3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2.75" customHeight="1">
      <c r="A376" s="5"/>
      <c r="B376" s="5"/>
      <c r="C376" s="22"/>
      <c r="D376" s="22"/>
      <c r="E376" s="35"/>
      <c r="F376" s="35"/>
      <c r="G376" s="5"/>
      <c r="H376" s="5"/>
      <c r="I376" s="5"/>
      <c r="J376" s="3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2.75" customHeight="1">
      <c r="A377" s="5"/>
      <c r="B377" s="5"/>
      <c r="C377" s="22"/>
      <c r="D377" s="22"/>
      <c r="E377" s="35"/>
      <c r="F377" s="35"/>
      <c r="G377" s="5"/>
      <c r="H377" s="5"/>
      <c r="I377" s="5"/>
      <c r="J377" s="3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2.75" customHeight="1">
      <c r="A378" s="5"/>
      <c r="B378" s="5"/>
      <c r="C378" s="22"/>
      <c r="D378" s="22"/>
      <c r="E378" s="35"/>
      <c r="F378" s="35"/>
      <c r="G378" s="5"/>
      <c r="H378" s="5"/>
      <c r="I378" s="5"/>
      <c r="J378" s="3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2.75" customHeight="1">
      <c r="A379" s="5"/>
      <c r="B379" s="5"/>
      <c r="C379" s="22"/>
      <c r="D379" s="22"/>
      <c r="E379" s="35"/>
      <c r="F379" s="35"/>
      <c r="G379" s="5"/>
      <c r="H379" s="5"/>
      <c r="I379" s="5"/>
      <c r="J379" s="3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2.75" customHeight="1">
      <c r="A380" s="5"/>
      <c r="B380" s="5"/>
      <c r="C380" s="22"/>
      <c r="D380" s="22"/>
      <c r="E380" s="35"/>
      <c r="F380" s="35"/>
      <c r="G380" s="5"/>
      <c r="H380" s="5"/>
      <c r="I380" s="5"/>
      <c r="J380" s="3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2.75" customHeight="1">
      <c r="A381" s="5"/>
      <c r="B381" s="5"/>
      <c r="C381" s="22"/>
      <c r="D381" s="22"/>
      <c r="E381" s="35"/>
      <c r="F381" s="35"/>
      <c r="G381" s="5"/>
      <c r="H381" s="5"/>
      <c r="I381" s="5"/>
      <c r="J381" s="3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2.75" customHeight="1">
      <c r="A382" s="5"/>
      <c r="B382" s="5"/>
      <c r="C382" s="22"/>
      <c r="D382" s="22"/>
      <c r="E382" s="35"/>
      <c r="F382" s="35"/>
      <c r="G382" s="5"/>
      <c r="H382" s="5"/>
      <c r="I382" s="5"/>
      <c r="J382" s="3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2.75" customHeight="1">
      <c r="A383" s="5"/>
      <c r="B383" s="5"/>
      <c r="C383" s="22"/>
      <c r="D383" s="22"/>
      <c r="E383" s="35"/>
      <c r="F383" s="35"/>
      <c r="G383" s="5"/>
      <c r="H383" s="5"/>
      <c r="I383" s="5"/>
      <c r="J383" s="3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2.75" customHeight="1">
      <c r="A384" s="5"/>
      <c r="B384" s="5"/>
      <c r="C384" s="22"/>
      <c r="D384" s="22"/>
      <c r="E384" s="35"/>
      <c r="F384" s="35"/>
      <c r="G384" s="5"/>
      <c r="H384" s="5"/>
      <c r="I384" s="5"/>
      <c r="J384" s="3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2.75" customHeight="1">
      <c r="A385" s="5"/>
      <c r="B385" s="5"/>
      <c r="C385" s="22"/>
      <c r="D385" s="22"/>
      <c r="E385" s="35"/>
      <c r="F385" s="35"/>
      <c r="G385" s="5"/>
      <c r="H385" s="5"/>
      <c r="I385" s="5"/>
      <c r="J385" s="3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2.75" customHeight="1">
      <c r="A386" s="5"/>
      <c r="B386" s="5"/>
      <c r="C386" s="22"/>
      <c r="D386" s="22"/>
      <c r="E386" s="35"/>
      <c r="F386" s="35"/>
      <c r="G386" s="5"/>
      <c r="H386" s="5"/>
      <c r="I386" s="5"/>
      <c r="J386" s="3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2.75" customHeight="1">
      <c r="A387" s="5"/>
      <c r="B387" s="5"/>
      <c r="C387" s="22"/>
      <c r="D387" s="22"/>
      <c r="E387" s="35"/>
      <c r="F387" s="35"/>
      <c r="G387" s="5"/>
      <c r="H387" s="5"/>
      <c r="I387" s="5"/>
      <c r="J387" s="3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2.75" customHeight="1">
      <c r="A388" s="5"/>
      <c r="B388" s="5"/>
      <c r="C388" s="22"/>
      <c r="D388" s="22"/>
      <c r="E388" s="35"/>
      <c r="F388" s="35"/>
      <c r="G388" s="5"/>
      <c r="H388" s="5"/>
      <c r="I388" s="5"/>
      <c r="J388" s="3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2.75" customHeight="1">
      <c r="A389" s="5"/>
      <c r="B389" s="5"/>
      <c r="C389" s="22"/>
      <c r="D389" s="22"/>
      <c r="E389" s="35"/>
      <c r="F389" s="35"/>
      <c r="G389" s="5"/>
      <c r="H389" s="5"/>
      <c r="I389" s="5"/>
      <c r="J389" s="3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2.75" customHeight="1">
      <c r="A390" s="5"/>
      <c r="B390" s="5"/>
      <c r="C390" s="22"/>
      <c r="D390" s="22"/>
      <c r="E390" s="35"/>
      <c r="F390" s="35"/>
      <c r="G390" s="5"/>
      <c r="H390" s="5"/>
      <c r="I390" s="5"/>
      <c r="J390" s="3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2.75" customHeight="1">
      <c r="A391" s="5"/>
      <c r="B391" s="5"/>
      <c r="C391" s="22"/>
      <c r="D391" s="22"/>
      <c r="E391" s="35"/>
      <c r="F391" s="35"/>
      <c r="G391" s="5"/>
      <c r="H391" s="5"/>
      <c r="I391" s="5"/>
      <c r="J391" s="3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2.75" customHeight="1">
      <c r="A392" s="5"/>
      <c r="B392" s="5"/>
      <c r="C392" s="22"/>
      <c r="D392" s="22"/>
      <c r="E392" s="35"/>
      <c r="F392" s="35"/>
      <c r="G392" s="5"/>
      <c r="H392" s="5"/>
      <c r="I392" s="5"/>
      <c r="J392" s="3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2.75" customHeight="1">
      <c r="A393" s="5"/>
      <c r="B393" s="5"/>
      <c r="C393" s="22"/>
      <c r="D393" s="22"/>
      <c r="E393" s="35"/>
      <c r="F393" s="35"/>
      <c r="G393" s="5"/>
      <c r="H393" s="5"/>
      <c r="I393" s="5"/>
      <c r="J393" s="3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2.75" customHeight="1">
      <c r="A394" s="5"/>
      <c r="B394" s="5"/>
      <c r="C394" s="22"/>
      <c r="D394" s="22"/>
      <c r="E394" s="35"/>
      <c r="F394" s="35"/>
      <c r="G394" s="5"/>
      <c r="H394" s="5"/>
      <c r="I394" s="5"/>
      <c r="J394" s="3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2.75" customHeight="1">
      <c r="A395" s="5"/>
      <c r="B395" s="5"/>
      <c r="C395" s="22"/>
      <c r="D395" s="22"/>
      <c r="E395" s="35"/>
      <c r="F395" s="35"/>
      <c r="G395" s="5"/>
      <c r="H395" s="5"/>
      <c r="I395" s="5"/>
      <c r="J395" s="3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2.75" customHeight="1">
      <c r="A396" s="5"/>
      <c r="B396" s="5"/>
      <c r="C396" s="22"/>
      <c r="D396" s="22"/>
      <c r="E396" s="35"/>
      <c r="F396" s="35"/>
      <c r="G396" s="5"/>
      <c r="H396" s="5"/>
      <c r="I396" s="5"/>
      <c r="J396" s="3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2.75" customHeight="1">
      <c r="A397" s="5"/>
      <c r="B397" s="5"/>
      <c r="C397" s="22"/>
      <c r="D397" s="22"/>
      <c r="E397" s="35"/>
      <c r="F397" s="35"/>
      <c r="G397" s="5"/>
      <c r="H397" s="5"/>
      <c r="I397" s="5"/>
      <c r="J397" s="3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2.75" customHeight="1">
      <c r="A398" s="5"/>
      <c r="B398" s="5"/>
      <c r="C398" s="22"/>
      <c r="D398" s="22"/>
      <c r="E398" s="35"/>
      <c r="F398" s="35"/>
      <c r="G398" s="5"/>
      <c r="H398" s="5"/>
      <c r="I398" s="5"/>
      <c r="J398" s="3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2.75" customHeight="1">
      <c r="A399" s="5"/>
      <c r="B399" s="5"/>
      <c r="C399" s="22"/>
      <c r="D399" s="22"/>
      <c r="E399" s="35"/>
      <c r="F399" s="35"/>
      <c r="G399" s="5"/>
      <c r="H399" s="5"/>
      <c r="I399" s="5"/>
      <c r="J399" s="3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2.75" customHeight="1">
      <c r="A400" s="5"/>
      <c r="B400" s="5"/>
      <c r="C400" s="22"/>
      <c r="D400" s="22"/>
      <c r="E400" s="35"/>
      <c r="F400" s="35"/>
      <c r="G400" s="5"/>
      <c r="H400" s="5"/>
      <c r="I400" s="5"/>
      <c r="J400" s="3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2.75" customHeight="1">
      <c r="A401" s="5"/>
      <c r="B401" s="5"/>
      <c r="C401" s="22"/>
      <c r="D401" s="22"/>
      <c r="E401" s="35"/>
      <c r="F401" s="35"/>
      <c r="G401" s="5"/>
      <c r="H401" s="5"/>
      <c r="I401" s="5"/>
      <c r="J401" s="3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2.75" customHeight="1">
      <c r="A402" s="5"/>
      <c r="B402" s="5"/>
      <c r="C402" s="22"/>
      <c r="D402" s="22"/>
      <c r="E402" s="35"/>
      <c r="F402" s="35"/>
      <c r="G402" s="5"/>
      <c r="H402" s="5"/>
      <c r="I402" s="5"/>
      <c r="J402" s="3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2.75" customHeight="1">
      <c r="A403" s="5"/>
      <c r="B403" s="5"/>
      <c r="C403" s="22"/>
      <c r="D403" s="22"/>
      <c r="E403" s="35"/>
      <c r="F403" s="35"/>
      <c r="G403" s="5"/>
      <c r="H403" s="5"/>
      <c r="I403" s="5"/>
      <c r="J403" s="3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2.75" customHeight="1">
      <c r="A404" s="5"/>
      <c r="B404" s="5"/>
      <c r="C404" s="22"/>
      <c r="D404" s="22"/>
      <c r="E404" s="35"/>
      <c r="F404" s="35"/>
      <c r="G404" s="5"/>
      <c r="H404" s="5"/>
      <c r="I404" s="5"/>
      <c r="J404" s="3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2.75" customHeight="1">
      <c r="A405" s="5"/>
      <c r="B405" s="5"/>
      <c r="C405" s="22"/>
      <c r="D405" s="22"/>
      <c r="E405" s="35"/>
      <c r="F405" s="35"/>
      <c r="G405" s="5"/>
      <c r="H405" s="5"/>
      <c r="I405" s="5"/>
      <c r="J405" s="3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2.75" customHeight="1">
      <c r="A406" s="5"/>
      <c r="B406" s="5"/>
      <c r="C406" s="22"/>
      <c r="D406" s="22"/>
      <c r="E406" s="35"/>
      <c r="F406" s="35"/>
      <c r="G406" s="5"/>
      <c r="H406" s="5"/>
      <c r="I406" s="5"/>
      <c r="J406" s="3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2.75" customHeight="1">
      <c r="A407" s="5"/>
      <c r="B407" s="5"/>
      <c r="C407" s="22"/>
      <c r="D407" s="22"/>
      <c r="E407" s="35"/>
      <c r="F407" s="35"/>
      <c r="G407" s="5"/>
      <c r="H407" s="5"/>
      <c r="I407" s="5"/>
      <c r="J407" s="3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2.75" customHeight="1">
      <c r="A408" s="5"/>
      <c r="B408" s="5"/>
      <c r="C408" s="22"/>
      <c r="D408" s="22"/>
      <c r="E408" s="35"/>
      <c r="F408" s="35"/>
      <c r="G408" s="5"/>
      <c r="H408" s="5"/>
      <c r="I408" s="5"/>
      <c r="J408" s="3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2.75" customHeight="1">
      <c r="A409" s="5"/>
      <c r="B409" s="5"/>
      <c r="C409" s="22"/>
      <c r="D409" s="22"/>
      <c r="E409" s="35"/>
      <c r="F409" s="35"/>
      <c r="G409" s="5"/>
      <c r="H409" s="5"/>
      <c r="I409" s="5"/>
      <c r="J409" s="3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2.75" customHeight="1">
      <c r="A410" s="5"/>
      <c r="B410" s="5"/>
      <c r="C410" s="22"/>
      <c r="D410" s="22"/>
      <c r="E410" s="35"/>
      <c r="F410" s="35"/>
      <c r="G410" s="5"/>
      <c r="H410" s="5"/>
      <c r="I410" s="5"/>
      <c r="J410" s="3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2.75" customHeight="1">
      <c r="A411" s="5"/>
      <c r="B411" s="5"/>
      <c r="C411" s="22"/>
      <c r="D411" s="22"/>
      <c r="E411" s="35"/>
      <c r="F411" s="35"/>
      <c r="G411" s="5"/>
      <c r="H411" s="5"/>
      <c r="I411" s="5"/>
      <c r="J411" s="3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2.75" customHeight="1">
      <c r="A412" s="5"/>
      <c r="B412" s="5"/>
      <c r="C412" s="22"/>
      <c r="D412" s="22"/>
      <c r="E412" s="35"/>
      <c r="F412" s="35"/>
      <c r="G412" s="5"/>
      <c r="H412" s="5"/>
      <c r="I412" s="5"/>
      <c r="J412" s="3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2.75" customHeight="1">
      <c r="A413" s="5"/>
      <c r="B413" s="5"/>
      <c r="C413" s="22"/>
      <c r="D413" s="22"/>
      <c r="E413" s="35"/>
      <c r="F413" s="35"/>
      <c r="G413" s="5"/>
      <c r="H413" s="5"/>
      <c r="I413" s="5"/>
      <c r="J413" s="3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2.75" customHeight="1">
      <c r="A414" s="5"/>
      <c r="B414" s="5"/>
      <c r="C414" s="22"/>
      <c r="D414" s="22"/>
      <c r="E414" s="35"/>
      <c r="F414" s="35"/>
      <c r="G414" s="5"/>
      <c r="H414" s="5"/>
      <c r="I414" s="5"/>
      <c r="J414" s="3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2.75" customHeight="1">
      <c r="A415" s="5"/>
      <c r="B415" s="5"/>
      <c r="C415" s="22"/>
      <c r="D415" s="22"/>
      <c r="E415" s="35"/>
      <c r="F415" s="35"/>
      <c r="G415" s="5"/>
      <c r="H415" s="5"/>
      <c r="I415" s="5"/>
      <c r="J415" s="3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2.75" customHeight="1">
      <c r="A416" s="5"/>
      <c r="B416" s="5"/>
      <c r="C416" s="22"/>
      <c r="D416" s="22"/>
      <c r="E416" s="35"/>
      <c r="F416" s="35"/>
      <c r="G416" s="5"/>
      <c r="H416" s="5"/>
      <c r="I416" s="5"/>
      <c r="J416" s="3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2.75" customHeight="1">
      <c r="A417" s="5"/>
      <c r="B417" s="5"/>
      <c r="C417" s="22"/>
      <c r="D417" s="22"/>
      <c r="E417" s="35"/>
      <c r="F417" s="35"/>
      <c r="G417" s="5"/>
      <c r="H417" s="5"/>
      <c r="I417" s="5"/>
      <c r="J417" s="3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2.75" customHeight="1">
      <c r="A418" s="5"/>
      <c r="B418" s="5"/>
      <c r="C418" s="22"/>
      <c r="D418" s="22"/>
      <c r="E418" s="35"/>
      <c r="F418" s="35"/>
      <c r="G418" s="5"/>
      <c r="H418" s="5"/>
      <c r="I418" s="5"/>
      <c r="J418" s="3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2.75" customHeight="1">
      <c r="A419" s="5"/>
      <c r="B419" s="5"/>
      <c r="C419" s="22"/>
      <c r="D419" s="22"/>
      <c r="E419" s="35"/>
      <c r="F419" s="35"/>
      <c r="G419" s="5"/>
      <c r="H419" s="5"/>
      <c r="I419" s="5"/>
      <c r="J419" s="3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2.75" customHeight="1">
      <c r="A420" s="5"/>
      <c r="B420" s="5"/>
      <c r="C420" s="22"/>
      <c r="D420" s="22"/>
      <c r="E420" s="35"/>
      <c r="F420" s="35"/>
      <c r="G420" s="5"/>
      <c r="H420" s="5"/>
      <c r="I420" s="5"/>
      <c r="J420" s="3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2.75" customHeight="1">
      <c r="A421" s="5"/>
      <c r="B421" s="5"/>
      <c r="C421" s="22"/>
      <c r="D421" s="22"/>
      <c r="E421" s="35"/>
      <c r="F421" s="35"/>
      <c r="G421" s="5"/>
      <c r="H421" s="5"/>
      <c r="I421" s="5"/>
      <c r="J421" s="3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2.75" customHeight="1">
      <c r="A422" s="5"/>
      <c r="B422" s="5"/>
      <c r="C422" s="22"/>
      <c r="D422" s="22"/>
      <c r="E422" s="35"/>
      <c r="F422" s="35"/>
      <c r="G422" s="5"/>
      <c r="H422" s="5"/>
      <c r="I422" s="5"/>
      <c r="J422" s="3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2.75" customHeight="1">
      <c r="A423" s="5"/>
      <c r="B423" s="5"/>
      <c r="C423" s="22"/>
      <c r="D423" s="22"/>
      <c r="E423" s="35"/>
      <c r="F423" s="35"/>
      <c r="G423" s="5"/>
      <c r="H423" s="5"/>
      <c r="I423" s="5"/>
      <c r="J423" s="3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2.75" customHeight="1">
      <c r="A424" s="5"/>
      <c r="B424" s="5"/>
      <c r="C424" s="22"/>
      <c r="D424" s="22"/>
      <c r="E424" s="35"/>
      <c r="F424" s="35"/>
      <c r="G424" s="5"/>
      <c r="H424" s="5"/>
      <c r="I424" s="5"/>
      <c r="J424" s="3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2.75" customHeight="1">
      <c r="A425" s="5"/>
      <c r="B425" s="5"/>
      <c r="C425" s="22"/>
      <c r="D425" s="22"/>
      <c r="E425" s="35"/>
      <c r="F425" s="35"/>
      <c r="G425" s="5"/>
      <c r="H425" s="5"/>
      <c r="I425" s="5"/>
      <c r="J425" s="3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2.75" customHeight="1">
      <c r="A426" s="5"/>
      <c r="B426" s="5"/>
      <c r="C426" s="22"/>
      <c r="D426" s="22"/>
      <c r="E426" s="35"/>
      <c r="F426" s="35"/>
      <c r="G426" s="5"/>
      <c r="H426" s="5"/>
      <c r="I426" s="5"/>
      <c r="J426" s="3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2.75" customHeight="1">
      <c r="A427" s="5"/>
      <c r="B427" s="5"/>
      <c r="C427" s="22"/>
      <c r="D427" s="22"/>
      <c r="E427" s="35"/>
      <c r="F427" s="35"/>
      <c r="G427" s="5"/>
      <c r="H427" s="5"/>
      <c r="I427" s="5"/>
      <c r="J427" s="3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2.75" customHeight="1">
      <c r="A428" s="5"/>
      <c r="B428" s="5"/>
      <c r="C428" s="22"/>
      <c r="D428" s="22"/>
      <c r="E428" s="35"/>
      <c r="F428" s="35"/>
      <c r="G428" s="5"/>
      <c r="H428" s="5"/>
      <c r="I428" s="5"/>
      <c r="J428" s="3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2.75" customHeight="1">
      <c r="A429" s="5"/>
      <c r="B429" s="5"/>
      <c r="C429" s="22"/>
      <c r="D429" s="22"/>
      <c r="E429" s="35"/>
      <c r="F429" s="35"/>
      <c r="G429" s="5"/>
      <c r="H429" s="5"/>
      <c r="I429" s="5"/>
      <c r="J429" s="3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2.75" customHeight="1">
      <c r="A430" s="5"/>
      <c r="B430" s="5"/>
      <c r="C430" s="22"/>
      <c r="D430" s="22"/>
      <c r="E430" s="35"/>
      <c r="F430" s="35"/>
      <c r="G430" s="5"/>
      <c r="H430" s="5"/>
      <c r="I430" s="5"/>
      <c r="J430" s="3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2.75" customHeight="1">
      <c r="A431" s="5"/>
      <c r="B431" s="5"/>
      <c r="C431" s="22"/>
      <c r="D431" s="22"/>
      <c r="E431" s="35"/>
      <c r="F431" s="35"/>
      <c r="G431" s="5"/>
      <c r="H431" s="5"/>
      <c r="I431" s="5"/>
      <c r="J431" s="3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2.75" customHeight="1">
      <c r="A432" s="5"/>
      <c r="B432" s="5"/>
      <c r="C432" s="22"/>
      <c r="D432" s="22"/>
      <c r="E432" s="35"/>
      <c r="F432" s="35"/>
      <c r="G432" s="5"/>
      <c r="H432" s="5"/>
      <c r="I432" s="5"/>
      <c r="J432" s="3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2.75" customHeight="1">
      <c r="A433" s="5"/>
      <c r="B433" s="5"/>
      <c r="C433" s="22"/>
      <c r="D433" s="22"/>
      <c r="E433" s="35"/>
      <c r="F433" s="35"/>
      <c r="G433" s="5"/>
      <c r="H433" s="5"/>
      <c r="I433" s="5"/>
      <c r="J433" s="3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2.75" customHeight="1">
      <c r="A434" s="5"/>
      <c r="B434" s="5"/>
      <c r="C434" s="22"/>
      <c r="D434" s="22"/>
      <c r="E434" s="35"/>
      <c r="F434" s="35"/>
      <c r="G434" s="5"/>
      <c r="H434" s="5"/>
      <c r="I434" s="5"/>
      <c r="J434" s="3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2.75" customHeight="1">
      <c r="A435" s="5"/>
      <c r="B435" s="5"/>
      <c r="C435" s="22"/>
      <c r="D435" s="22"/>
      <c r="E435" s="35"/>
      <c r="F435" s="35"/>
      <c r="G435" s="5"/>
      <c r="H435" s="5"/>
      <c r="I435" s="5"/>
      <c r="J435" s="3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2.75" customHeight="1">
      <c r="A436" s="5"/>
      <c r="B436" s="5"/>
      <c r="C436" s="22"/>
      <c r="D436" s="22"/>
      <c r="E436" s="35"/>
      <c r="F436" s="35"/>
      <c r="G436" s="5"/>
      <c r="H436" s="5"/>
      <c r="I436" s="5"/>
      <c r="J436" s="3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2.75" customHeight="1">
      <c r="A437" s="5"/>
      <c r="B437" s="5"/>
      <c r="C437" s="22"/>
      <c r="D437" s="22"/>
      <c r="E437" s="35"/>
      <c r="F437" s="35"/>
      <c r="G437" s="5"/>
      <c r="H437" s="5"/>
      <c r="I437" s="5"/>
      <c r="J437" s="3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2.75" customHeight="1">
      <c r="A438" s="5"/>
      <c r="B438" s="5"/>
      <c r="C438" s="22"/>
      <c r="D438" s="22"/>
      <c r="E438" s="35"/>
      <c r="F438" s="35"/>
      <c r="G438" s="5"/>
      <c r="H438" s="5"/>
      <c r="I438" s="5"/>
      <c r="J438" s="3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2.75" customHeight="1">
      <c r="A439" s="5"/>
      <c r="B439" s="5"/>
      <c r="C439" s="22"/>
      <c r="D439" s="22"/>
      <c r="E439" s="35"/>
      <c r="F439" s="35"/>
      <c r="G439" s="5"/>
      <c r="H439" s="5"/>
      <c r="I439" s="5"/>
      <c r="J439" s="3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2.75" customHeight="1">
      <c r="A440" s="5"/>
      <c r="B440" s="5"/>
      <c r="C440" s="22"/>
      <c r="D440" s="22"/>
      <c r="E440" s="35"/>
      <c r="F440" s="35"/>
      <c r="G440" s="5"/>
      <c r="H440" s="5"/>
      <c r="I440" s="5"/>
      <c r="J440" s="3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2.75" customHeight="1">
      <c r="A441" s="5"/>
      <c r="B441" s="5"/>
      <c r="C441" s="22"/>
      <c r="D441" s="22"/>
      <c r="E441" s="35"/>
      <c r="F441" s="35"/>
      <c r="G441" s="5"/>
      <c r="H441" s="5"/>
      <c r="I441" s="5"/>
      <c r="J441" s="3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2.75" customHeight="1">
      <c r="A442" s="5"/>
      <c r="B442" s="5"/>
      <c r="C442" s="22"/>
      <c r="D442" s="22"/>
      <c r="E442" s="35"/>
      <c r="F442" s="35"/>
      <c r="G442" s="5"/>
      <c r="H442" s="5"/>
      <c r="I442" s="5"/>
      <c r="J442" s="3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2.75" customHeight="1">
      <c r="A443" s="5"/>
      <c r="B443" s="5"/>
      <c r="C443" s="22"/>
      <c r="D443" s="22"/>
      <c r="E443" s="35"/>
      <c r="F443" s="35"/>
      <c r="G443" s="5"/>
      <c r="H443" s="5"/>
      <c r="I443" s="5"/>
      <c r="J443" s="3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2.75" customHeight="1">
      <c r="A444" s="5"/>
      <c r="B444" s="5"/>
      <c r="C444" s="22"/>
      <c r="D444" s="22"/>
      <c r="E444" s="35"/>
      <c r="F444" s="35"/>
      <c r="G444" s="5"/>
      <c r="H444" s="5"/>
      <c r="I444" s="5"/>
      <c r="J444" s="3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2.75" customHeight="1">
      <c r="A445" s="5"/>
      <c r="B445" s="5"/>
      <c r="C445" s="22"/>
      <c r="D445" s="22"/>
      <c r="E445" s="35"/>
      <c r="F445" s="35"/>
      <c r="G445" s="5"/>
      <c r="H445" s="5"/>
      <c r="I445" s="5"/>
      <c r="J445" s="3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2.75" customHeight="1">
      <c r="A446" s="5"/>
      <c r="B446" s="5"/>
      <c r="C446" s="22"/>
      <c r="D446" s="22"/>
      <c r="E446" s="35"/>
      <c r="F446" s="35"/>
      <c r="G446" s="5"/>
      <c r="H446" s="5"/>
      <c r="I446" s="5"/>
      <c r="J446" s="3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2.75" customHeight="1">
      <c r="A447" s="5"/>
      <c r="B447" s="5"/>
      <c r="C447" s="22"/>
      <c r="D447" s="22"/>
      <c r="E447" s="35"/>
      <c r="F447" s="35"/>
      <c r="G447" s="5"/>
      <c r="H447" s="5"/>
      <c r="I447" s="5"/>
      <c r="J447" s="3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2.75" customHeight="1">
      <c r="A448" s="5"/>
      <c r="B448" s="5"/>
      <c r="C448" s="22"/>
      <c r="D448" s="22"/>
      <c r="E448" s="35"/>
      <c r="F448" s="35"/>
      <c r="G448" s="5"/>
      <c r="H448" s="5"/>
      <c r="I448" s="5"/>
      <c r="J448" s="3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2.75" customHeight="1">
      <c r="A449" s="5"/>
      <c r="B449" s="5"/>
      <c r="C449" s="22"/>
      <c r="D449" s="22"/>
      <c r="E449" s="35"/>
      <c r="F449" s="35"/>
      <c r="G449" s="5"/>
      <c r="H449" s="5"/>
      <c r="I449" s="5"/>
      <c r="J449" s="3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2.75" customHeight="1">
      <c r="A450" s="5"/>
      <c r="B450" s="5"/>
      <c r="C450" s="22"/>
      <c r="D450" s="22"/>
      <c r="E450" s="35"/>
      <c r="F450" s="35"/>
      <c r="G450" s="5"/>
      <c r="H450" s="5"/>
      <c r="I450" s="5"/>
      <c r="J450" s="3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2.75" customHeight="1">
      <c r="A451" s="5"/>
      <c r="B451" s="5"/>
      <c r="C451" s="22"/>
      <c r="D451" s="22"/>
      <c r="E451" s="35"/>
      <c r="F451" s="35"/>
      <c r="G451" s="5"/>
      <c r="H451" s="5"/>
      <c r="I451" s="5"/>
      <c r="J451" s="3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2.75" customHeight="1">
      <c r="A452" s="5"/>
      <c r="B452" s="5"/>
      <c r="C452" s="22"/>
      <c r="D452" s="22"/>
      <c r="E452" s="35"/>
      <c r="F452" s="35"/>
      <c r="G452" s="5"/>
      <c r="H452" s="5"/>
      <c r="I452" s="5"/>
      <c r="J452" s="3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2.75" customHeight="1">
      <c r="A453" s="5"/>
      <c r="B453" s="5"/>
      <c r="C453" s="22"/>
      <c r="D453" s="22"/>
      <c r="E453" s="35"/>
      <c r="F453" s="35"/>
      <c r="G453" s="5"/>
      <c r="H453" s="5"/>
      <c r="I453" s="5"/>
      <c r="J453" s="3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2.75" customHeight="1">
      <c r="A454" s="5"/>
      <c r="B454" s="5"/>
      <c r="C454" s="22"/>
      <c r="D454" s="22"/>
      <c r="E454" s="35"/>
      <c r="F454" s="35"/>
      <c r="G454" s="5"/>
      <c r="H454" s="5"/>
      <c r="I454" s="5"/>
      <c r="J454" s="3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2.75" customHeight="1">
      <c r="A455" s="5"/>
      <c r="B455" s="5"/>
      <c r="C455" s="22"/>
      <c r="D455" s="22"/>
      <c r="E455" s="35"/>
      <c r="F455" s="35"/>
      <c r="G455" s="5"/>
      <c r="H455" s="5"/>
      <c r="I455" s="5"/>
      <c r="J455" s="3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2.75" customHeight="1">
      <c r="A456" s="5"/>
      <c r="B456" s="5"/>
      <c r="C456" s="22"/>
      <c r="D456" s="22"/>
      <c r="E456" s="35"/>
      <c r="F456" s="35"/>
      <c r="G456" s="5"/>
      <c r="H456" s="5"/>
      <c r="I456" s="5"/>
      <c r="J456" s="3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2.75" customHeight="1">
      <c r="A457" s="5"/>
      <c r="B457" s="5"/>
      <c r="C457" s="22"/>
      <c r="D457" s="22"/>
      <c r="E457" s="35"/>
      <c r="F457" s="35"/>
      <c r="G457" s="5"/>
      <c r="H457" s="5"/>
      <c r="I457" s="5"/>
      <c r="J457" s="3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2.75" customHeight="1">
      <c r="A458" s="5"/>
      <c r="B458" s="5"/>
      <c r="C458" s="22"/>
      <c r="D458" s="22"/>
      <c r="E458" s="35"/>
      <c r="F458" s="35"/>
      <c r="G458" s="5"/>
      <c r="H458" s="5"/>
      <c r="I458" s="5"/>
      <c r="J458" s="3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2.75" customHeight="1">
      <c r="A459" s="5"/>
      <c r="B459" s="5"/>
      <c r="C459" s="22"/>
      <c r="D459" s="22"/>
      <c r="E459" s="35"/>
      <c r="F459" s="35"/>
      <c r="G459" s="5"/>
      <c r="H459" s="5"/>
      <c r="I459" s="5"/>
      <c r="J459" s="3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2.75" customHeight="1">
      <c r="A460" s="5"/>
      <c r="B460" s="5"/>
      <c r="C460" s="22"/>
      <c r="D460" s="22"/>
      <c r="E460" s="35"/>
      <c r="F460" s="35"/>
      <c r="G460" s="5"/>
      <c r="H460" s="5"/>
      <c r="I460" s="5"/>
      <c r="J460" s="3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2.75" customHeight="1">
      <c r="A461" s="5"/>
      <c r="B461" s="5"/>
      <c r="C461" s="22"/>
      <c r="D461" s="22"/>
      <c r="E461" s="35"/>
      <c r="F461" s="35"/>
      <c r="G461" s="5"/>
      <c r="H461" s="5"/>
      <c r="I461" s="5"/>
      <c r="J461" s="3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2.75" customHeight="1">
      <c r="A462" s="5"/>
      <c r="B462" s="5"/>
      <c r="C462" s="22"/>
      <c r="D462" s="22"/>
      <c r="E462" s="35"/>
      <c r="F462" s="35"/>
      <c r="G462" s="5"/>
      <c r="H462" s="5"/>
      <c r="I462" s="5"/>
      <c r="J462" s="3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2.75" customHeight="1">
      <c r="A463" s="5"/>
      <c r="B463" s="5"/>
      <c r="C463" s="22"/>
      <c r="D463" s="22"/>
      <c r="E463" s="35"/>
      <c r="F463" s="35"/>
      <c r="G463" s="5"/>
      <c r="H463" s="5"/>
      <c r="I463" s="5"/>
      <c r="J463" s="3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2.75" customHeight="1">
      <c r="A464" s="5"/>
      <c r="B464" s="5"/>
      <c r="C464" s="22"/>
      <c r="D464" s="22"/>
      <c r="E464" s="35"/>
      <c r="F464" s="35"/>
      <c r="G464" s="5"/>
      <c r="H464" s="5"/>
      <c r="I464" s="5"/>
      <c r="J464" s="3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2.75" customHeight="1">
      <c r="A465" s="5"/>
      <c r="B465" s="5"/>
      <c r="C465" s="22"/>
      <c r="D465" s="22"/>
      <c r="E465" s="35"/>
      <c r="F465" s="35"/>
      <c r="G465" s="5"/>
      <c r="H465" s="5"/>
      <c r="I465" s="5"/>
      <c r="J465" s="3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2.75" customHeight="1">
      <c r="A466" s="5"/>
      <c r="B466" s="5"/>
      <c r="C466" s="22"/>
      <c r="D466" s="22"/>
      <c r="E466" s="35"/>
      <c r="F466" s="35"/>
      <c r="G466" s="5"/>
      <c r="H466" s="5"/>
      <c r="I466" s="5"/>
      <c r="J466" s="3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2.75" customHeight="1">
      <c r="A467" s="5"/>
      <c r="B467" s="5"/>
      <c r="C467" s="22"/>
      <c r="D467" s="22"/>
      <c r="E467" s="35"/>
      <c r="F467" s="35"/>
      <c r="G467" s="5"/>
      <c r="H467" s="5"/>
      <c r="I467" s="5"/>
      <c r="J467" s="3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2.75" customHeight="1">
      <c r="A468" s="5"/>
      <c r="B468" s="5"/>
      <c r="C468" s="22"/>
      <c r="D468" s="22"/>
      <c r="E468" s="35"/>
      <c r="F468" s="35"/>
      <c r="G468" s="5"/>
      <c r="H468" s="5"/>
      <c r="I468" s="5"/>
      <c r="J468" s="3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2.75" customHeight="1">
      <c r="A469" s="5"/>
      <c r="B469" s="5"/>
      <c r="C469" s="22"/>
      <c r="D469" s="22"/>
      <c r="E469" s="35"/>
      <c r="F469" s="35"/>
      <c r="G469" s="5"/>
      <c r="H469" s="5"/>
      <c r="I469" s="5"/>
      <c r="J469" s="3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2.75" customHeight="1">
      <c r="A470" s="5"/>
      <c r="B470" s="5"/>
      <c r="C470" s="22"/>
      <c r="D470" s="22"/>
      <c r="E470" s="35"/>
      <c r="F470" s="35"/>
      <c r="G470" s="5"/>
      <c r="H470" s="5"/>
      <c r="I470" s="5"/>
      <c r="J470" s="3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2.75" customHeight="1">
      <c r="A471" s="5"/>
      <c r="B471" s="5"/>
      <c r="C471" s="22"/>
      <c r="D471" s="22"/>
      <c r="E471" s="35"/>
      <c r="F471" s="35"/>
      <c r="G471" s="5"/>
      <c r="H471" s="5"/>
      <c r="I471" s="5"/>
      <c r="J471" s="3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2.75" customHeight="1">
      <c r="A472" s="5"/>
      <c r="B472" s="5"/>
      <c r="C472" s="22"/>
      <c r="D472" s="22"/>
      <c r="E472" s="35"/>
      <c r="F472" s="35"/>
      <c r="G472" s="5"/>
      <c r="H472" s="5"/>
      <c r="I472" s="5"/>
      <c r="J472" s="3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2.75" customHeight="1">
      <c r="A473" s="5"/>
      <c r="B473" s="5"/>
      <c r="C473" s="22"/>
      <c r="D473" s="22"/>
      <c r="E473" s="35"/>
      <c r="F473" s="35"/>
      <c r="G473" s="5"/>
      <c r="H473" s="5"/>
      <c r="I473" s="5"/>
      <c r="J473" s="3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2.75" customHeight="1">
      <c r="A474" s="5"/>
      <c r="B474" s="5"/>
      <c r="C474" s="22"/>
      <c r="D474" s="22"/>
      <c r="E474" s="35"/>
      <c r="F474" s="35"/>
      <c r="G474" s="5"/>
      <c r="H474" s="5"/>
      <c r="I474" s="5"/>
      <c r="J474" s="3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2.75" customHeight="1">
      <c r="A475" s="5"/>
      <c r="B475" s="5"/>
      <c r="C475" s="22"/>
      <c r="D475" s="22"/>
      <c r="E475" s="35"/>
      <c r="F475" s="35"/>
      <c r="G475" s="5"/>
      <c r="H475" s="5"/>
      <c r="I475" s="5"/>
      <c r="J475" s="3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2.75" customHeight="1">
      <c r="A476" s="5"/>
      <c r="B476" s="5"/>
      <c r="C476" s="22"/>
      <c r="D476" s="22"/>
      <c r="E476" s="35"/>
      <c r="F476" s="35"/>
      <c r="G476" s="5"/>
      <c r="H476" s="5"/>
      <c r="I476" s="5"/>
      <c r="J476" s="3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2.75" customHeight="1">
      <c r="A477" s="5"/>
      <c r="B477" s="5"/>
      <c r="C477" s="22"/>
      <c r="D477" s="22"/>
      <c r="E477" s="35"/>
      <c r="F477" s="35"/>
      <c r="G477" s="5"/>
      <c r="H477" s="5"/>
      <c r="I477" s="5"/>
      <c r="J477" s="3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2.75" customHeight="1">
      <c r="A478" s="5"/>
      <c r="B478" s="5"/>
      <c r="C478" s="22"/>
      <c r="D478" s="22"/>
      <c r="E478" s="35"/>
      <c r="F478" s="35"/>
      <c r="G478" s="5"/>
      <c r="H478" s="5"/>
      <c r="I478" s="5"/>
      <c r="J478" s="3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2.75" customHeight="1">
      <c r="A479" s="5"/>
      <c r="B479" s="5"/>
      <c r="C479" s="22"/>
      <c r="D479" s="22"/>
      <c r="E479" s="35"/>
      <c r="F479" s="35"/>
      <c r="G479" s="5"/>
      <c r="H479" s="5"/>
      <c r="I479" s="5"/>
      <c r="J479" s="3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2.75" customHeight="1">
      <c r="A480" s="5"/>
      <c r="B480" s="5"/>
      <c r="C480" s="22"/>
      <c r="D480" s="22"/>
      <c r="E480" s="35"/>
      <c r="F480" s="35"/>
      <c r="G480" s="5"/>
      <c r="H480" s="5"/>
      <c r="I480" s="5"/>
      <c r="J480" s="3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2.75" customHeight="1">
      <c r="A481" s="5"/>
      <c r="B481" s="5"/>
      <c r="C481" s="22"/>
      <c r="D481" s="22"/>
      <c r="E481" s="35"/>
      <c r="F481" s="35"/>
      <c r="G481" s="5"/>
      <c r="H481" s="5"/>
      <c r="I481" s="5"/>
      <c r="J481" s="3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2.75" customHeight="1">
      <c r="A482" s="5"/>
      <c r="B482" s="5"/>
      <c r="C482" s="22"/>
      <c r="D482" s="22"/>
      <c r="E482" s="35"/>
      <c r="F482" s="35"/>
      <c r="G482" s="5"/>
      <c r="H482" s="5"/>
      <c r="I482" s="5"/>
      <c r="J482" s="3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2.75" customHeight="1">
      <c r="A483" s="5"/>
      <c r="B483" s="5"/>
      <c r="C483" s="22"/>
      <c r="D483" s="22"/>
      <c r="E483" s="35"/>
      <c r="F483" s="35"/>
      <c r="G483" s="5"/>
      <c r="H483" s="5"/>
      <c r="I483" s="5"/>
      <c r="J483" s="3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2.75" customHeight="1">
      <c r="A484" s="5"/>
      <c r="B484" s="5"/>
      <c r="C484" s="22"/>
      <c r="D484" s="22"/>
      <c r="E484" s="35"/>
      <c r="F484" s="35"/>
      <c r="G484" s="5"/>
      <c r="H484" s="5"/>
      <c r="I484" s="5"/>
      <c r="J484" s="3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2.75" customHeight="1">
      <c r="A485" s="5"/>
      <c r="B485" s="5"/>
      <c r="C485" s="22"/>
      <c r="D485" s="22"/>
      <c r="E485" s="35"/>
      <c r="F485" s="35"/>
      <c r="G485" s="5"/>
      <c r="H485" s="5"/>
      <c r="I485" s="5"/>
      <c r="J485" s="3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2.75" customHeight="1">
      <c r="A486" s="5"/>
      <c r="B486" s="5"/>
      <c r="C486" s="22"/>
      <c r="D486" s="22"/>
      <c r="E486" s="35"/>
      <c r="F486" s="35"/>
      <c r="G486" s="5"/>
      <c r="H486" s="5"/>
      <c r="I486" s="5"/>
      <c r="J486" s="3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2.75" customHeight="1">
      <c r="A487" s="5"/>
      <c r="B487" s="5"/>
      <c r="C487" s="22"/>
      <c r="D487" s="22"/>
      <c r="E487" s="35"/>
      <c r="F487" s="35"/>
      <c r="G487" s="5"/>
      <c r="H487" s="5"/>
      <c r="I487" s="5"/>
      <c r="J487" s="3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2.75" customHeight="1">
      <c r="A488" s="5"/>
      <c r="B488" s="5"/>
      <c r="C488" s="22"/>
      <c r="D488" s="22"/>
      <c r="E488" s="35"/>
      <c r="F488" s="35"/>
      <c r="G488" s="5"/>
      <c r="H488" s="5"/>
      <c r="I488" s="5"/>
      <c r="J488" s="3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2.75" customHeight="1">
      <c r="A489" s="5"/>
      <c r="B489" s="5"/>
      <c r="C489" s="22"/>
      <c r="D489" s="22"/>
      <c r="E489" s="35"/>
      <c r="F489" s="35"/>
      <c r="G489" s="5"/>
      <c r="H489" s="5"/>
      <c r="I489" s="5"/>
      <c r="J489" s="3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2.75" customHeight="1">
      <c r="A490" s="5"/>
      <c r="B490" s="5"/>
      <c r="C490" s="22"/>
      <c r="D490" s="22"/>
      <c r="E490" s="35"/>
      <c r="F490" s="35"/>
      <c r="G490" s="5"/>
      <c r="H490" s="5"/>
      <c r="I490" s="5"/>
      <c r="J490" s="3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2.75" customHeight="1">
      <c r="A491" s="5"/>
      <c r="B491" s="5"/>
      <c r="C491" s="22"/>
      <c r="D491" s="22"/>
      <c r="E491" s="35"/>
      <c r="F491" s="35"/>
      <c r="G491" s="5"/>
      <c r="H491" s="5"/>
      <c r="I491" s="5"/>
      <c r="J491" s="3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2.75" customHeight="1">
      <c r="A492" s="5"/>
      <c r="B492" s="5"/>
      <c r="C492" s="22"/>
      <c r="D492" s="22"/>
      <c r="E492" s="35"/>
      <c r="F492" s="35"/>
      <c r="G492" s="5"/>
      <c r="H492" s="5"/>
      <c r="I492" s="5"/>
      <c r="J492" s="3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2.75" customHeight="1">
      <c r="A493" s="5"/>
      <c r="B493" s="5"/>
      <c r="C493" s="22"/>
      <c r="D493" s="22"/>
      <c r="E493" s="35"/>
      <c r="F493" s="35"/>
      <c r="G493" s="5"/>
      <c r="H493" s="5"/>
      <c r="I493" s="5"/>
      <c r="J493" s="3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2.75" customHeight="1">
      <c r="A494" s="5"/>
      <c r="B494" s="5"/>
      <c r="C494" s="22"/>
      <c r="D494" s="22"/>
      <c r="E494" s="35"/>
      <c r="F494" s="35"/>
      <c r="G494" s="5"/>
      <c r="H494" s="5"/>
      <c r="I494" s="5"/>
      <c r="J494" s="3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2.75" customHeight="1">
      <c r="A495" s="5"/>
      <c r="B495" s="5"/>
      <c r="C495" s="22"/>
      <c r="D495" s="22"/>
      <c r="E495" s="35"/>
      <c r="F495" s="35"/>
      <c r="G495" s="5"/>
      <c r="H495" s="5"/>
      <c r="I495" s="5"/>
      <c r="J495" s="3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2.75" customHeight="1">
      <c r="A496" s="5"/>
      <c r="B496" s="5"/>
      <c r="C496" s="22"/>
      <c r="D496" s="22"/>
      <c r="E496" s="35"/>
      <c r="F496" s="35"/>
      <c r="G496" s="5"/>
      <c r="H496" s="5"/>
      <c r="I496" s="5"/>
      <c r="J496" s="3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ht="14.2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ht="14.2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ht="14.2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ht="14.2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ht="14.2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ht="14.2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ht="14.2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ht="14.2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ht="14.2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ht="14.2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ht="14.2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ht="14.2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ht="14.2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ht="14.2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ht="14.2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ht="14.2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ht="14.2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ht="14.2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ht="14.2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ht="14.2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ht="14.2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ht="14.2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ht="14.2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ht="14.2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ht="14.2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ht="14.2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ht="14.2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ht="14.2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ht="14.2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ht="14.2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ht="14.2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ht="14.2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ht="14.2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ht="14.2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ht="14.2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ht="14.2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ht="14.2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ht="14.2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ht="14.2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ht="14.2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ht="14.2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ht="14.2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ht="14.2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ht="14.2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ht="14.2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ht="14.2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ht="14.2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ht="14.2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ht="14.2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ht="14.2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ht="14.2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ht="14.2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ht="14.2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ht="14.2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ht="14.2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ht="14.2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ht="14.2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ht="14.2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ht="14.2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ht="14.2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ht="14.2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ht="14.2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ht="14.2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ht="14.2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ht="14.2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ht="14.2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ht="14.2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ht="14.2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ht="14.2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ht="14.2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ht="14.2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ht="14.2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ht="14.2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ht="14.2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ht="14.2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ht="14.2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ht="14.2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ht="14.2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ht="14.2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ht="14.2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ht="14.2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ht="14.2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ht="14.2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ht="14.2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ht="14.2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ht="14.2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ht="14.2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ht="14.2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ht="14.2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ht="14.2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ht="14.2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ht="14.2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ht="14.2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ht="14.2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ht="14.2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ht="14.2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ht="14.2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ht="14.2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ht="14.2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ht="14.2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ht="14.2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ht="14.2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ht="14.2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ht="14.2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ht="14.2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ht="14.2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ht="14.2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ht="14.2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ht="14.2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ht="14.2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ht="14.2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ht="14.2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ht="14.2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ht="14.2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ht="14.2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ht="14.2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ht="14.2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ht="14.2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ht="14.2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ht="14.2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ht="14.2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ht="14.2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ht="14.2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ht="14.2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ht="14.2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ht="14.2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ht="14.2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ht="14.2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ht="14.2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ht="14.2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ht="14.2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ht="14.2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ht="14.2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ht="14.2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ht="14.2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ht="14.2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ht="14.2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ht="14.2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ht="14.2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ht="14.2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ht="14.2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ht="14.2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ht="14.2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ht="14.2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ht="14.2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ht="14.2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ht="14.2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ht="14.2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ht="14.2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ht="14.2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ht="14.2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ht="14.2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ht="14.2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ht="14.2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ht="14.2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ht="14.2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ht="14.2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ht="14.2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ht="14.2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ht="14.2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ht="14.2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ht="14.2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ht="14.2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ht="14.2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ht="14.2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ht="14.2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ht="14.2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ht="14.2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ht="14.2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ht="14.2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ht="14.2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ht="14.2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ht="14.2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ht="14.2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ht="14.2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ht="14.2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ht="14.2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ht="14.2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ht="14.2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ht="14.2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ht="14.2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ht="14.2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ht="14.2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ht="14.2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ht="14.2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ht="14.2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ht="14.2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ht="14.2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ht="14.2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ht="14.2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ht="14.2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ht="14.2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ht="14.2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ht="14.2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ht="14.2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ht="14.2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ht="14.2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ht="14.2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ht="14.2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ht="14.2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ht="14.2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ht="14.2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ht="14.2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ht="14.2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ht="14.2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ht="14.2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ht="14.2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ht="14.2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ht="14.2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ht="14.2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ht="14.2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ht="14.2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ht="14.2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ht="14.2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ht="14.2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ht="14.2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ht="14.2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ht="14.2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ht="14.2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ht="14.2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ht="14.2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ht="14.2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ht="14.2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ht="14.2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ht="14.2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ht="14.2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ht="14.2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ht="14.2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ht="14.2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ht="14.2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ht="14.2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ht="14.2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ht="14.2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ht="14.2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ht="14.2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ht="14.2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ht="14.2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ht="14.2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ht="14.2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ht="14.2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ht="14.2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ht="14.2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ht="14.2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ht="14.2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ht="14.2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ht="14.2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ht="14.2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ht="14.2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ht="14.2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ht="14.2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ht="14.2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ht="14.2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ht="14.2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ht="14.2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ht="14.2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ht="14.2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ht="14.2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ht="14.2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ht="14.2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ht="14.2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ht="14.2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ht="14.2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ht="14.2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ht="14.2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ht="14.2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ht="14.2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ht="14.2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ht="14.2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ht="14.2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ht="14.2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ht="14.2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ht="14.2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ht="14.2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ht="14.2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ht="14.2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ht="14.2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ht="14.2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ht="14.2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ht="14.2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ht="14.2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ht="14.2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ht="14.2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ht="14.2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ht="14.2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ht="14.2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ht="14.2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ht="14.2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ht="14.2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ht="14.2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ht="14.2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ht="14.2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ht="14.2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ht="14.2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ht="14.2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ht="14.2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ht="14.2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ht="14.2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ht="14.2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ht="14.2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ht="14.2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ht="14.2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ht="14.2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ht="14.2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ht="14.2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ht="14.2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ht="14.2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ht="14.2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ht="14.2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ht="14.2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ht="14.2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ht="14.2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ht="14.2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ht="14.2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ht="14.2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ht="14.2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ht="14.2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ht="14.2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ht="14.2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ht="14.2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ht="14.2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ht="14.2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ht="14.2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ht="14.2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ht="14.2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ht="14.2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ht="14.2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ht="14.2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ht="14.2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ht="14.2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ht="14.2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ht="14.2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ht="14.2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ht="14.2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ht="14.2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ht="14.2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ht="14.2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ht="14.2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ht="14.2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ht="14.2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ht="14.2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ht="14.2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ht="14.2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ht="14.2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ht="14.2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ht="14.2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ht="14.2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ht="14.2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ht="14.2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ht="14.2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ht="14.2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ht="14.2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ht="14.2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ht="14.2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ht="14.2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ht="14.2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ht="14.2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ht="14.2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ht="14.2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ht="14.2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ht="14.2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ht="14.2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ht="14.2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ht="14.2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ht="14.2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ht="14.2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ht="14.2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ht="14.2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ht="14.2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ht="14.2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ht="14.2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ht="14.2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ht="14.2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ht="14.2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ht="14.2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ht="14.2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ht="14.2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ht="14.2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ht="14.2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ht="14.2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ht="14.2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ht="14.2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ht="14.2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ht="14.2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ht="14.2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ht="14.2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ht="14.2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ht="14.2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ht="14.2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ht="14.2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ht="14.2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ht="14.2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ht="14.2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ht="14.2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ht="14.2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ht="14.2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ht="14.2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ht="14.2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ht="14.2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ht="14.2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ht="14.2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ht="14.2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ht="14.2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ht="14.2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ht="14.2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ht="14.2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ht="14.2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ht="14.2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ht="14.2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ht="14.2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ht="14.2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ht="14.2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ht="14.2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ht="14.2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ht="14.2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ht="14.2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ht="14.2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ht="14.2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ht="14.2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ht="14.2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ht="14.2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ht="14.2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ht="14.2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ht="14.2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ht="14.2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ht="14.2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ht="14.2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ht="14.2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ht="14.2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ht="14.2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ht="14.2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ht="14.2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ht="14.2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ht="14.2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ht="14.2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ht="14.2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ht="14.2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ht="14.2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ht="14.2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ht="14.2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ht="14.2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ht="14.2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ht="14.2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ht="14.2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ht="14.2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ht="14.2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ht="14.2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ht="14.2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ht="14.2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ht="14.2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ht="14.2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ht="14.2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ht="14.2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ht="14.2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ht="14.2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ht="14.2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ht="14.2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ht="14.2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ht="14.2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ht="14.2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ht="14.2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ht="14.2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ht="14.2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ht="14.2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ht="14.2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ht="14.2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ht="14.2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ht="14.2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ht="14.2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ht="14.2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ht="14.2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ht="14.2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ht="14.2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ht="14.2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ht="14.2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ht="14.2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ht="14.2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ht="14.2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ht="14.2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ht="14.2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ht="14.2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ht="14.2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ht="14.2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ht="14.2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ht="14.2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ht="14.2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ht="14.2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ht="14.2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ht="14.2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ht="14.2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ht="14.2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ht="14.2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ht="14.2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ht="14.2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ht="14.2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ht="14.2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ht="14.2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ht="14.2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ht="14.2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ht="14.2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ht="14.2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ht="14.2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ht="14.2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ht="14.2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  <row r="1001" ht="14.25" customHeight="1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  <c r="Z1001" s="60"/>
    </row>
  </sheetData>
  <conditionalFormatting sqref="I34">
    <cfRule type="expression" dxfId="0" priority="1">
      <formula>ISEVEN(ROW())</formula>
    </cfRule>
  </conditionalFormatting>
  <conditionalFormatting sqref="I35">
    <cfRule type="expression" dxfId="0" priority="2">
      <formula>ISEVEN(ROW())</formula>
    </cfRule>
  </conditionalFormatting>
  <conditionalFormatting sqref="K35">
    <cfRule type="expression" dxfId="0" priority="3">
      <formula>ISEVEN(ROW())</formula>
    </cfRule>
  </conditionalFormatting>
  <conditionalFormatting sqref="I37">
    <cfRule type="expression" dxfId="0" priority="4">
      <formula>ISEVEN(ROW())</formula>
    </cfRule>
  </conditionalFormatting>
  <conditionalFormatting sqref="K37">
    <cfRule type="expression" dxfId="0" priority="5">
      <formula>ISEVEN(ROW())</formula>
    </cfRule>
  </conditionalFormatting>
  <conditionalFormatting sqref="I83">
    <cfRule type="expression" dxfId="0" priority="6">
      <formula>ISEVEN(ROW())</formula>
    </cfRule>
  </conditionalFormatting>
  <conditionalFormatting sqref="K83">
    <cfRule type="expression" dxfId="0" priority="7">
      <formula>ISEVEN(ROW())</formula>
    </cfRule>
  </conditionalFormatting>
  <conditionalFormatting sqref="I89">
    <cfRule type="expression" dxfId="0" priority="8">
      <formula>ISEVEN(ROW())</formula>
    </cfRule>
  </conditionalFormatting>
  <conditionalFormatting sqref="D101">
    <cfRule type="expression" dxfId="0" priority="9">
      <formula>ISEVEN(ROW())</formula>
    </cfRule>
  </conditionalFormatting>
  <conditionalFormatting sqref="I101">
    <cfRule type="expression" dxfId="0" priority="10">
      <formula>ISEVEN(ROW())</formula>
    </cfRule>
  </conditionalFormatting>
  <conditionalFormatting sqref="K101">
    <cfRule type="expression" dxfId="0" priority="11">
      <formula>ISEVEN(ROW())</formula>
    </cfRule>
  </conditionalFormatting>
  <conditionalFormatting sqref="D108">
    <cfRule type="expression" dxfId="0" priority="12">
      <formula>ISEVEN(ROW())</formula>
    </cfRule>
  </conditionalFormatting>
  <conditionalFormatting sqref="I108">
    <cfRule type="expression" dxfId="0" priority="13">
      <formula>ISEVEN(ROW())</formula>
    </cfRule>
  </conditionalFormatting>
  <conditionalFormatting sqref="K108">
    <cfRule type="expression" dxfId="0" priority="14">
      <formula>ISEVEN(ROW())</formula>
    </cfRule>
  </conditionalFormatting>
  <conditionalFormatting sqref="D124">
    <cfRule type="expression" dxfId="0" priority="15">
      <formula>ISEVEN(ROW())</formula>
    </cfRule>
  </conditionalFormatting>
  <conditionalFormatting sqref="I124">
    <cfRule type="expression" dxfId="0" priority="16">
      <formula>ISEVEN(ROW())</formula>
    </cfRule>
  </conditionalFormatting>
  <conditionalFormatting sqref="K124">
    <cfRule type="expression" dxfId="0" priority="17">
      <formula>ISEVEN(ROW())</formula>
    </cfRule>
  </conditionalFormatting>
  <conditionalFormatting sqref="I147">
    <cfRule type="expression" dxfId="0" priority="18">
      <formula>ISEVEN(ROW())</formula>
    </cfRule>
  </conditionalFormatting>
  <conditionalFormatting sqref="K147">
    <cfRule type="expression" dxfId="0" priority="19">
      <formula>ISEVEN(ROW())</formula>
    </cfRule>
  </conditionalFormatting>
  <conditionalFormatting sqref="D148">
    <cfRule type="expression" dxfId="0" priority="20">
      <formula>ISEVEN(ROW())</formula>
    </cfRule>
  </conditionalFormatting>
  <conditionalFormatting sqref="I148">
    <cfRule type="expression" dxfId="0" priority="21">
      <formula>ISEVEN(ROW())</formula>
    </cfRule>
  </conditionalFormatting>
  <conditionalFormatting sqref="K148">
    <cfRule type="expression" dxfId="0" priority="22">
      <formula>ISEVEN(ROW())</formula>
    </cfRule>
  </conditionalFormatting>
  <conditionalFormatting sqref="A252:I252 K252">
    <cfRule type="expression" dxfId="0" priority="23">
      <formula>ISEVEN(ROW())</formula>
    </cfRule>
  </conditionalFormatting>
  <conditionalFormatting sqref="C276">
    <cfRule type="expression" dxfId="0" priority="24">
      <formula>ISEVEN(ROW())</formula>
    </cfRule>
  </conditionalFormatting>
  <conditionalFormatting sqref="D276">
    <cfRule type="expression" dxfId="0" priority="25">
      <formula>ISEVEN(ROW())</formula>
    </cfRule>
  </conditionalFormatting>
  <conditionalFormatting sqref="E276">
    <cfRule type="expression" dxfId="0" priority="26">
      <formula>ISEVEN(ROW())</formula>
    </cfRule>
  </conditionalFormatting>
  <conditionalFormatting sqref="I276">
    <cfRule type="expression" dxfId="0" priority="27">
      <formula>ISEVEN(ROW())</formula>
    </cfRule>
  </conditionalFormatting>
  <conditionalFormatting sqref="K276">
    <cfRule type="expression" dxfId="0" priority="28">
      <formula>ISEVEN(ROW())</formula>
    </cfRule>
  </conditionalFormatting>
  <conditionalFormatting sqref="D277">
    <cfRule type="expression" dxfId="0" priority="29">
      <formula>ISEVEN(ROW())</formula>
    </cfRule>
  </conditionalFormatting>
  <conditionalFormatting sqref="E277">
    <cfRule type="expression" dxfId="0" priority="30">
      <formula>ISEVEN(ROW())</formula>
    </cfRule>
  </conditionalFormatting>
  <conditionalFormatting sqref="G277">
    <cfRule type="expression" dxfId="0" priority="31">
      <formula>ISEVEN(ROW())</formula>
    </cfRule>
  </conditionalFormatting>
  <conditionalFormatting sqref="I277">
    <cfRule type="expression" dxfId="0" priority="32">
      <formula>ISEVEN(ROW())</formula>
    </cfRule>
  </conditionalFormatting>
  <conditionalFormatting sqref="J277">
    <cfRule type="expression" dxfId="0" priority="33">
      <formula>ISEVEN(ROW())</formula>
    </cfRule>
  </conditionalFormatting>
  <conditionalFormatting sqref="K277">
    <cfRule type="expression" dxfId="0" priority="34">
      <formula>ISEVEN(ROW())</formula>
    </cfRule>
  </conditionalFormatting>
  <dataValidations>
    <dataValidation type="list" allowBlank="1" showDropDown="1" sqref="G2:G275 G277:G296">
      <formula1>"43101.0,1-N,0-1,0-N"</formula1>
    </dataValidation>
    <dataValidation type="list" allowBlank="1" showDropDown="1" sqref="E2:E296">
      <formula1>"G,E,CG,CE,A"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29"/>
    <col customWidth="1" min="2" max="2" width="4.43"/>
    <col customWidth="1" min="3" max="3" width="28.86"/>
    <col customWidth="1" min="4" max="4" width="45.43"/>
    <col customWidth="1" min="5" max="5" width="3.43"/>
    <col customWidth="1" min="6" max="6" width="7.43"/>
    <col customWidth="1" min="7" max="7" width="11.0"/>
    <col customWidth="1" min="8" max="8" width="4.43"/>
    <col customWidth="1" min="9" max="9" width="44.86"/>
    <col customWidth="1" min="10" max="10" width="7.43"/>
    <col customWidth="1" min="11" max="11" width="9.14"/>
    <col customWidth="1" min="12" max="26" width="8.71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2.75" customHeight="1">
      <c r="A2" s="7">
        <f t="shared" ref="A2:A7" si="1">ROW()-1</f>
        <v>1</v>
      </c>
      <c r="B2" s="7" t="str">
        <f t="shared" ref="B2:B7" si="2">CONCATENATE("B",IF(A2&lt;=9,0,),A2)</f>
        <v>B01</v>
      </c>
      <c r="C2" s="8" t="s">
        <v>12</v>
      </c>
      <c r="D2" s="11" t="s">
        <v>14</v>
      </c>
      <c r="E2" s="13" t="s">
        <v>13</v>
      </c>
      <c r="F2" s="14" t="s">
        <v>15</v>
      </c>
      <c r="G2" s="16" t="s">
        <v>16</v>
      </c>
      <c r="H2" s="7" t="s">
        <v>17</v>
      </c>
      <c r="I2" s="8" t="s">
        <v>20</v>
      </c>
      <c r="J2" s="9" t="s">
        <v>22</v>
      </c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ht="13.5" customHeight="1">
      <c r="A3" s="7">
        <f t="shared" si="1"/>
        <v>2</v>
      </c>
      <c r="B3" s="7" t="str">
        <f t="shared" si="2"/>
        <v>B02</v>
      </c>
      <c r="C3" s="8" t="s">
        <v>23</v>
      </c>
      <c r="D3" s="11" t="s">
        <v>25</v>
      </c>
      <c r="E3" s="13" t="s">
        <v>13</v>
      </c>
      <c r="F3" s="14" t="s">
        <v>15</v>
      </c>
      <c r="G3" s="16" t="s">
        <v>27</v>
      </c>
      <c r="H3" s="7" t="str">
        <f>$B$2</f>
        <v>B01</v>
      </c>
      <c r="I3" s="8"/>
      <c r="J3" s="9" t="s">
        <v>22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2.75" customHeight="1">
      <c r="A4" s="15">
        <f t="shared" si="1"/>
        <v>3</v>
      </c>
      <c r="B4" s="15" t="str">
        <f t="shared" si="2"/>
        <v>B03</v>
      </c>
      <c r="C4" s="10" t="s">
        <v>31</v>
      </c>
      <c r="D4" s="12" t="s">
        <v>32</v>
      </c>
      <c r="E4" s="23" t="s">
        <v>21</v>
      </c>
      <c r="F4" s="24" t="s">
        <v>36</v>
      </c>
      <c r="G4" s="26" t="s">
        <v>16</v>
      </c>
      <c r="H4" s="15" t="str">
        <f t="shared" ref="H4:H7" si="3">B$3</f>
        <v>B02</v>
      </c>
      <c r="I4" s="10"/>
      <c r="J4" s="25" t="s">
        <v>22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2.75" customHeight="1">
      <c r="A5" s="15">
        <f t="shared" si="1"/>
        <v>4</v>
      </c>
      <c r="B5" s="15" t="str">
        <f t="shared" si="2"/>
        <v>B04</v>
      </c>
      <c r="C5" s="10" t="s">
        <v>40</v>
      </c>
      <c r="D5" s="12" t="s">
        <v>41</v>
      </c>
      <c r="E5" s="23" t="s">
        <v>21</v>
      </c>
      <c r="F5" s="24" t="s">
        <v>42</v>
      </c>
      <c r="G5" s="26" t="s">
        <v>16</v>
      </c>
      <c r="H5" s="15" t="str">
        <f t="shared" si="3"/>
        <v>B02</v>
      </c>
      <c r="I5" s="10"/>
      <c r="J5" s="25" t="s">
        <v>22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2.75" customHeight="1">
      <c r="A6" s="15">
        <f t="shared" si="1"/>
        <v>5</v>
      </c>
      <c r="B6" s="15" t="str">
        <f t="shared" si="2"/>
        <v>B05</v>
      </c>
      <c r="C6" s="10" t="s">
        <v>46</v>
      </c>
      <c r="D6" s="12" t="s">
        <v>47</v>
      </c>
      <c r="E6" s="23" t="s">
        <v>21</v>
      </c>
      <c r="F6" s="24" t="s">
        <v>48</v>
      </c>
      <c r="G6" s="26" t="s">
        <v>49</v>
      </c>
      <c r="H6" s="15" t="str">
        <f t="shared" si="3"/>
        <v>B02</v>
      </c>
      <c r="I6" s="10" t="s">
        <v>50</v>
      </c>
      <c r="J6" s="25" t="s">
        <v>22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15">
        <f t="shared" si="1"/>
        <v>6</v>
      </c>
      <c r="B7" s="15" t="str">
        <f t="shared" si="2"/>
        <v>B06</v>
      </c>
      <c r="C7" s="10" t="s">
        <v>53</v>
      </c>
      <c r="D7" s="21" t="s">
        <v>55</v>
      </c>
      <c r="E7" s="23" t="s">
        <v>21</v>
      </c>
      <c r="F7" s="24" t="s">
        <v>39</v>
      </c>
      <c r="G7" s="26" t="s">
        <v>49</v>
      </c>
      <c r="H7" s="15" t="str">
        <f t="shared" si="3"/>
        <v>B02</v>
      </c>
      <c r="I7" s="19" t="s">
        <v>59</v>
      </c>
      <c r="J7" s="25" t="s">
        <v>60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2.75" customHeight="1">
      <c r="A8" s="5"/>
      <c r="B8" s="5"/>
      <c r="C8" s="5"/>
      <c r="D8" s="5"/>
      <c r="E8" s="5"/>
      <c r="F8" s="5"/>
      <c r="G8" s="5"/>
      <c r="H8" s="5"/>
      <c r="I8" s="5"/>
      <c r="J8" s="3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2.75" customHeight="1">
      <c r="A9" s="5"/>
      <c r="B9" s="5"/>
      <c r="C9" s="5"/>
      <c r="D9" s="5"/>
      <c r="E9" s="5"/>
      <c r="F9" s="5"/>
      <c r="G9" s="5"/>
      <c r="H9" s="5"/>
      <c r="I9" s="5"/>
      <c r="J9" s="3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2.75" customHeight="1">
      <c r="A10" s="5"/>
      <c r="B10" s="5"/>
      <c r="C10" s="5"/>
      <c r="D10" s="5"/>
      <c r="E10" s="5"/>
      <c r="F10" s="5"/>
      <c r="G10" s="5"/>
      <c r="H10" s="5"/>
      <c r="I10" s="5"/>
      <c r="J10" s="3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2.75" customHeight="1">
      <c r="A11" s="5"/>
      <c r="B11" s="5"/>
      <c r="C11" s="5"/>
      <c r="D11" s="5"/>
      <c r="E11" s="5"/>
      <c r="F11" s="5"/>
      <c r="G11" s="5"/>
      <c r="H11" s="5"/>
      <c r="I11" s="5"/>
      <c r="J11" s="3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2.75" customHeight="1">
      <c r="A12" s="5"/>
      <c r="B12" s="5"/>
      <c r="C12" s="5"/>
      <c r="D12" s="5"/>
      <c r="E12" s="5"/>
      <c r="F12" s="5"/>
      <c r="G12" s="5"/>
      <c r="H12" s="5"/>
      <c r="I12" s="5"/>
      <c r="J12" s="3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2.75" customHeight="1">
      <c r="A13" s="5"/>
      <c r="B13" s="5"/>
      <c r="C13" s="5"/>
      <c r="D13" s="5"/>
      <c r="E13" s="5"/>
      <c r="F13" s="5"/>
      <c r="G13" s="5"/>
      <c r="H13" s="5"/>
      <c r="I13" s="5"/>
      <c r="J13" s="3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2.75" customHeight="1">
      <c r="A14" s="5"/>
      <c r="B14" s="5"/>
      <c r="C14" s="5"/>
      <c r="D14" s="5"/>
      <c r="E14" s="5"/>
      <c r="F14" s="5"/>
      <c r="G14" s="5"/>
      <c r="H14" s="5"/>
      <c r="I14" s="5"/>
      <c r="J14" s="3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2.75" customHeight="1">
      <c r="A15" s="5"/>
      <c r="B15" s="5"/>
      <c r="C15" s="5"/>
      <c r="D15" s="5"/>
      <c r="E15" s="5"/>
      <c r="F15" s="5"/>
      <c r="G15" s="5"/>
      <c r="H15" s="5"/>
      <c r="I15" s="5"/>
      <c r="J15" s="3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2.75" customHeight="1">
      <c r="A16" s="5"/>
      <c r="B16" s="5"/>
      <c r="C16" s="5"/>
      <c r="D16" s="5"/>
      <c r="E16" s="5"/>
      <c r="F16" s="5"/>
      <c r="G16" s="5"/>
      <c r="H16" s="5"/>
      <c r="I16" s="5"/>
      <c r="J16" s="3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2.75" customHeight="1">
      <c r="A17" s="5"/>
      <c r="B17" s="5"/>
      <c r="C17" s="5"/>
      <c r="D17" s="5"/>
      <c r="E17" s="5"/>
      <c r="F17" s="5"/>
      <c r="G17" s="5"/>
      <c r="H17" s="5"/>
      <c r="I17" s="5"/>
      <c r="J17" s="3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2.75" customHeight="1">
      <c r="A18" s="5"/>
      <c r="B18" s="5"/>
      <c r="C18" s="5"/>
      <c r="D18" s="5"/>
      <c r="E18" s="5"/>
      <c r="F18" s="5"/>
      <c r="G18" s="5"/>
      <c r="H18" s="5"/>
      <c r="I18" s="5"/>
      <c r="J18" s="3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2.75" customHeight="1">
      <c r="A19" s="5"/>
      <c r="B19" s="5"/>
      <c r="C19" s="5"/>
      <c r="D19" s="5"/>
      <c r="E19" s="5"/>
      <c r="F19" s="5"/>
      <c r="G19" s="5"/>
      <c r="H19" s="5"/>
      <c r="I19" s="5"/>
      <c r="J19" s="3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2.75" customHeight="1">
      <c r="A20" s="5"/>
      <c r="B20" s="5"/>
      <c r="C20" s="5"/>
      <c r="D20" s="5"/>
      <c r="E20" s="5"/>
      <c r="F20" s="5"/>
      <c r="G20" s="5"/>
      <c r="H20" s="5"/>
      <c r="I20" s="5"/>
      <c r="J20" s="3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2.75" customHeight="1">
      <c r="A21" s="5"/>
      <c r="B21" s="5"/>
      <c r="C21" s="5"/>
      <c r="D21" s="5"/>
      <c r="E21" s="5"/>
      <c r="F21" s="5"/>
      <c r="G21" s="5"/>
      <c r="H21" s="5"/>
      <c r="I21" s="5"/>
      <c r="J21" s="3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5"/>
      <c r="B22" s="5"/>
      <c r="C22" s="5"/>
      <c r="D22" s="5"/>
      <c r="E22" s="5"/>
      <c r="F22" s="5"/>
      <c r="G22" s="5"/>
      <c r="H22" s="5"/>
      <c r="I22" s="5"/>
      <c r="J22" s="3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2.75" customHeight="1">
      <c r="A23" s="5"/>
      <c r="B23" s="5"/>
      <c r="C23" s="5"/>
      <c r="D23" s="5"/>
      <c r="E23" s="5"/>
      <c r="F23" s="5"/>
      <c r="G23" s="5"/>
      <c r="H23" s="5"/>
      <c r="I23" s="5"/>
      <c r="J23" s="3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2.75" customHeight="1">
      <c r="A24" s="5"/>
      <c r="B24" s="5"/>
      <c r="C24" s="5"/>
      <c r="D24" s="5"/>
      <c r="E24" s="5"/>
      <c r="F24" s="5"/>
      <c r="G24" s="5"/>
      <c r="H24" s="5"/>
      <c r="I24" s="5"/>
      <c r="J24" s="3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2.75" customHeight="1">
      <c r="A25" s="5"/>
      <c r="B25" s="5"/>
      <c r="C25" s="5"/>
      <c r="D25" s="5"/>
      <c r="E25" s="5"/>
      <c r="F25" s="5"/>
      <c r="G25" s="5"/>
      <c r="H25" s="5"/>
      <c r="I25" s="5"/>
      <c r="J25" s="3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2.75" customHeight="1">
      <c r="A26" s="5"/>
      <c r="B26" s="5"/>
      <c r="C26" s="5"/>
      <c r="D26" s="5"/>
      <c r="E26" s="5"/>
      <c r="F26" s="5"/>
      <c r="G26" s="5"/>
      <c r="H26" s="5"/>
      <c r="I26" s="5"/>
      <c r="J26" s="3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2.75" customHeight="1">
      <c r="A27" s="5"/>
      <c r="B27" s="5"/>
      <c r="C27" s="5"/>
      <c r="D27" s="5"/>
      <c r="E27" s="5"/>
      <c r="F27" s="5"/>
      <c r="G27" s="5"/>
      <c r="H27" s="5"/>
      <c r="I27" s="5"/>
      <c r="J27" s="3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2.75" customHeight="1">
      <c r="A28" s="5"/>
      <c r="B28" s="5"/>
      <c r="C28" s="5"/>
      <c r="D28" s="5"/>
      <c r="E28" s="5"/>
      <c r="F28" s="5"/>
      <c r="G28" s="5"/>
      <c r="H28" s="5"/>
      <c r="I28" s="5"/>
      <c r="J28" s="3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2.75" customHeight="1">
      <c r="A29" s="5"/>
      <c r="B29" s="5"/>
      <c r="C29" s="5"/>
      <c r="D29" s="5"/>
      <c r="E29" s="5"/>
      <c r="F29" s="5"/>
      <c r="G29" s="5"/>
      <c r="H29" s="5"/>
      <c r="I29" s="5"/>
      <c r="J29" s="3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2.75" customHeight="1">
      <c r="A30" s="5"/>
      <c r="B30" s="5"/>
      <c r="C30" s="5"/>
      <c r="D30" s="5"/>
      <c r="E30" s="5"/>
      <c r="F30" s="5"/>
      <c r="G30" s="5"/>
      <c r="H30" s="5"/>
      <c r="I30" s="5"/>
      <c r="J30" s="3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2.75" customHeight="1">
      <c r="A31" s="5"/>
      <c r="B31" s="5"/>
      <c r="C31" s="5"/>
      <c r="D31" s="5"/>
      <c r="E31" s="5"/>
      <c r="F31" s="5"/>
      <c r="G31" s="5"/>
      <c r="H31" s="5"/>
      <c r="I31" s="5"/>
      <c r="J31" s="3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2.75" customHeight="1">
      <c r="A32" s="5"/>
      <c r="B32" s="5"/>
      <c r="C32" s="5"/>
      <c r="D32" s="5"/>
      <c r="E32" s="5"/>
      <c r="F32" s="5"/>
      <c r="G32" s="5"/>
      <c r="H32" s="5"/>
      <c r="I32" s="5"/>
      <c r="J32" s="3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2.75" customHeight="1">
      <c r="A33" s="5"/>
      <c r="B33" s="5"/>
      <c r="C33" s="5"/>
      <c r="D33" s="5"/>
      <c r="E33" s="5"/>
      <c r="F33" s="5"/>
      <c r="G33" s="5"/>
      <c r="H33" s="5"/>
      <c r="I33" s="5"/>
      <c r="J33" s="3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2.75" customHeight="1">
      <c r="A34" s="5"/>
      <c r="B34" s="5"/>
      <c r="C34" s="5"/>
      <c r="D34" s="5"/>
      <c r="E34" s="5"/>
      <c r="F34" s="5"/>
      <c r="G34" s="5"/>
      <c r="H34" s="5"/>
      <c r="I34" s="5"/>
      <c r="J34" s="3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2.75" customHeight="1">
      <c r="A35" s="5"/>
      <c r="B35" s="5"/>
      <c r="C35" s="5"/>
      <c r="D35" s="5"/>
      <c r="E35" s="5"/>
      <c r="F35" s="5"/>
      <c r="G35" s="5"/>
      <c r="H35" s="5"/>
      <c r="I35" s="5"/>
      <c r="J35" s="3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2.75" customHeight="1">
      <c r="A36" s="5"/>
      <c r="B36" s="5"/>
      <c r="C36" s="5"/>
      <c r="D36" s="5"/>
      <c r="E36" s="5"/>
      <c r="F36" s="5"/>
      <c r="G36" s="5"/>
      <c r="H36" s="5"/>
      <c r="I36" s="5"/>
      <c r="J36" s="3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2.75" customHeight="1">
      <c r="A37" s="5"/>
      <c r="B37" s="5"/>
      <c r="C37" s="5"/>
      <c r="D37" s="5"/>
      <c r="E37" s="5"/>
      <c r="F37" s="5"/>
      <c r="G37" s="5"/>
      <c r="H37" s="5"/>
      <c r="I37" s="5"/>
      <c r="J37" s="3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2.75" customHeight="1">
      <c r="A38" s="5"/>
      <c r="B38" s="5"/>
      <c r="C38" s="5"/>
      <c r="D38" s="5"/>
      <c r="E38" s="5"/>
      <c r="F38" s="5"/>
      <c r="G38" s="5"/>
      <c r="H38" s="5"/>
      <c r="I38" s="5"/>
      <c r="J38" s="3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2.75" customHeight="1">
      <c r="A39" s="5"/>
      <c r="B39" s="5"/>
      <c r="C39" s="5"/>
      <c r="D39" s="5"/>
      <c r="E39" s="5"/>
      <c r="F39" s="5"/>
      <c r="G39" s="5"/>
      <c r="H39" s="5"/>
      <c r="I39" s="5"/>
      <c r="J39" s="3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2.75" customHeight="1">
      <c r="A40" s="5"/>
      <c r="B40" s="5"/>
      <c r="C40" s="5"/>
      <c r="D40" s="5"/>
      <c r="E40" s="5"/>
      <c r="F40" s="5"/>
      <c r="G40" s="5"/>
      <c r="H40" s="5"/>
      <c r="I40" s="5"/>
      <c r="J40" s="3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2.75" customHeight="1">
      <c r="A41" s="5"/>
      <c r="B41" s="5"/>
      <c r="C41" s="5"/>
      <c r="D41" s="5"/>
      <c r="E41" s="5"/>
      <c r="F41" s="5"/>
      <c r="G41" s="5"/>
      <c r="H41" s="5"/>
      <c r="I41" s="5"/>
      <c r="J41" s="3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2.75" customHeight="1">
      <c r="A42" s="5"/>
      <c r="B42" s="5"/>
      <c r="C42" s="5"/>
      <c r="D42" s="5"/>
      <c r="E42" s="5"/>
      <c r="F42" s="5"/>
      <c r="G42" s="5"/>
      <c r="H42" s="5"/>
      <c r="I42" s="5"/>
      <c r="J42" s="3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2.75" customHeight="1">
      <c r="A43" s="5"/>
      <c r="B43" s="5"/>
      <c r="C43" s="5"/>
      <c r="D43" s="5"/>
      <c r="E43" s="5"/>
      <c r="F43" s="5"/>
      <c r="G43" s="5"/>
      <c r="H43" s="5"/>
      <c r="I43" s="5"/>
      <c r="J43" s="3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2.75" customHeight="1">
      <c r="A44" s="5"/>
      <c r="B44" s="5"/>
      <c r="C44" s="5"/>
      <c r="D44" s="5"/>
      <c r="E44" s="5"/>
      <c r="F44" s="5"/>
      <c r="G44" s="5"/>
      <c r="H44" s="5"/>
      <c r="I44" s="5"/>
      <c r="J44" s="3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2.75" customHeight="1">
      <c r="A45" s="5"/>
      <c r="B45" s="5"/>
      <c r="C45" s="5"/>
      <c r="D45" s="5"/>
      <c r="E45" s="5"/>
      <c r="F45" s="5"/>
      <c r="G45" s="5"/>
      <c r="H45" s="5"/>
      <c r="I45" s="5"/>
      <c r="J45" s="3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2.75" customHeight="1">
      <c r="A46" s="5"/>
      <c r="B46" s="5"/>
      <c r="C46" s="5"/>
      <c r="D46" s="5"/>
      <c r="E46" s="5"/>
      <c r="F46" s="5"/>
      <c r="G46" s="5"/>
      <c r="H46" s="5"/>
      <c r="I46" s="5"/>
      <c r="J46" s="3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2.75" customHeight="1">
      <c r="A47" s="5"/>
      <c r="B47" s="5"/>
      <c r="C47" s="5"/>
      <c r="D47" s="5"/>
      <c r="E47" s="5"/>
      <c r="F47" s="5"/>
      <c r="G47" s="5"/>
      <c r="H47" s="5"/>
      <c r="I47" s="5"/>
      <c r="J47" s="3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2.75" customHeight="1">
      <c r="A48" s="5"/>
      <c r="B48" s="5"/>
      <c r="C48" s="5"/>
      <c r="D48" s="5"/>
      <c r="E48" s="5"/>
      <c r="F48" s="5"/>
      <c r="G48" s="5"/>
      <c r="H48" s="5"/>
      <c r="I48" s="5"/>
      <c r="J48" s="3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2.75" customHeight="1">
      <c r="A49" s="5"/>
      <c r="B49" s="5"/>
      <c r="C49" s="5"/>
      <c r="D49" s="5"/>
      <c r="E49" s="5"/>
      <c r="F49" s="5"/>
      <c r="G49" s="5"/>
      <c r="H49" s="5"/>
      <c r="I49" s="5"/>
      <c r="J49" s="3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2.75" customHeight="1">
      <c r="A50" s="5"/>
      <c r="B50" s="5"/>
      <c r="C50" s="5"/>
      <c r="D50" s="5"/>
      <c r="E50" s="5"/>
      <c r="F50" s="5"/>
      <c r="G50" s="5"/>
      <c r="H50" s="5"/>
      <c r="I50" s="5"/>
      <c r="J50" s="3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2.75" customHeight="1">
      <c r="A51" s="5"/>
      <c r="B51" s="5"/>
      <c r="C51" s="5"/>
      <c r="D51" s="5"/>
      <c r="E51" s="5"/>
      <c r="F51" s="5"/>
      <c r="G51" s="5"/>
      <c r="H51" s="5"/>
      <c r="I51" s="5"/>
      <c r="J51" s="3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2.75" customHeight="1">
      <c r="A52" s="5"/>
      <c r="B52" s="5"/>
      <c r="C52" s="5"/>
      <c r="D52" s="5"/>
      <c r="E52" s="5"/>
      <c r="F52" s="5"/>
      <c r="G52" s="5"/>
      <c r="H52" s="5"/>
      <c r="I52" s="5"/>
      <c r="J52" s="3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2.75" customHeight="1">
      <c r="A53" s="5"/>
      <c r="B53" s="5"/>
      <c r="C53" s="5"/>
      <c r="D53" s="5"/>
      <c r="E53" s="5"/>
      <c r="F53" s="5"/>
      <c r="G53" s="5"/>
      <c r="H53" s="5"/>
      <c r="I53" s="5"/>
      <c r="J53" s="3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2.75" customHeight="1">
      <c r="A54" s="5"/>
      <c r="B54" s="5"/>
      <c r="C54" s="5"/>
      <c r="D54" s="5"/>
      <c r="E54" s="5"/>
      <c r="F54" s="5"/>
      <c r="G54" s="5"/>
      <c r="H54" s="5"/>
      <c r="I54" s="5"/>
      <c r="J54" s="3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2.75" customHeight="1">
      <c r="A55" s="5"/>
      <c r="B55" s="5"/>
      <c r="C55" s="5"/>
      <c r="D55" s="5"/>
      <c r="E55" s="5"/>
      <c r="F55" s="5"/>
      <c r="G55" s="5"/>
      <c r="H55" s="5"/>
      <c r="I55" s="5"/>
      <c r="J55" s="3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2.75" customHeight="1">
      <c r="A56" s="5"/>
      <c r="B56" s="5"/>
      <c r="C56" s="5"/>
      <c r="D56" s="5"/>
      <c r="E56" s="5"/>
      <c r="F56" s="5"/>
      <c r="G56" s="5"/>
      <c r="H56" s="5"/>
      <c r="I56" s="5"/>
      <c r="J56" s="3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2.75" customHeight="1">
      <c r="A57" s="5"/>
      <c r="B57" s="5"/>
      <c r="C57" s="5"/>
      <c r="D57" s="5"/>
      <c r="E57" s="5"/>
      <c r="F57" s="5"/>
      <c r="G57" s="5"/>
      <c r="H57" s="5"/>
      <c r="I57" s="5"/>
      <c r="J57" s="3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2.75" customHeight="1">
      <c r="A58" s="5"/>
      <c r="B58" s="5"/>
      <c r="C58" s="5"/>
      <c r="D58" s="5"/>
      <c r="E58" s="5"/>
      <c r="F58" s="5"/>
      <c r="G58" s="5"/>
      <c r="H58" s="5"/>
      <c r="I58" s="5"/>
      <c r="J58" s="3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2.75" customHeight="1">
      <c r="A59" s="5"/>
      <c r="B59" s="5"/>
      <c r="C59" s="5"/>
      <c r="D59" s="5"/>
      <c r="E59" s="5"/>
      <c r="F59" s="5"/>
      <c r="G59" s="5"/>
      <c r="H59" s="5"/>
      <c r="I59" s="5"/>
      <c r="J59" s="3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2.75" customHeight="1">
      <c r="A60" s="5"/>
      <c r="B60" s="5"/>
      <c r="C60" s="5"/>
      <c r="D60" s="5"/>
      <c r="E60" s="5"/>
      <c r="F60" s="5"/>
      <c r="G60" s="5"/>
      <c r="H60" s="5"/>
      <c r="I60" s="5"/>
      <c r="J60" s="3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2.75" customHeight="1">
      <c r="A61" s="5"/>
      <c r="B61" s="5"/>
      <c r="C61" s="5"/>
      <c r="D61" s="5"/>
      <c r="E61" s="5"/>
      <c r="F61" s="5"/>
      <c r="G61" s="5"/>
      <c r="H61" s="5"/>
      <c r="I61" s="5"/>
      <c r="J61" s="3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2.75" customHeight="1">
      <c r="A62" s="5"/>
      <c r="B62" s="5"/>
      <c r="C62" s="5"/>
      <c r="D62" s="5"/>
      <c r="E62" s="5"/>
      <c r="F62" s="5"/>
      <c r="G62" s="5"/>
      <c r="H62" s="5"/>
      <c r="I62" s="5"/>
      <c r="J62" s="3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2.75" customHeight="1">
      <c r="A63" s="5"/>
      <c r="B63" s="5"/>
      <c r="C63" s="5"/>
      <c r="D63" s="5"/>
      <c r="E63" s="5"/>
      <c r="F63" s="5"/>
      <c r="G63" s="5"/>
      <c r="H63" s="5"/>
      <c r="I63" s="5"/>
      <c r="J63" s="3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2.75" customHeight="1">
      <c r="A64" s="5"/>
      <c r="B64" s="5"/>
      <c r="C64" s="5"/>
      <c r="D64" s="5"/>
      <c r="E64" s="5"/>
      <c r="F64" s="5"/>
      <c r="G64" s="5"/>
      <c r="H64" s="5"/>
      <c r="I64" s="5"/>
      <c r="J64" s="3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2.75" customHeight="1">
      <c r="A65" s="5"/>
      <c r="B65" s="5"/>
      <c r="C65" s="5"/>
      <c r="D65" s="5"/>
      <c r="E65" s="5"/>
      <c r="F65" s="5"/>
      <c r="G65" s="5"/>
      <c r="H65" s="5"/>
      <c r="I65" s="5"/>
      <c r="J65" s="3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2.75" customHeight="1">
      <c r="A66" s="5"/>
      <c r="B66" s="5"/>
      <c r="C66" s="5"/>
      <c r="D66" s="5"/>
      <c r="E66" s="5"/>
      <c r="F66" s="5"/>
      <c r="G66" s="5"/>
      <c r="H66" s="5"/>
      <c r="I66" s="5"/>
      <c r="J66" s="3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2.75" customHeight="1">
      <c r="A67" s="5"/>
      <c r="B67" s="5"/>
      <c r="C67" s="5"/>
      <c r="D67" s="5"/>
      <c r="E67" s="5"/>
      <c r="F67" s="5"/>
      <c r="G67" s="5"/>
      <c r="H67" s="5"/>
      <c r="I67" s="5"/>
      <c r="J67" s="3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2.75" customHeight="1">
      <c r="A68" s="5"/>
      <c r="B68" s="5"/>
      <c r="C68" s="5"/>
      <c r="D68" s="5"/>
      <c r="E68" s="5"/>
      <c r="F68" s="5"/>
      <c r="G68" s="5"/>
      <c r="H68" s="5"/>
      <c r="I68" s="5"/>
      <c r="J68" s="3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2.75" customHeight="1">
      <c r="A69" s="5"/>
      <c r="B69" s="5"/>
      <c r="C69" s="5"/>
      <c r="D69" s="5"/>
      <c r="E69" s="5"/>
      <c r="F69" s="5"/>
      <c r="G69" s="5"/>
      <c r="H69" s="5"/>
      <c r="I69" s="5"/>
      <c r="J69" s="3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2.75" customHeight="1">
      <c r="A70" s="5"/>
      <c r="B70" s="5"/>
      <c r="C70" s="5"/>
      <c r="D70" s="5"/>
      <c r="E70" s="5"/>
      <c r="F70" s="5"/>
      <c r="G70" s="5"/>
      <c r="H70" s="5"/>
      <c r="I70" s="5"/>
      <c r="J70" s="3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2.75" customHeight="1">
      <c r="A71" s="5"/>
      <c r="B71" s="5"/>
      <c r="C71" s="5"/>
      <c r="D71" s="5"/>
      <c r="E71" s="5"/>
      <c r="F71" s="5"/>
      <c r="G71" s="5"/>
      <c r="H71" s="5"/>
      <c r="I71" s="5"/>
      <c r="J71" s="3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2.75" customHeight="1">
      <c r="A72" s="5"/>
      <c r="B72" s="5"/>
      <c r="C72" s="5"/>
      <c r="D72" s="5"/>
      <c r="E72" s="5"/>
      <c r="F72" s="5"/>
      <c r="G72" s="5"/>
      <c r="H72" s="5"/>
      <c r="I72" s="5"/>
      <c r="J72" s="3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2.75" customHeight="1">
      <c r="A73" s="5"/>
      <c r="B73" s="5"/>
      <c r="C73" s="5"/>
      <c r="D73" s="5"/>
      <c r="E73" s="5"/>
      <c r="F73" s="5"/>
      <c r="G73" s="5"/>
      <c r="H73" s="5"/>
      <c r="I73" s="5"/>
      <c r="J73" s="3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2.75" customHeight="1">
      <c r="A74" s="5"/>
      <c r="B74" s="5"/>
      <c r="C74" s="5"/>
      <c r="D74" s="5"/>
      <c r="E74" s="5"/>
      <c r="F74" s="5"/>
      <c r="G74" s="5"/>
      <c r="H74" s="5"/>
      <c r="I74" s="5"/>
      <c r="J74" s="3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2.75" customHeight="1">
      <c r="A75" s="5"/>
      <c r="B75" s="5"/>
      <c r="C75" s="5"/>
      <c r="D75" s="5"/>
      <c r="E75" s="5"/>
      <c r="F75" s="5"/>
      <c r="G75" s="5"/>
      <c r="H75" s="5"/>
      <c r="I75" s="5"/>
      <c r="J75" s="3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2.75" customHeight="1">
      <c r="A76" s="5"/>
      <c r="B76" s="5"/>
      <c r="C76" s="5"/>
      <c r="D76" s="5"/>
      <c r="E76" s="5"/>
      <c r="F76" s="5"/>
      <c r="G76" s="5"/>
      <c r="H76" s="5"/>
      <c r="I76" s="5"/>
      <c r="J76" s="3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2.75" customHeight="1">
      <c r="A77" s="5"/>
      <c r="B77" s="5"/>
      <c r="C77" s="5"/>
      <c r="D77" s="5"/>
      <c r="E77" s="5"/>
      <c r="F77" s="5"/>
      <c r="G77" s="5"/>
      <c r="H77" s="5"/>
      <c r="I77" s="5"/>
      <c r="J77" s="3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2.75" customHeight="1">
      <c r="A78" s="5"/>
      <c r="B78" s="5"/>
      <c r="C78" s="5"/>
      <c r="D78" s="5"/>
      <c r="E78" s="5"/>
      <c r="F78" s="5"/>
      <c r="G78" s="5"/>
      <c r="H78" s="5"/>
      <c r="I78" s="5"/>
      <c r="J78" s="3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2.75" customHeight="1">
      <c r="A79" s="5"/>
      <c r="B79" s="5"/>
      <c r="C79" s="5"/>
      <c r="D79" s="5"/>
      <c r="E79" s="5"/>
      <c r="F79" s="5"/>
      <c r="G79" s="5"/>
      <c r="H79" s="5"/>
      <c r="I79" s="5"/>
      <c r="J79" s="3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2.75" customHeight="1">
      <c r="A80" s="5"/>
      <c r="B80" s="5"/>
      <c r="C80" s="5"/>
      <c r="D80" s="5"/>
      <c r="E80" s="5"/>
      <c r="F80" s="5"/>
      <c r="G80" s="5"/>
      <c r="H80" s="5"/>
      <c r="I80" s="5"/>
      <c r="J80" s="3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2.75" customHeight="1">
      <c r="A81" s="5"/>
      <c r="B81" s="5"/>
      <c r="C81" s="5"/>
      <c r="D81" s="5"/>
      <c r="E81" s="5"/>
      <c r="F81" s="5"/>
      <c r="G81" s="5"/>
      <c r="H81" s="5"/>
      <c r="I81" s="5"/>
      <c r="J81" s="3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2.75" customHeight="1">
      <c r="A82" s="5"/>
      <c r="B82" s="5"/>
      <c r="C82" s="5"/>
      <c r="D82" s="5"/>
      <c r="E82" s="5"/>
      <c r="F82" s="5"/>
      <c r="G82" s="5"/>
      <c r="H82" s="5"/>
      <c r="I82" s="5"/>
      <c r="J82" s="3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2.75" customHeight="1">
      <c r="A83" s="5"/>
      <c r="B83" s="5"/>
      <c r="C83" s="5"/>
      <c r="D83" s="5"/>
      <c r="E83" s="5"/>
      <c r="F83" s="5"/>
      <c r="G83" s="5"/>
      <c r="H83" s="5"/>
      <c r="I83" s="5"/>
      <c r="J83" s="3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2.75" customHeight="1">
      <c r="A84" s="5"/>
      <c r="B84" s="5"/>
      <c r="C84" s="5"/>
      <c r="D84" s="5"/>
      <c r="E84" s="5"/>
      <c r="F84" s="5"/>
      <c r="G84" s="5"/>
      <c r="H84" s="5"/>
      <c r="I84" s="5"/>
      <c r="J84" s="3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2.75" customHeight="1">
      <c r="A85" s="5"/>
      <c r="B85" s="5"/>
      <c r="C85" s="5"/>
      <c r="D85" s="5"/>
      <c r="E85" s="5"/>
      <c r="F85" s="5"/>
      <c r="G85" s="5"/>
      <c r="H85" s="5"/>
      <c r="I85" s="5"/>
      <c r="J85" s="3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2.75" customHeight="1">
      <c r="A86" s="5"/>
      <c r="B86" s="5"/>
      <c r="C86" s="5"/>
      <c r="D86" s="5"/>
      <c r="E86" s="5"/>
      <c r="F86" s="5"/>
      <c r="G86" s="5"/>
      <c r="H86" s="5"/>
      <c r="I86" s="5"/>
      <c r="J86" s="3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2.75" customHeight="1">
      <c r="A87" s="5"/>
      <c r="B87" s="5"/>
      <c r="C87" s="5"/>
      <c r="D87" s="5"/>
      <c r="E87" s="5"/>
      <c r="F87" s="5"/>
      <c r="G87" s="5"/>
      <c r="H87" s="5"/>
      <c r="I87" s="5"/>
      <c r="J87" s="3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2.75" customHeight="1">
      <c r="A88" s="5"/>
      <c r="B88" s="5"/>
      <c r="C88" s="5"/>
      <c r="D88" s="5"/>
      <c r="E88" s="5"/>
      <c r="F88" s="5"/>
      <c r="G88" s="5"/>
      <c r="H88" s="5"/>
      <c r="I88" s="5"/>
      <c r="J88" s="3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2.75" customHeight="1">
      <c r="A89" s="5"/>
      <c r="B89" s="5"/>
      <c r="C89" s="5"/>
      <c r="D89" s="5"/>
      <c r="E89" s="5"/>
      <c r="F89" s="5"/>
      <c r="G89" s="5"/>
      <c r="H89" s="5"/>
      <c r="I89" s="5"/>
      <c r="J89" s="3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2.75" customHeight="1">
      <c r="A90" s="5"/>
      <c r="B90" s="5"/>
      <c r="C90" s="5"/>
      <c r="D90" s="5"/>
      <c r="E90" s="5"/>
      <c r="F90" s="5"/>
      <c r="G90" s="5"/>
      <c r="H90" s="5"/>
      <c r="I90" s="5"/>
      <c r="J90" s="3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2.75" customHeight="1">
      <c r="A91" s="5"/>
      <c r="B91" s="5"/>
      <c r="C91" s="5"/>
      <c r="D91" s="5"/>
      <c r="E91" s="5"/>
      <c r="F91" s="5"/>
      <c r="G91" s="5"/>
      <c r="H91" s="5"/>
      <c r="I91" s="5"/>
      <c r="J91" s="3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2.75" customHeight="1">
      <c r="A92" s="5"/>
      <c r="B92" s="5"/>
      <c r="C92" s="5"/>
      <c r="D92" s="5"/>
      <c r="E92" s="5"/>
      <c r="F92" s="5"/>
      <c r="G92" s="5"/>
      <c r="H92" s="5"/>
      <c r="I92" s="5"/>
      <c r="J92" s="3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2.75" customHeight="1">
      <c r="A93" s="5"/>
      <c r="B93" s="5"/>
      <c r="C93" s="5"/>
      <c r="D93" s="5"/>
      <c r="E93" s="5"/>
      <c r="F93" s="5"/>
      <c r="G93" s="5"/>
      <c r="H93" s="5"/>
      <c r="I93" s="5"/>
      <c r="J93" s="3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2.75" customHeight="1">
      <c r="A94" s="5"/>
      <c r="B94" s="5"/>
      <c r="C94" s="5"/>
      <c r="D94" s="5"/>
      <c r="E94" s="5"/>
      <c r="F94" s="5"/>
      <c r="G94" s="5"/>
      <c r="H94" s="5"/>
      <c r="I94" s="5"/>
      <c r="J94" s="3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2.75" customHeight="1">
      <c r="A95" s="5"/>
      <c r="B95" s="5"/>
      <c r="C95" s="5"/>
      <c r="D95" s="5"/>
      <c r="E95" s="5"/>
      <c r="F95" s="5"/>
      <c r="G95" s="5"/>
      <c r="H95" s="5"/>
      <c r="I95" s="5"/>
      <c r="J95" s="3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2.75" customHeight="1">
      <c r="A96" s="5"/>
      <c r="B96" s="5"/>
      <c r="C96" s="5"/>
      <c r="D96" s="5"/>
      <c r="E96" s="5"/>
      <c r="F96" s="5"/>
      <c r="G96" s="5"/>
      <c r="H96" s="5"/>
      <c r="I96" s="5"/>
      <c r="J96" s="3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2.75" customHeight="1">
      <c r="A97" s="5"/>
      <c r="B97" s="5"/>
      <c r="C97" s="5"/>
      <c r="D97" s="5"/>
      <c r="E97" s="5"/>
      <c r="F97" s="5"/>
      <c r="G97" s="5"/>
      <c r="H97" s="5"/>
      <c r="I97" s="5"/>
      <c r="J97" s="3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2.75" customHeight="1">
      <c r="A98" s="5"/>
      <c r="B98" s="5"/>
      <c r="C98" s="5"/>
      <c r="D98" s="5"/>
      <c r="E98" s="5"/>
      <c r="F98" s="5"/>
      <c r="G98" s="5"/>
      <c r="H98" s="5"/>
      <c r="I98" s="5"/>
      <c r="J98" s="3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2.75" customHeight="1">
      <c r="A99" s="5"/>
      <c r="B99" s="5"/>
      <c r="C99" s="5"/>
      <c r="D99" s="5"/>
      <c r="E99" s="5"/>
      <c r="F99" s="5"/>
      <c r="G99" s="5"/>
      <c r="H99" s="5"/>
      <c r="I99" s="5"/>
      <c r="J99" s="3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2.75" customHeight="1">
      <c r="A100" s="5"/>
      <c r="B100" s="5"/>
      <c r="C100" s="5"/>
      <c r="D100" s="5"/>
      <c r="E100" s="5"/>
      <c r="F100" s="5"/>
      <c r="G100" s="5"/>
      <c r="H100" s="5"/>
      <c r="I100" s="5"/>
      <c r="J100" s="3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2.75" customHeight="1">
      <c r="A101" s="5"/>
      <c r="B101" s="5"/>
      <c r="C101" s="5"/>
      <c r="D101" s="5"/>
      <c r="E101" s="5"/>
      <c r="F101" s="5"/>
      <c r="G101" s="5"/>
      <c r="H101" s="5"/>
      <c r="I101" s="5"/>
      <c r="J101" s="3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2.75" customHeight="1">
      <c r="A102" s="5"/>
      <c r="B102" s="5"/>
      <c r="C102" s="5"/>
      <c r="D102" s="5"/>
      <c r="E102" s="5"/>
      <c r="F102" s="5"/>
      <c r="G102" s="5"/>
      <c r="H102" s="5"/>
      <c r="I102" s="5"/>
      <c r="J102" s="3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2.75" customHeight="1">
      <c r="A103" s="5"/>
      <c r="B103" s="5"/>
      <c r="C103" s="5"/>
      <c r="D103" s="5"/>
      <c r="E103" s="5"/>
      <c r="F103" s="5"/>
      <c r="G103" s="5"/>
      <c r="H103" s="5"/>
      <c r="I103" s="5"/>
      <c r="J103" s="3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2.75" customHeight="1">
      <c r="A104" s="5"/>
      <c r="B104" s="5"/>
      <c r="C104" s="5"/>
      <c r="D104" s="5"/>
      <c r="E104" s="5"/>
      <c r="F104" s="5"/>
      <c r="G104" s="5"/>
      <c r="H104" s="5"/>
      <c r="I104" s="5"/>
      <c r="J104" s="3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2.75" customHeight="1">
      <c r="A105" s="5"/>
      <c r="B105" s="5"/>
      <c r="C105" s="5"/>
      <c r="D105" s="5"/>
      <c r="E105" s="5"/>
      <c r="F105" s="5"/>
      <c r="G105" s="5"/>
      <c r="H105" s="5"/>
      <c r="I105" s="5"/>
      <c r="J105" s="3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2.75" customHeight="1">
      <c r="A106" s="5"/>
      <c r="B106" s="5"/>
      <c r="C106" s="5"/>
      <c r="D106" s="5"/>
      <c r="E106" s="5"/>
      <c r="F106" s="5"/>
      <c r="G106" s="5"/>
      <c r="H106" s="5"/>
      <c r="I106" s="5"/>
      <c r="J106" s="3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2.75" customHeight="1">
      <c r="A107" s="5"/>
      <c r="B107" s="5"/>
      <c r="C107" s="5"/>
      <c r="D107" s="5"/>
      <c r="E107" s="5"/>
      <c r="F107" s="5"/>
      <c r="G107" s="5"/>
      <c r="H107" s="5"/>
      <c r="I107" s="5"/>
      <c r="J107" s="3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2.75" customHeight="1">
      <c r="A108" s="5"/>
      <c r="B108" s="5"/>
      <c r="C108" s="5"/>
      <c r="D108" s="5"/>
      <c r="E108" s="5"/>
      <c r="F108" s="5"/>
      <c r="G108" s="5"/>
      <c r="H108" s="5"/>
      <c r="I108" s="5"/>
      <c r="J108" s="3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2.75" customHeight="1">
      <c r="A109" s="5"/>
      <c r="B109" s="5"/>
      <c r="C109" s="5"/>
      <c r="D109" s="5"/>
      <c r="E109" s="5"/>
      <c r="F109" s="5"/>
      <c r="G109" s="5"/>
      <c r="H109" s="5"/>
      <c r="I109" s="5"/>
      <c r="J109" s="3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2.75" customHeight="1">
      <c r="A110" s="5"/>
      <c r="B110" s="5"/>
      <c r="C110" s="5"/>
      <c r="D110" s="5"/>
      <c r="E110" s="5"/>
      <c r="F110" s="5"/>
      <c r="G110" s="5"/>
      <c r="H110" s="5"/>
      <c r="I110" s="5"/>
      <c r="J110" s="3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2.75" customHeight="1">
      <c r="A111" s="5"/>
      <c r="B111" s="5"/>
      <c r="C111" s="5"/>
      <c r="D111" s="5"/>
      <c r="E111" s="5"/>
      <c r="F111" s="5"/>
      <c r="G111" s="5"/>
      <c r="H111" s="5"/>
      <c r="I111" s="5"/>
      <c r="J111" s="3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2.75" customHeight="1">
      <c r="A112" s="5"/>
      <c r="B112" s="5"/>
      <c r="C112" s="5"/>
      <c r="D112" s="5"/>
      <c r="E112" s="5"/>
      <c r="F112" s="5"/>
      <c r="G112" s="5"/>
      <c r="H112" s="5"/>
      <c r="I112" s="5"/>
      <c r="J112" s="3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2.75" customHeight="1">
      <c r="A113" s="5"/>
      <c r="B113" s="5"/>
      <c r="C113" s="5"/>
      <c r="D113" s="5"/>
      <c r="E113" s="5"/>
      <c r="F113" s="5"/>
      <c r="G113" s="5"/>
      <c r="H113" s="5"/>
      <c r="I113" s="5"/>
      <c r="J113" s="3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2.75" customHeight="1">
      <c r="A114" s="5"/>
      <c r="B114" s="5"/>
      <c r="C114" s="5"/>
      <c r="D114" s="5"/>
      <c r="E114" s="5"/>
      <c r="F114" s="5"/>
      <c r="G114" s="5"/>
      <c r="H114" s="5"/>
      <c r="I114" s="5"/>
      <c r="J114" s="3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2.75" customHeight="1">
      <c r="A115" s="5"/>
      <c r="B115" s="5"/>
      <c r="C115" s="5"/>
      <c r="D115" s="5"/>
      <c r="E115" s="5"/>
      <c r="F115" s="5"/>
      <c r="G115" s="5"/>
      <c r="H115" s="5"/>
      <c r="I115" s="5"/>
      <c r="J115" s="3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2.75" customHeight="1">
      <c r="A116" s="5"/>
      <c r="B116" s="5"/>
      <c r="C116" s="5"/>
      <c r="D116" s="5"/>
      <c r="E116" s="5"/>
      <c r="F116" s="5"/>
      <c r="G116" s="5"/>
      <c r="H116" s="5"/>
      <c r="I116" s="5"/>
      <c r="J116" s="3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2.75" customHeight="1">
      <c r="A117" s="5"/>
      <c r="B117" s="5"/>
      <c r="C117" s="5"/>
      <c r="D117" s="5"/>
      <c r="E117" s="5"/>
      <c r="F117" s="5"/>
      <c r="G117" s="5"/>
      <c r="H117" s="5"/>
      <c r="I117" s="5"/>
      <c r="J117" s="3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2.75" customHeight="1">
      <c r="A118" s="5"/>
      <c r="B118" s="5"/>
      <c r="C118" s="5"/>
      <c r="D118" s="5"/>
      <c r="E118" s="5"/>
      <c r="F118" s="5"/>
      <c r="G118" s="5"/>
      <c r="H118" s="5"/>
      <c r="I118" s="5"/>
      <c r="J118" s="3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2.75" customHeight="1">
      <c r="A119" s="5"/>
      <c r="B119" s="5"/>
      <c r="C119" s="5"/>
      <c r="D119" s="5"/>
      <c r="E119" s="5"/>
      <c r="F119" s="5"/>
      <c r="G119" s="5"/>
      <c r="H119" s="5"/>
      <c r="I119" s="5"/>
      <c r="J119" s="3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2.75" customHeight="1">
      <c r="A120" s="5"/>
      <c r="B120" s="5"/>
      <c r="C120" s="5"/>
      <c r="D120" s="5"/>
      <c r="E120" s="5"/>
      <c r="F120" s="5"/>
      <c r="G120" s="5"/>
      <c r="H120" s="5"/>
      <c r="I120" s="5"/>
      <c r="J120" s="3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2.75" customHeight="1">
      <c r="A121" s="5"/>
      <c r="B121" s="5"/>
      <c r="C121" s="5"/>
      <c r="D121" s="5"/>
      <c r="E121" s="5"/>
      <c r="F121" s="5"/>
      <c r="G121" s="5"/>
      <c r="H121" s="5"/>
      <c r="I121" s="5"/>
      <c r="J121" s="3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2.75" customHeight="1">
      <c r="A122" s="5"/>
      <c r="B122" s="5"/>
      <c r="C122" s="5"/>
      <c r="D122" s="5"/>
      <c r="E122" s="5"/>
      <c r="F122" s="5"/>
      <c r="G122" s="5"/>
      <c r="H122" s="5"/>
      <c r="I122" s="5"/>
      <c r="J122" s="3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2.75" customHeight="1">
      <c r="A123" s="5"/>
      <c r="B123" s="5"/>
      <c r="C123" s="5"/>
      <c r="D123" s="5"/>
      <c r="E123" s="5"/>
      <c r="F123" s="5"/>
      <c r="G123" s="5"/>
      <c r="H123" s="5"/>
      <c r="I123" s="5"/>
      <c r="J123" s="3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2.75" customHeight="1">
      <c r="A124" s="5"/>
      <c r="B124" s="5"/>
      <c r="C124" s="5"/>
      <c r="D124" s="5"/>
      <c r="E124" s="5"/>
      <c r="F124" s="5"/>
      <c r="G124" s="5"/>
      <c r="H124" s="5"/>
      <c r="I124" s="5"/>
      <c r="J124" s="3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2.75" customHeight="1">
      <c r="A125" s="5"/>
      <c r="B125" s="5"/>
      <c r="C125" s="5"/>
      <c r="D125" s="5"/>
      <c r="E125" s="5"/>
      <c r="F125" s="5"/>
      <c r="G125" s="5"/>
      <c r="H125" s="5"/>
      <c r="I125" s="5"/>
      <c r="J125" s="3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2.75" customHeight="1">
      <c r="A126" s="5"/>
      <c r="B126" s="5"/>
      <c r="C126" s="5"/>
      <c r="D126" s="5"/>
      <c r="E126" s="5"/>
      <c r="F126" s="5"/>
      <c r="G126" s="5"/>
      <c r="H126" s="5"/>
      <c r="I126" s="5"/>
      <c r="J126" s="3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2.75" customHeight="1">
      <c r="A127" s="5"/>
      <c r="B127" s="5"/>
      <c r="C127" s="5"/>
      <c r="D127" s="5"/>
      <c r="E127" s="5"/>
      <c r="F127" s="5"/>
      <c r="G127" s="5"/>
      <c r="H127" s="5"/>
      <c r="I127" s="5"/>
      <c r="J127" s="3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2.75" customHeight="1">
      <c r="A128" s="5"/>
      <c r="B128" s="5"/>
      <c r="C128" s="5"/>
      <c r="D128" s="5"/>
      <c r="E128" s="5"/>
      <c r="F128" s="5"/>
      <c r="G128" s="5"/>
      <c r="H128" s="5"/>
      <c r="I128" s="5"/>
      <c r="J128" s="3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2.75" customHeight="1">
      <c r="A129" s="5"/>
      <c r="B129" s="5"/>
      <c r="C129" s="5"/>
      <c r="D129" s="5"/>
      <c r="E129" s="5"/>
      <c r="F129" s="5"/>
      <c r="G129" s="5"/>
      <c r="H129" s="5"/>
      <c r="I129" s="5"/>
      <c r="J129" s="3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2.75" customHeight="1">
      <c r="A130" s="5"/>
      <c r="B130" s="5"/>
      <c r="C130" s="5"/>
      <c r="D130" s="5"/>
      <c r="E130" s="5"/>
      <c r="F130" s="5"/>
      <c r="G130" s="5"/>
      <c r="H130" s="5"/>
      <c r="I130" s="5"/>
      <c r="J130" s="3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2.75" customHeight="1">
      <c r="A131" s="5"/>
      <c r="B131" s="5"/>
      <c r="C131" s="5"/>
      <c r="D131" s="5"/>
      <c r="E131" s="5"/>
      <c r="F131" s="5"/>
      <c r="G131" s="5"/>
      <c r="H131" s="5"/>
      <c r="I131" s="5"/>
      <c r="J131" s="3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2.75" customHeight="1">
      <c r="A132" s="5"/>
      <c r="B132" s="5"/>
      <c r="C132" s="5"/>
      <c r="D132" s="5"/>
      <c r="E132" s="5"/>
      <c r="F132" s="5"/>
      <c r="G132" s="5"/>
      <c r="H132" s="5"/>
      <c r="I132" s="5"/>
      <c r="J132" s="3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2.75" customHeight="1">
      <c r="A133" s="5"/>
      <c r="B133" s="5"/>
      <c r="C133" s="5"/>
      <c r="D133" s="5"/>
      <c r="E133" s="5"/>
      <c r="F133" s="5"/>
      <c r="G133" s="5"/>
      <c r="H133" s="5"/>
      <c r="I133" s="5"/>
      <c r="J133" s="3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2.75" customHeight="1">
      <c r="A134" s="5"/>
      <c r="B134" s="5"/>
      <c r="C134" s="5"/>
      <c r="D134" s="5"/>
      <c r="E134" s="5"/>
      <c r="F134" s="5"/>
      <c r="G134" s="5"/>
      <c r="H134" s="5"/>
      <c r="I134" s="5"/>
      <c r="J134" s="3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2.75" customHeight="1">
      <c r="A135" s="5"/>
      <c r="B135" s="5"/>
      <c r="C135" s="5"/>
      <c r="D135" s="5"/>
      <c r="E135" s="5"/>
      <c r="F135" s="5"/>
      <c r="G135" s="5"/>
      <c r="H135" s="5"/>
      <c r="I135" s="5"/>
      <c r="J135" s="3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2.75" customHeight="1">
      <c r="A136" s="5"/>
      <c r="B136" s="5"/>
      <c r="C136" s="5"/>
      <c r="D136" s="5"/>
      <c r="E136" s="5"/>
      <c r="F136" s="5"/>
      <c r="G136" s="5"/>
      <c r="H136" s="5"/>
      <c r="I136" s="5"/>
      <c r="J136" s="3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2.75" customHeight="1">
      <c r="A137" s="5"/>
      <c r="B137" s="5"/>
      <c r="C137" s="5"/>
      <c r="D137" s="5"/>
      <c r="E137" s="5"/>
      <c r="F137" s="5"/>
      <c r="G137" s="5"/>
      <c r="H137" s="5"/>
      <c r="I137" s="5"/>
      <c r="J137" s="3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2.75" customHeight="1">
      <c r="A138" s="5"/>
      <c r="B138" s="5"/>
      <c r="C138" s="5"/>
      <c r="D138" s="5"/>
      <c r="E138" s="5"/>
      <c r="F138" s="5"/>
      <c r="G138" s="5"/>
      <c r="H138" s="5"/>
      <c r="I138" s="5"/>
      <c r="J138" s="3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2.75" customHeight="1">
      <c r="A139" s="5"/>
      <c r="B139" s="5"/>
      <c r="C139" s="5"/>
      <c r="D139" s="5"/>
      <c r="E139" s="5"/>
      <c r="F139" s="5"/>
      <c r="G139" s="5"/>
      <c r="H139" s="5"/>
      <c r="I139" s="5"/>
      <c r="J139" s="3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2.75" customHeight="1">
      <c r="A140" s="5"/>
      <c r="B140" s="5"/>
      <c r="C140" s="5"/>
      <c r="D140" s="5"/>
      <c r="E140" s="5"/>
      <c r="F140" s="5"/>
      <c r="G140" s="5"/>
      <c r="H140" s="5"/>
      <c r="I140" s="5"/>
      <c r="J140" s="3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2.75" customHeight="1">
      <c r="A141" s="5"/>
      <c r="B141" s="5"/>
      <c r="C141" s="5"/>
      <c r="D141" s="5"/>
      <c r="E141" s="5"/>
      <c r="F141" s="5"/>
      <c r="G141" s="5"/>
      <c r="H141" s="5"/>
      <c r="I141" s="5"/>
      <c r="J141" s="3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2.75" customHeight="1">
      <c r="A142" s="5"/>
      <c r="B142" s="5"/>
      <c r="C142" s="5"/>
      <c r="D142" s="5"/>
      <c r="E142" s="5"/>
      <c r="F142" s="5"/>
      <c r="G142" s="5"/>
      <c r="H142" s="5"/>
      <c r="I142" s="5"/>
      <c r="J142" s="3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2.75" customHeight="1">
      <c r="A143" s="5"/>
      <c r="B143" s="5"/>
      <c r="C143" s="5"/>
      <c r="D143" s="5"/>
      <c r="E143" s="5"/>
      <c r="F143" s="5"/>
      <c r="G143" s="5"/>
      <c r="H143" s="5"/>
      <c r="I143" s="5"/>
      <c r="J143" s="3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2.75" customHeight="1">
      <c r="A144" s="5"/>
      <c r="B144" s="5"/>
      <c r="C144" s="5"/>
      <c r="D144" s="5"/>
      <c r="E144" s="5"/>
      <c r="F144" s="5"/>
      <c r="G144" s="5"/>
      <c r="H144" s="5"/>
      <c r="I144" s="5"/>
      <c r="J144" s="3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2.75" customHeight="1">
      <c r="A145" s="5"/>
      <c r="B145" s="5"/>
      <c r="C145" s="5"/>
      <c r="D145" s="5"/>
      <c r="E145" s="5"/>
      <c r="F145" s="5"/>
      <c r="G145" s="5"/>
      <c r="H145" s="5"/>
      <c r="I145" s="5"/>
      <c r="J145" s="3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2.75" customHeight="1">
      <c r="A146" s="5"/>
      <c r="B146" s="5"/>
      <c r="C146" s="5"/>
      <c r="D146" s="5"/>
      <c r="E146" s="5"/>
      <c r="F146" s="5"/>
      <c r="G146" s="5"/>
      <c r="H146" s="5"/>
      <c r="I146" s="5"/>
      <c r="J146" s="3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2.75" customHeight="1">
      <c r="A147" s="5"/>
      <c r="B147" s="5"/>
      <c r="C147" s="5"/>
      <c r="D147" s="5"/>
      <c r="E147" s="5"/>
      <c r="F147" s="5"/>
      <c r="G147" s="5"/>
      <c r="H147" s="5"/>
      <c r="I147" s="5"/>
      <c r="J147" s="3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2.75" customHeight="1">
      <c r="A148" s="5"/>
      <c r="B148" s="5"/>
      <c r="C148" s="5"/>
      <c r="D148" s="5"/>
      <c r="E148" s="5"/>
      <c r="F148" s="5"/>
      <c r="G148" s="5"/>
      <c r="H148" s="5"/>
      <c r="I148" s="5"/>
      <c r="J148" s="3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2.75" customHeight="1">
      <c r="A149" s="5"/>
      <c r="B149" s="5"/>
      <c r="C149" s="5"/>
      <c r="D149" s="5"/>
      <c r="E149" s="5"/>
      <c r="F149" s="5"/>
      <c r="G149" s="5"/>
      <c r="H149" s="5"/>
      <c r="I149" s="5"/>
      <c r="J149" s="3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2.75" customHeight="1">
      <c r="A150" s="5"/>
      <c r="B150" s="5"/>
      <c r="C150" s="5"/>
      <c r="D150" s="5"/>
      <c r="E150" s="5"/>
      <c r="F150" s="5"/>
      <c r="G150" s="5"/>
      <c r="H150" s="5"/>
      <c r="I150" s="5"/>
      <c r="J150" s="3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2.75" customHeight="1">
      <c r="A151" s="5"/>
      <c r="B151" s="5"/>
      <c r="C151" s="5"/>
      <c r="D151" s="5"/>
      <c r="E151" s="5"/>
      <c r="F151" s="5"/>
      <c r="G151" s="5"/>
      <c r="H151" s="5"/>
      <c r="I151" s="5"/>
      <c r="J151" s="3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2.75" customHeight="1">
      <c r="A152" s="5"/>
      <c r="B152" s="5"/>
      <c r="C152" s="5"/>
      <c r="D152" s="5"/>
      <c r="E152" s="5"/>
      <c r="F152" s="5"/>
      <c r="G152" s="5"/>
      <c r="H152" s="5"/>
      <c r="I152" s="5"/>
      <c r="J152" s="3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2.75" customHeight="1">
      <c r="A153" s="5"/>
      <c r="B153" s="5"/>
      <c r="C153" s="5"/>
      <c r="D153" s="5"/>
      <c r="E153" s="5"/>
      <c r="F153" s="5"/>
      <c r="G153" s="5"/>
      <c r="H153" s="5"/>
      <c r="I153" s="5"/>
      <c r="J153" s="3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2.75" customHeight="1">
      <c r="A154" s="5"/>
      <c r="B154" s="5"/>
      <c r="C154" s="5"/>
      <c r="D154" s="5"/>
      <c r="E154" s="5"/>
      <c r="F154" s="5"/>
      <c r="G154" s="5"/>
      <c r="H154" s="5"/>
      <c r="I154" s="5"/>
      <c r="J154" s="3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2.75" customHeight="1">
      <c r="A155" s="5"/>
      <c r="B155" s="5"/>
      <c r="C155" s="5"/>
      <c r="D155" s="5"/>
      <c r="E155" s="5"/>
      <c r="F155" s="5"/>
      <c r="G155" s="5"/>
      <c r="H155" s="5"/>
      <c r="I155" s="5"/>
      <c r="J155" s="3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2.75" customHeight="1">
      <c r="A156" s="5"/>
      <c r="B156" s="5"/>
      <c r="C156" s="5"/>
      <c r="D156" s="5"/>
      <c r="E156" s="5"/>
      <c r="F156" s="5"/>
      <c r="G156" s="5"/>
      <c r="H156" s="5"/>
      <c r="I156" s="5"/>
      <c r="J156" s="3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2.75" customHeight="1">
      <c r="A157" s="5"/>
      <c r="B157" s="5"/>
      <c r="C157" s="5"/>
      <c r="D157" s="5"/>
      <c r="E157" s="5"/>
      <c r="F157" s="5"/>
      <c r="G157" s="5"/>
      <c r="H157" s="5"/>
      <c r="I157" s="5"/>
      <c r="J157" s="3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2.75" customHeight="1">
      <c r="A158" s="5"/>
      <c r="B158" s="5"/>
      <c r="C158" s="5"/>
      <c r="D158" s="5"/>
      <c r="E158" s="5"/>
      <c r="F158" s="5"/>
      <c r="G158" s="5"/>
      <c r="H158" s="5"/>
      <c r="I158" s="5"/>
      <c r="J158" s="3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2.75" customHeight="1">
      <c r="A159" s="5"/>
      <c r="B159" s="5"/>
      <c r="C159" s="5"/>
      <c r="D159" s="5"/>
      <c r="E159" s="5"/>
      <c r="F159" s="5"/>
      <c r="G159" s="5"/>
      <c r="H159" s="5"/>
      <c r="I159" s="5"/>
      <c r="J159" s="3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2.75" customHeight="1">
      <c r="A160" s="5"/>
      <c r="B160" s="5"/>
      <c r="C160" s="5"/>
      <c r="D160" s="5"/>
      <c r="E160" s="5"/>
      <c r="F160" s="5"/>
      <c r="G160" s="5"/>
      <c r="H160" s="5"/>
      <c r="I160" s="5"/>
      <c r="J160" s="3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2.75" customHeight="1">
      <c r="A161" s="5"/>
      <c r="B161" s="5"/>
      <c r="C161" s="5"/>
      <c r="D161" s="5"/>
      <c r="E161" s="5"/>
      <c r="F161" s="5"/>
      <c r="G161" s="5"/>
      <c r="H161" s="5"/>
      <c r="I161" s="5"/>
      <c r="J161" s="3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2.75" customHeight="1">
      <c r="A162" s="5"/>
      <c r="B162" s="5"/>
      <c r="C162" s="5"/>
      <c r="D162" s="5"/>
      <c r="E162" s="5"/>
      <c r="F162" s="5"/>
      <c r="G162" s="5"/>
      <c r="H162" s="5"/>
      <c r="I162" s="5"/>
      <c r="J162" s="3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2.75" customHeight="1">
      <c r="A163" s="5"/>
      <c r="B163" s="5"/>
      <c r="C163" s="5"/>
      <c r="D163" s="5"/>
      <c r="E163" s="5"/>
      <c r="F163" s="5"/>
      <c r="G163" s="5"/>
      <c r="H163" s="5"/>
      <c r="I163" s="5"/>
      <c r="J163" s="3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2.75" customHeight="1">
      <c r="A164" s="5"/>
      <c r="B164" s="5"/>
      <c r="C164" s="5"/>
      <c r="D164" s="5"/>
      <c r="E164" s="5"/>
      <c r="F164" s="5"/>
      <c r="G164" s="5"/>
      <c r="H164" s="5"/>
      <c r="I164" s="5"/>
      <c r="J164" s="3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2.75" customHeight="1">
      <c r="A165" s="5"/>
      <c r="B165" s="5"/>
      <c r="C165" s="5"/>
      <c r="D165" s="5"/>
      <c r="E165" s="5"/>
      <c r="F165" s="5"/>
      <c r="G165" s="5"/>
      <c r="H165" s="5"/>
      <c r="I165" s="5"/>
      <c r="J165" s="3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2.75" customHeight="1">
      <c r="A166" s="5"/>
      <c r="B166" s="5"/>
      <c r="C166" s="5"/>
      <c r="D166" s="5"/>
      <c r="E166" s="5"/>
      <c r="F166" s="5"/>
      <c r="G166" s="5"/>
      <c r="H166" s="5"/>
      <c r="I166" s="5"/>
      <c r="J166" s="3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2.75" customHeight="1">
      <c r="A167" s="5"/>
      <c r="B167" s="5"/>
      <c r="C167" s="5"/>
      <c r="D167" s="5"/>
      <c r="E167" s="5"/>
      <c r="F167" s="5"/>
      <c r="G167" s="5"/>
      <c r="H167" s="5"/>
      <c r="I167" s="5"/>
      <c r="J167" s="3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2.75" customHeight="1">
      <c r="A168" s="5"/>
      <c r="B168" s="5"/>
      <c r="C168" s="5"/>
      <c r="D168" s="5"/>
      <c r="E168" s="5"/>
      <c r="F168" s="5"/>
      <c r="G168" s="5"/>
      <c r="H168" s="5"/>
      <c r="I168" s="5"/>
      <c r="J168" s="3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2.75" customHeight="1">
      <c r="A169" s="5"/>
      <c r="B169" s="5"/>
      <c r="C169" s="5"/>
      <c r="D169" s="5"/>
      <c r="E169" s="5"/>
      <c r="F169" s="5"/>
      <c r="G169" s="5"/>
      <c r="H169" s="5"/>
      <c r="I169" s="5"/>
      <c r="J169" s="3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2.75" customHeight="1">
      <c r="A170" s="5"/>
      <c r="B170" s="5"/>
      <c r="C170" s="5"/>
      <c r="D170" s="5"/>
      <c r="E170" s="5"/>
      <c r="F170" s="5"/>
      <c r="G170" s="5"/>
      <c r="H170" s="5"/>
      <c r="I170" s="5"/>
      <c r="J170" s="3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2.75" customHeight="1">
      <c r="A171" s="5"/>
      <c r="B171" s="5"/>
      <c r="C171" s="5"/>
      <c r="D171" s="5"/>
      <c r="E171" s="5"/>
      <c r="F171" s="5"/>
      <c r="G171" s="5"/>
      <c r="H171" s="5"/>
      <c r="I171" s="5"/>
      <c r="J171" s="3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2.75" customHeight="1">
      <c r="A172" s="5"/>
      <c r="B172" s="5"/>
      <c r="C172" s="5"/>
      <c r="D172" s="5"/>
      <c r="E172" s="5"/>
      <c r="F172" s="5"/>
      <c r="G172" s="5"/>
      <c r="H172" s="5"/>
      <c r="I172" s="5"/>
      <c r="J172" s="3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2.75" customHeight="1">
      <c r="A173" s="5"/>
      <c r="B173" s="5"/>
      <c r="C173" s="5"/>
      <c r="D173" s="5"/>
      <c r="E173" s="5"/>
      <c r="F173" s="5"/>
      <c r="G173" s="5"/>
      <c r="H173" s="5"/>
      <c r="I173" s="5"/>
      <c r="J173" s="3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2.75" customHeight="1">
      <c r="A174" s="5"/>
      <c r="B174" s="5"/>
      <c r="C174" s="5"/>
      <c r="D174" s="5"/>
      <c r="E174" s="5"/>
      <c r="F174" s="5"/>
      <c r="G174" s="5"/>
      <c r="H174" s="5"/>
      <c r="I174" s="5"/>
      <c r="J174" s="3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2.75" customHeight="1">
      <c r="A175" s="5"/>
      <c r="B175" s="5"/>
      <c r="C175" s="5"/>
      <c r="D175" s="5"/>
      <c r="E175" s="5"/>
      <c r="F175" s="5"/>
      <c r="G175" s="5"/>
      <c r="H175" s="5"/>
      <c r="I175" s="5"/>
      <c r="J175" s="3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2.75" customHeight="1">
      <c r="A176" s="5"/>
      <c r="B176" s="5"/>
      <c r="C176" s="5"/>
      <c r="D176" s="5"/>
      <c r="E176" s="5"/>
      <c r="F176" s="5"/>
      <c r="G176" s="5"/>
      <c r="H176" s="5"/>
      <c r="I176" s="5"/>
      <c r="J176" s="3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2.75" customHeight="1">
      <c r="A177" s="5"/>
      <c r="B177" s="5"/>
      <c r="C177" s="5"/>
      <c r="D177" s="5"/>
      <c r="E177" s="5"/>
      <c r="F177" s="5"/>
      <c r="G177" s="5"/>
      <c r="H177" s="5"/>
      <c r="I177" s="5"/>
      <c r="J177" s="3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2.75" customHeight="1">
      <c r="A178" s="5"/>
      <c r="B178" s="5"/>
      <c r="C178" s="5"/>
      <c r="D178" s="5"/>
      <c r="E178" s="5"/>
      <c r="F178" s="5"/>
      <c r="G178" s="5"/>
      <c r="H178" s="5"/>
      <c r="I178" s="5"/>
      <c r="J178" s="3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2.75" customHeight="1">
      <c r="A179" s="5"/>
      <c r="B179" s="5"/>
      <c r="C179" s="5"/>
      <c r="D179" s="5"/>
      <c r="E179" s="5"/>
      <c r="F179" s="5"/>
      <c r="G179" s="5"/>
      <c r="H179" s="5"/>
      <c r="I179" s="5"/>
      <c r="J179" s="3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2.75" customHeight="1">
      <c r="A180" s="5"/>
      <c r="B180" s="5"/>
      <c r="C180" s="5"/>
      <c r="D180" s="5"/>
      <c r="E180" s="5"/>
      <c r="F180" s="5"/>
      <c r="G180" s="5"/>
      <c r="H180" s="5"/>
      <c r="I180" s="5"/>
      <c r="J180" s="3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2.75" customHeight="1">
      <c r="A181" s="5"/>
      <c r="B181" s="5"/>
      <c r="C181" s="5"/>
      <c r="D181" s="5"/>
      <c r="E181" s="5"/>
      <c r="F181" s="5"/>
      <c r="G181" s="5"/>
      <c r="H181" s="5"/>
      <c r="I181" s="5"/>
      <c r="J181" s="3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2.75" customHeight="1">
      <c r="A182" s="5"/>
      <c r="B182" s="5"/>
      <c r="C182" s="5"/>
      <c r="D182" s="5"/>
      <c r="E182" s="5"/>
      <c r="F182" s="5"/>
      <c r="G182" s="5"/>
      <c r="H182" s="5"/>
      <c r="I182" s="5"/>
      <c r="J182" s="3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2.75" customHeight="1">
      <c r="A183" s="5"/>
      <c r="B183" s="5"/>
      <c r="C183" s="5"/>
      <c r="D183" s="5"/>
      <c r="E183" s="5"/>
      <c r="F183" s="5"/>
      <c r="G183" s="5"/>
      <c r="H183" s="5"/>
      <c r="I183" s="5"/>
      <c r="J183" s="3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2.75" customHeight="1">
      <c r="A184" s="5"/>
      <c r="B184" s="5"/>
      <c r="C184" s="5"/>
      <c r="D184" s="5"/>
      <c r="E184" s="5"/>
      <c r="F184" s="5"/>
      <c r="G184" s="5"/>
      <c r="H184" s="5"/>
      <c r="I184" s="5"/>
      <c r="J184" s="3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2.75" customHeight="1">
      <c r="A185" s="5"/>
      <c r="B185" s="5"/>
      <c r="C185" s="5"/>
      <c r="D185" s="5"/>
      <c r="E185" s="5"/>
      <c r="F185" s="5"/>
      <c r="G185" s="5"/>
      <c r="H185" s="5"/>
      <c r="I185" s="5"/>
      <c r="J185" s="3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2.75" customHeight="1">
      <c r="A186" s="5"/>
      <c r="B186" s="5"/>
      <c r="C186" s="5"/>
      <c r="D186" s="5"/>
      <c r="E186" s="5"/>
      <c r="F186" s="5"/>
      <c r="G186" s="5"/>
      <c r="H186" s="5"/>
      <c r="I186" s="5"/>
      <c r="J186" s="3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2.75" customHeight="1">
      <c r="A187" s="5"/>
      <c r="B187" s="5"/>
      <c r="C187" s="5"/>
      <c r="D187" s="5"/>
      <c r="E187" s="5"/>
      <c r="F187" s="5"/>
      <c r="G187" s="5"/>
      <c r="H187" s="5"/>
      <c r="I187" s="5"/>
      <c r="J187" s="3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2.75" customHeight="1">
      <c r="A188" s="5"/>
      <c r="B188" s="5"/>
      <c r="C188" s="5"/>
      <c r="D188" s="5"/>
      <c r="E188" s="5"/>
      <c r="F188" s="5"/>
      <c r="G188" s="5"/>
      <c r="H188" s="5"/>
      <c r="I188" s="5"/>
      <c r="J188" s="3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2.75" customHeight="1">
      <c r="A189" s="5"/>
      <c r="B189" s="5"/>
      <c r="C189" s="5"/>
      <c r="D189" s="5"/>
      <c r="E189" s="5"/>
      <c r="F189" s="5"/>
      <c r="G189" s="5"/>
      <c r="H189" s="5"/>
      <c r="I189" s="5"/>
      <c r="J189" s="3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2.75" customHeight="1">
      <c r="A190" s="5"/>
      <c r="B190" s="5"/>
      <c r="C190" s="5"/>
      <c r="D190" s="5"/>
      <c r="E190" s="5"/>
      <c r="F190" s="5"/>
      <c r="G190" s="5"/>
      <c r="H190" s="5"/>
      <c r="I190" s="5"/>
      <c r="J190" s="3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2.75" customHeight="1">
      <c r="A191" s="5"/>
      <c r="B191" s="5"/>
      <c r="C191" s="5"/>
      <c r="D191" s="5"/>
      <c r="E191" s="5"/>
      <c r="F191" s="5"/>
      <c r="G191" s="5"/>
      <c r="H191" s="5"/>
      <c r="I191" s="5"/>
      <c r="J191" s="3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2.75" customHeight="1">
      <c r="A192" s="5"/>
      <c r="B192" s="5"/>
      <c r="C192" s="5"/>
      <c r="D192" s="5"/>
      <c r="E192" s="5"/>
      <c r="F192" s="5"/>
      <c r="G192" s="5"/>
      <c r="H192" s="5"/>
      <c r="I192" s="5"/>
      <c r="J192" s="3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2.75" customHeight="1">
      <c r="A193" s="5"/>
      <c r="B193" s="5"/>
      <c r="C193" s="5"/>
      <c r="D193" s="5"/>
      <c r="E193" s="5"/>
      <c r="F193" s="5"/>
      <c r="G193" s="5"/>
      <c r="H193" s="5"/>
      <c r="I193" s="5"/>
      <c r="J193" s="3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2.75" customHeight="1">
      <c r="A194" s="5"/>
      <c r="B194" s="5"/>
      <c r="C194" s="5"/>
      <c r="D194" s="5"/>
      <c r="E194" s="5"/>
      <c r="F194" s="5"/>
      <c r="G194" s="5"/>
      <c r="H194" s="5"/>
      <c r="I194" s="5"/>
      <c r="J194" s="3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2.75" customHeight="1">
      <c r="A195" s="5"/>
      <c r="B195" s="5"/>
      <c r="C195" s="5"/>
      <c r="D195" s="5"/>
      <c r="E195" s="5"/>
      <c r="F195" s="5"/>
      <c r="G195" s="5"/>
      <c r="H195" s="5"/>
      <c r="I195" s="5"/>
      <c r="J195" s="3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2.75" customHeight="1">
      <c r="A196" s="5"/>
      <c r="B196" s="5"/>
      <c r="C196" s="5"/>
      <c r="D196" s="5"/>
      <c r="E196" s="5"/>
      <c r="F196" s="5"/>
      <c r="G196" s="5"/>
      <c r="H196" s="5"/>
      <c r="I196" s="5"/>
      <c r="J196" s="3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2.75" customHeight="1">
      <c r="A197" s="5"/>
      <c r="B197" s="5"/>
      <c r="C197" s="5"/>
      <c r="D197" s="5"/>
      <c r="E197" s="5"/>
      <c r="F197" s="5"/>
      <c r="G197" s="5"/>
      <c r="H197" s="5"/>
      <c r="I197" s="5"/>
      <c r="J197" s="3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2.75" customHeight="1">
      <c r="A198" s="5"/>
      <c r="B198" s="5"/>
      <c r="C198" s="5"/>
      <c r="D198" s="5"/>
      <c r="E198" s="5"/>
      <c r="F198" s="5"/>
      <c r="G198" s="5"/>
      <c r="H198" s="5"/>
      <c r="I198" s="5"/>
      <c r="J198" s="3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2.75" customHeight="1">
      <c r="A199" s="5"/>
      <c r="B199" s="5"/>
      <c r="C199" s="5"/>
      <c r="D199" s="5"/>
      <c r="E199" s="5"/>
      <c r="F199" s="5"/>
      <c r="G199" s="5"/>
      <c r="H199" s="5"/>
      <c r="I199" s="5"/>
      <c r="J199" s="3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2.75" customHeight="1">
      <c r="A200" s="5"/>
      <c r="B200" s="5"/>
      <c r="C200" s="5"/>
      <c r="D200" s="5"/>
      <c r="E200" s="5"/>
      <c r="F200" s="5"/>
      <c r="G200" s="5"/>
      <c r="H200" s="5"/>
      <c r="I200" s="5"/>
      <c r="J200" s="3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2.75" customHeight="1">
      <c r="A201" s="5"/>
      <c r="B201" s="5"/>
      <c r="C201" s="5"/>
      <c r="D201" s="5"/>
      <c r="E201" s="5"/>
      <c r="F201" s="5"/>
      <c r="G201" s="5"/>
      <c r="H201" s="5"/>
      <c r="I201" s="5"/>
      <c r="J201" s="3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2.75" customHeight="1">
      <c r="A202" s="5"/>
      <c r="B202" s="5"/>
      <c r="C202" s="5"/>
      <c r="D202" s="5"/>
      <c r="E202" s="5"/>
      <c r="F202" s="5"/>
      <c r="G202" s="5"/>
      <c r="H202" s="5"/>
      <c r="I202" s="5"/>
      <c r="J202" s="3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2.75" customHeight="1">
      <c r="A203" s="5"/>
      <c r="B203" s="5"/>
      <c r="C203" s="5"/>
      <c r="D203" s="5"/>
      <c r="E203" s="5"/>
      <c r="F203" s="5"/>
      <c r="G203" s="5"/>
      <c r="H203" s="5"/>
      <c r="I203" s="5"/>
      <c r="J203" s="3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2.75" customHeight="1">
      <c r="A204" s="5"/>
      <c r="B204" s="5"/>
      <c r="C204" s="5"/>
      <c r="D204" s="5"/>
      <c r="E204" s="5"/>
      <c r="F204" s="5"/>
      <c r="G204" s="5"/>
      <c r="H204" s="5"/>
      <c r="I204" s="5"/>
      <c r="J204" s="3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2.75" customHeight="1">
      <c r="A205" s="5"/>
      <c r="B205" s="5"/>
      <c r="C205" s="5"/>
      <c r="D205" s="5"/>
      <c r="E205" s="5"/>
      <c r="F205" s="5"/>
      <c r="G205" s="5"/>
      <c r="H205" s="5"/>
      <c r="I205" s="5"/>
      <c r="J205" s="3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2.75" customHeight="1">
      <c r="A206" s="5"/>
      <c r="B206" s="5"/>
      <c r="C206" s="5"/>
      <c r="D206" s="5"/>
      <c r="E206" s="5"/>
      <c r="F206" s="5"/>
      <c r="G206" s="5"/>
      <c r="H206" s="5"/>
      <c r="I206" s="5"/>
      <c r="J206" s="3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2.75" customHeight="1">
      <c r="A207" s="5"/>
      <c r="B207" s="5"/>
      <c r="C207" s="5"/>
      <c r="D207" s="5"/>
      <c r="E207" s="5"/>
      <c r="F207" s="5"/>
      <c r="G207" s="5"/>
      <c r="H207" s="5"/>
      <c r="I207" s="5"/>
      <c r="J207" s="3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2.75" customHeight="1">
      <c r="A208" s="5"/>
      <c r="B208" s="5"/>
      <c r="C208" s="5"/>
      <c r="D208" s="5"/>
      <c r="E208" s="5"/>
      <c r="F208" s="5"/>
      <c r="G208" s="5"/>
      <c r="H208" s="5"/>
      <c r="I208" s="5"/>
      <c r="J208" s="3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2.75" customHeight="1">
      <c r="A209" s="5"/>
      <c r="B209" s="5"/>
      <c r="C209" s="5"/>
      <c r="D209" s="5"/>
      <c r="E209" s="5"/>
      <c r="F209" s="5"/>
      <c r="G209" s="5"/>
      <c r="H209" s="5"/>
      <c r="I209" s="5"/>
      <c r="J209" s="3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2.75" customHeight="1">
      <c r="A210" s="5"/>
      <c r="B210" s="5"/>
      <c r="C210" s="5"/>
      <c r="D210" s="5"/>
      <c r="E210" s="5"/>
      <c r="F210" s="5"/>
      <c r="G210" s="5"/>
      <c r="H210" s="5"/>
      <c r="I210" s="5"/>
      <c r="J210" s="3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2.75" customHeight="1">
      <c r="A211" s="5"/>
      <c r="B211" s="5"/>
      <c r="C211" s="5"/>
      <c r="D211" s="5"/>
      <c r="E211" s="5"/>
      <c r="F211" s="5"/>
      <c r="G211" s="5"/>
      <c r="H211" s="5"/>
      <c r="I211" s="5"/>
      <c r="J211" s="3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2.75" customHeight="1">
      <c r="A212" s="5"/>
      <c r="B212" s="5"/>
      <c r="C212" s="5"/>
      <c r="D212" s="5"/>
      <c r="E212" s="5"/>
      <c r="F212" s="5"/>
      <c r="G212" s="5"/>
      <c r="H212" s="5"/>
      <c r="I212" s="5"/>
      <c r="J212" s="3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2.75" customHeight="1">
      <c r="A213" s="5"/>
      <c r="B213" s="5"/>
      <c r="C213" s="5"/>
      <c r="D213" s="5"/>
      <c r="E213" s="5"/>
      <c r="F213" s="5"/>
      <c r="G213" s="5"/>
      <c r="H213" s="5"/>
      <c r="I213" s="5"/>
      <c r="J213" s="3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2.75" customHeight="1">
      <c r="A214" s="5"/>
      <c r="B214" s="5"/>
      <c r="C214" s="5"/>
      <c r="D214" s="5"/>
      <c r="E214" s="5"/>
      <c r="F214" s="5"/>
      <c r="G214" s="5"/>
      <c r="H214" s="5"/>
      <c r="I214" s="5"/>
      <c r="J214" s="3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2.75" customHeight="1">
      <c r="A215" s="5"/>
      <c r="B215" s="5"/>
      <c r="C215" s="5"/>
      <c r="D215" s="5"/>
      <c r="E215" s="5"/>
      <c r="F215" s="5"/>
      <c r="G215" s="5"/>
      <c r="H215" s="5"/>
      <c r="I215" s="5"/>
      <c r="J215" s="3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2.75" customHeight="1">
      <c r="A216" s="5"/>
      <c r="B216" s="5"/>
      <c r="C216" s="5"/>
      <c r="D216" s="5"/>
      <c r="E216" s="5"/>
      <c r="F216" s="5"/>
      <c r="G216" s="5"/>
      <c r="H216" s="5"/>
      <c r="I216" s="5"/>
      <c r="J216" s="3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2.75" customHeight="1">
      <c r="A217" s="5"/>
      <c r="B217" s="5"/>
      <c r="C217" s="5"/>
      <c r="D217" s="5"/>
      <c r="E217" s="5"/>
      <c r="F217" s="5"/>
      <c r="G217" s="5"/>
      <c r="H217" s="5"/>
      <c r="I217" s="5"/>
      <c r="J217" s="3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2.75" customHeight="1">
      <c r="A218" s="5"/>
      <c r="B218" s="5"/>
      <c r="C218" s="5"/>
      <c r="D218" s="5"/>
      <c r="E218" s="5"/>
      <c r="F218" s="5"/>
      <c r="G218" s="5"/>
      <c r="H218" s="5"/>
      <c r="I218" s="5"/>
      <c r="J218" s="3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2.75" customHeight="1">
      <c r="A219" s="5"/>
      <c r="B219" s="5"/>
      <c r="C219" s="5"/>
      <c r="D219" s="5"/>
      <c r="E219" s="5"/>
      <c r="F219" s="5"/>
      <c r="G219" s="5"/>
      <c r="H219" s="5"/>
      <c r="I219" s="5"/>
      <c r="J219" s="3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2.75" customHeight="1">
      <c r="A220" s="5"/>
      <c r="B220" s="5"/>
      <c r="C220" s="5"/>
      <c r="D220" s="5"/>
      <c r="E220" s="5"/>
      <c r="F220" s="5"/>
      <c r="G220" s="5"/>
      <c r="H220" s="5"/>
      <c r="I220" s="5"/>
      <c r="J220" s="3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ht="14.25" customHeight="1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ht="14.25" customHeight="1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ht="14.25" customHeight="1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ht="14.25" customHeight="1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ht="14.25" customHeight="1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ht="14.25" customHeight="1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ht="14.25" customHeight="1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ht="14.25" customHeight="1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ht="14.25" customHeight="1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ht="14.25" customHeight="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ht="14.25" customHeight="1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ht="14.25" customHeight="1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ht="14.25" customHeight="1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ht="14.25" customHeight="1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ht="14.25" customHeight="1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ht="14.25" customHeight="1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ht="14.25" customHeight="1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ht="14.25" customHeight="1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ht="14.25" customHeight="1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ht="14.25" customHeight="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ht="14.25" customHeight="1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ht="14.25" customHeight="1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ht="14.25" customHeight="1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ht="14.25" customHeight="1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ht="14.25" customHeight="1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ht="14.25" customHeight="1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ht="14.25" customHeight="1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ht="14.25" customHeight="1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ht="14.25" customHeight="1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ht="14.25" customHeight="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ht="14.25" customHeight="1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ht="14.25" customHeight="1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ht="14.25" customHeight="1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ht="14.25" customHeight="1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ht="14.25" customHeight="1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ht="14.25" customHeight="1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ht="14.25" customHeight="1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ht="14.25" customHeight="1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ht="14.2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ht="14.25" customHeight="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ht="14.25" customHeight="1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ht="14.25" customHeight="1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ht="14.25" customHeight="1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ht="14.25" customHeight="1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ht="14.25" customHeight="1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ht="14.25" customHeight="1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ht="14.25" customHeight="1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ht="14.25" customHeight="1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ht="14.25" customHeight="1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ht="14.25" customHeight="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ht="14.25" customHeight="1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ht="14.25" customHeight="1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ht="14.25" customHeight="1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ht="14.25" customHeight="1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ht="14.25" customHeight="1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ht="14.25" customHeight="1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ht="14.25" customHeight="1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ht="14.25" customHeight="1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ht="14.25" customHeight="1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ht="14.25" customHeight="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ht="14.25" customHeight="1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ht="14.25" customHeight="1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ht="14.25" customHeight="1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ht="14.25" customHeight="1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ht="14.25" customHeight="1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ht="14.25" customHeight="1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ht="14.25" customHeight="1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ht="14.25" customHeight="1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ht="14.25" customHeight="1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ht="14.25" customHeight="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ht="14.25" customHeight="1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ht="14.25" customHeight="1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ht="14.25" customHeight="1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ht="14.25" customHeight="1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ht="14.25" customHeight="1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ht="14.25" customHeight="1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ht="14.25" customHeight="1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ht="14.25" customHeight="1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ht="14.25" customHeight="1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ht="14.25" customHeight="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ht="14.25" customHeight="1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ht="14.25" customHeight="1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ht="14.25" customHeight="1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ht="14.25" customHeight="1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ht="14.25" customHeight="1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ht="14.25" customHeight="1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ht="14.25" customHeight="1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ht="14.25" customHeight="1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ht="14.25" customHeight="1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ht="14.25" customHeight="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ht="14.25" customHeight="1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ht="14.25" customHeight="1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ht="14.25" customHeight="1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ht="14.25" customHeight="1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ht="14.25" customHeight="1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ht="14.25" customHeight="1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ht="14.25" customHeight="1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ht="14.25" customHeight="1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ht="14.25" customHeight="1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ht="14.25" customHeight="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ht="14.25" customHeight="1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ht="14.25" customHeight="1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ht="14.25" customHeight="1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ht="14.25" customHeight="1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ht="14.25" customHeight="1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ht="14.25" customHeight="1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ht="14.25" customHeight="1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ht="14.25" customHeight="1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ht="14.25" customHeight="1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ht="14.25" customHeight="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ht="14.25" customHeight="1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ht="14.25" customHeight="1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ht="14.25" customHeight="1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ht="14.25" customHeight="1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ht="14.25" customHeight="1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ht="14.25" customHeight="1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ht="14.25" customHeight="1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ht="14.25" customHeight="1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ht="14.25" customHeight="1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ht="14.25" customHeight="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ht="14.25" customHeight="1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ht="14.25" customHeight="1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ht="14.25" customHeight="1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ht="14.25" customHeight="1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ht="14.25" customHeight="1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ht="14.25" customHeight="1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ht="14.25" customHeight="1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ht="14.25" customHeight="1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ht="14.25" customHeight="1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ht="14.25" customHeight="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ht="14.25" customHeight="1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ht="14.25" customHeight="1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ht="14.25" customHeight="1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ht="14.25" customHeight="1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ht="14.25" customHeight="1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ht="14.25" customHeight="1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ht="14.25" customHeight="1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ht="14.25" customHeight="1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ht="14.25" customHeight="1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ht="14.25" customHeight="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ht="14.25" customHeight="1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ht="14.25" customHeight="1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ht="14.25" customHeight="1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ht="14.25" customHeight="1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ht="14.25" customHeight="1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ht="14.25" customHeight="1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ht="14.25" customHeight="1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ht="14.25" customHeight="1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ht="14.25" customHeight="1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ht="14.25" customHeight="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ht="14.25" customHeight="1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ht="14.25" customHeight="1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ht="14.25" customHeight="1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ht="14.25" customHeight="1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ht="14.25" customHeight="1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ht="14.25" customHeight="1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ht="14.25" customHeight="1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ht="14.25" customHeight="1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ht="14.25" customHeight="1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ht="14.25" customHeight="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ht="14.25" customHeight="1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ht="14.25" customHeight="1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ht="14.25" customHeight="1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ht="14.25" customHeight="1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ht="14.25" customHeight="1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ht="14.25" customHeight="1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ht="14.25" customHeight="1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ht="14.25" customHeight="1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ht="14.25" customHeight="1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ht="14.25" customHeight="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ht="14.25" customHeight="1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ht="14.25" customHeight="1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ht="14.25" customHeight="1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ht="14.25" customHeight="1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ht="14.25" customHeight="1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ht="14.25" customHeight="1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ht="14.25" customHeight="1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ht="14.25" customHeight="1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ht="14.25" customHeight="1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ht="14.25" customHeight="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ht="14.25" customHeight="1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ht="14.25" customHeight="1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ht="14.25" customHeight="1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ht="14.25" customHeight="1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ht="14.25" customHeight="1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ht="14.25" customHeight="1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ht="14.25" customHeight="1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ht="14.25" customHeight="1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ht="14.25" customHeight="1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ht="14.25" customHeight="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ht="14.25" customHeight="1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ht="14.25" customHeight="1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ht="14.25" customHeight="1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ht="14.25" customHeight="1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ht="14.25" customHeight="1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ht="14.25" customHeight="1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ht="14.25" customHeight="1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ht="14.25" customHeight="1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ht="14.25" customHeight="1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ht="14.25" customHeight="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ht="14.25" customHeight="1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ht="14.25" customHeight="1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ht="14.25" customHeight="1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ht="14.25" customHeight="1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ht="14.25" customHeight="1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ht="14.25" customHeight="1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ht="14.25" customHeight="1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ht="14.25" customHeight="1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ht="14.25" customHeight="1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ht="14.25" customHeight="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ht="14.2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ht="14.2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ht="14.2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ht="14.2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ht="14.2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ht="14.2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ht="14.2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ht="14.2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ht="14.2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ht="14.2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ht="14.2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ht="14.2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ht="14.2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ht="14.2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ht="14.2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ht="14.2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ht="14.2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ht="14.2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ht="14.2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ht="14.2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ht="14.2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ht="14.2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ht="14.2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ht="14.2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ht="14.2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ht="14.2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ht="14.2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ht="14.2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ht="14.2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ht="14.2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ht="14.2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ht="14.2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ht="14.2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ht="14.2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ht="14.2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ht="14.2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ht="14.2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ht="14.2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ht="14.2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ht="14.2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ht="14.2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ht="14.2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ht="14.2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ht="14.2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ht="14.2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ht="14.2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ht="14.2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ht="14.2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ht="14.2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ht="14.2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ht="14.2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ht="14.2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ht="14.2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ht="14.2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ht="14.2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ht="14.2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ht="14.2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ht="14.2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ht="14.2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ht="14.2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ht="14.2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ht="14.2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ht="14.2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ht="14.2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ht="14.2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ht="14.2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ht="14.2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ht="14.2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ht="14.2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ht="14.2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ht="14.2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ht="14.2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ht="14.2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ht="14.2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ht="14.2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ht="14.2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ht="14.2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ht="14.2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ht="14.2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ht="14.2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ht="14.2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ht="14.2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ht="14.2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ht="14.2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ht="14.2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ht="14.2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ht="14.2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ht="14.2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ht="14.2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ht="14.2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ht="14.2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ht="14.2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ht="14.2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ht="14.2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ht="14.2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ht="14.2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ht="14.2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ht="14.2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ht="14.2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ht="14.2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ht="14.2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ht="14.2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ht="14.2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ht="14.2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ht="14.2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ht="14.2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ht="14.2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ht="14.2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ht="14.2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ht="14.2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ht="14.2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ht="14.2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ht="14.2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ht="14.2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ht="14.2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ht="14.2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ht="14.2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ht="14.2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ht="14.2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ht="14.2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ht="14.2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ht="14.2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ht="14.2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ht="14.2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ht="14.2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ht="14.2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ht="14.2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ht="14.2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ht="14.2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ht="14.2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ht="14.2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ht="14.2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ht="14.2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ht="14.2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ht="14.2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ht="14.2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ht="14.2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ht="14.2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ht="14.2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ht="14.2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ht="14.2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ht="14.2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ht="14.2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ht="14.2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ht="14.2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ht="14.2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ht="14.2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ht="14.2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ht="14.2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ht="14.2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ht="14.2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ht="14.2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ht="14.2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ht="14.2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ht="14.2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ht="14.2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ht="14.2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ht="14.2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ht="14.2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ht="14.2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ht="14.2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ht="14.2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ht="14.2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ht="14.2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ht="14.2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ht="14.2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ht="14.2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ht="14.2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ht="14.2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ht="14.2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ht="14.2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ht="14.2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ht="14.2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ht="14.2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ht="14.2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ht="14.2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ht="14.2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ht="14.2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ht="14.2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ht="14.2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ht="14.2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ht="14.2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ht="14.2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ht="14.2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ht="14.2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ht="14.2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ht="14.2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ht="14.2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ht="14.2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ht="14.2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ht="14.2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ht="14.2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ht="14.2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ht="14.2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ht="14.2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ht="14.2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ht="14.2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ht="14.2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ht="14.2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ht="14.2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ht="14.2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ht="14.2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ht="14.2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ht="14.2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ht="14.2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ht="14.2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ht="14.2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ht="14.2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ht="14.2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ht="14.2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ht="14.2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ht="14.2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ht="14.2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ht="14.2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ht="14.2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ht="14.2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ht="14.2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ht="14.2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ht="14.2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ht="14.2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ht="14.2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ht="14.2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ht="14.2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ht="14.2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ht="14.2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ht="14.2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ht="14.2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ht="14.2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ht="14.2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ht="14.2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ht="14.2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ht="14.2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ht="14.2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ht="14.2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ht="14.2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ht="14.2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ht="14.2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ht="14.2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ht="14.2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ht="14.2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ht="14.2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ht="14.2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ht="14.2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ht="14.2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ht="14.2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ht="14.2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ht="14.2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ht="14.2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ht="14.2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ht="14.2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ht="14.2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ht="14.2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ht="14.2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ht="14.2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ht="14.2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ht="14.2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ht="14.2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ht="14.2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ht="14.2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ht="14.2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ht="14.2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ht="14.2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ht="14.2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ht="14.2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ht="14.2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ht="14.2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ht="14.2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ht="14.2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ht="14.2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ht="14.2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ht="14.2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ht="14.2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ht="14.2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ht="14.2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ht="14.2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ht="14.2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ht="14.2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ht="14.2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ht="14.2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ht="14.2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ht="14.2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ht="14.2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ht="14.2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ht="14.2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ht="14.2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ht="14.2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ht="14.2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ht="14.2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ht="14.2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ht="14.2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ht="14.2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ht="14.2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ht="14.2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ht="14.2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ht="14.2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ht="14.2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ht="14.2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ht="14.2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ht="14.2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ht="14.2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ht="14.2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ht="14.2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ht="14.2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ht="14.2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ht="14.2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ht="14.2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ht="14.2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ht="14.2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ht="14.2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ht="14.2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ht="14.2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ht="14.2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ht="14.2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ht="14.2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ht="14.2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ht="14.2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ht="14.2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ht="14.2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ht="14.2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ht="14.2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ht="14.2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ht="14.2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ht="14.2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ht="14.2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ht="14.2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ht="14.2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ht="14.2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ht="14.2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ht="14.2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ht="14.2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ht="14.2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ht="14.2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ht="14.2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ht="14.2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ht="14.2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ht="14.2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ht="14.2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ht="14.2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ht="14.2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ht="14.2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ht="14.2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ht="14.2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ht="14.2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ht="14.2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ht="14.2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ht="14.2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ht="14.2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ht="14.2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ht="14.2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ht="14.2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ht="14.2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ht="14.2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ht="14.2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ht="14.2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ht="14.2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ht="14.2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ht="14.2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ht="14.2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ht="14.2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ht="14.2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ht="14.2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ht="14.2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ht="14.2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ht="14.2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ht="14.2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ht="14.2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ht="14.2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ht="14.2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ht="14.2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ht="14.2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ht="14.2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ht="14.2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ht="14.2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ht="14.2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ht="14.2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ht="14.2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ht="14.2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ht="14.2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ht="14.2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ht="14.2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ht="14.2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ht="14.2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ht="14.2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ht="14.2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ht="14.2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ht="14.2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ht="14.2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ht="14.2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ht="14.2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ht="14.2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ht="14.2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ht="14.2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ht="14.2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ht="14.2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ht="14.2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ht="14.2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ht="14.2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ht="14.2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ht="14.2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ht="14.2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ht="14.2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ht="14.2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ht="14.2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ht="14.2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ht="14.2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ht="14.2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ht="14.2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ht="14.2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ht="14.2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ht="14.2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ht="14.2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ht="14.2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ht="14.2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ht="14.2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ht="14.2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ht="14.2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ht="14.2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ht="14.2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ht="14.2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ht="14.2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ht="14.2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ht="14.2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ht="14.2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ht="14.2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ht="14.2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ht="14.2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ht="14.2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ht="14.2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ht="14.2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ht="14.2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ht="14.2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ht="14.2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ht="14.2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ht="14.2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ht="14.2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ht="14.2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ht="14.2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ht="14.2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ht="14.2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ht="14.2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ht="14.2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ht="14.2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ht="14.2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ht="14.2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ht="14.2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ht="14.2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ht="14.2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ht="14.2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ht="14.2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ht="14.2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ht="14.2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ht="14.2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ht="14.2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ht="14.2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ht="14.2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ht="14.2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ht="14.2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ht="14.2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ht="14.2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ht="14.2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ht="14.2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ht="14.2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ht="14.2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ht="14.2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ht="14.2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ht="14.2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ht="14.2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ht="14.2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ht="14.2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ht="14.2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ht="14.2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ht="14.2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ht="14.2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ht="14.2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ht="14.2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ht="14.2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ht="14.2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ht="14.2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ht="14.2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ht="14.2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ht="14.2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ht="14.2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ht="14.2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ht="14.2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ht="14.2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ht="14.2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ht="14.2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ht="14.2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ht="14.2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ht="14.2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ht="14.2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ht="14.2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ht="14.2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ht="14.2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ht="14.2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ht="14.2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ht="14.2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ht="14.2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ht="14.2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ht="14.2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ht="14.2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ht="14.2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ht="14.2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ht="14.2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ht="14.2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ht="14.2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ht="14.2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ht="14.2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ht="14.2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ht="14.2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ht="14.2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ht="14.2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ht="14.2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ht="14.2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ht="14.2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ht="14.2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ht="14.2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ht="14.2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ht="14.2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ht="14.2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ht="14.2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ht="14.2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ht="14.2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ht="14.2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ht="14.2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ht="14.2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ht="14.2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ht="14.2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ht="14.2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ht="14.2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ht="14.2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ht="14.2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ht="14.2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ht="14.2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ht="14.2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ht="14.2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ht="14.2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ht="14.2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ht="14.2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ht="14.2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ht="14.2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ht="14.2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ht="14.2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ht="14.2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ht="14.2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ht="14.2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ht="14.2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ht="14.2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ht="14.2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ht="14.2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ht="14.2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ht="14.2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ht="14.2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ht="14.2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ht="14.2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ht="14.2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ht="14.2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ht="14.2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ht="14.2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ht="14.2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ht="14.2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ht="14.2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ht="14.2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ht="14.2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ht="14.2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ht="14.2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ht="14.2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ht="14.2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ht="14.2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dataValidations>
    <dataValidation type="list" allowBlank="1" showDropDown="1" sqref="G2:G7">
      <formula1>"43101.0,1-N,0-1,0-N"</formula1>
    </dataValidation>
    <dataValidation type="list" allowBlank="1" showDropDown="1" sqref="E2:E7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43"/>
    <col customWidth="1" min="2" max="2" width="5.86"/>
    <col customWidth="1" min="3" max="3" width="51.0"/>
    <col customWidth="1" min="4" max="4" width="47.86"/>
    <col customWidth="1" min="5" max="5" width="3.43"/>
    <col customWidth="1" min="6" max="6" width="6.43"/>
    <col customWidth="1" min="7" max="7" width="63.86"/>
    <col customWidth="1" min="8" max="21" width="8.71"/>
  </cols>
  <sheetData>
    <row r="1" ht="12.75" customHeight="1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7</v>
      </c>
      <c r="G1" s="1" t="s">
        <v>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</row>
    <row r="2" ht="12.75" customHeight="1">
      <c r="A2" s="7">
        <f t="shared" ref="A2:A53" si="1">ROW()-1</f>
        <v>1</v>
      </c>
      <c r="B2" s="7" t="str">
        <f t="shared" ref="B2:B53" si="2">CONCATENATE("A",IF(A2&lt;=9,0,),A2)</f>
        <v>A01</v>
      </c>
      <c r="C2" s="8" t="s">
        <v>11</v>
      </c>
      <c r="D2" s="10"/>
      <c r="E2" s="7" t="s">
        <v>13</v>
      </c>
      <c r="F2" s="7" t="s">
        <v>15</v>
      </c>
      <c r="G2" s="12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ht="12.75" customHeight="1">
      <c r="A3" s="15">
        <f t="shared" si="1"/>
        <v>2</v>
      </c>
      <c r="B3" s="15" t="str">
        <f t="shared" si="2"/>
        <v>A02</v>
      </c>
      <c r="C3" s="10" t="s">
        <v>18</v>
      </c>
      <c r="D3" s="10" t="s">
        <v>19</v>
      </c>
      <c r="E3" s="15" t="s">
        <v>21</v>
      </c>
      <c r="F3" s="15" t="str">
        <f t="shared" ref="F3:F33" si="3">$B$2</f>
        <v>A01</v>
      </c>
      <c r="G3" s="12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ht="14.25" customHeight="1">
      <c r="A4" s="15">
        <f t="shared" si="1"/>
        <v>3</v>
      </c>
      <c r="B4" s="15" t="str">
        <f t="shared" si="2"/>
        <v>A03</v>
      </c>
      <c r="C4" s="10" t="s">
        <v>24</v>
      </c>
      <c r="D4" s="19" t="s">
        <v>26</v>
      </c>
      <c r="E4" s="15" t="s">
        <v>21</v>
      </c>
      <c r="F4" s="15" t="str">
        <f t="shared" si="3"/>
        <v>A01</v>
      </c>
      <c r="G4" s="19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ht="12.75" customHeight="1">
      <c r="A5" s="15">
        <f t="shared" si="1"/>
        <v>4</v>
      </c>
      <c r="B5" s="15" t="str">
        <f t="shared" si="2"/>
        <v>A04</v>
      </c>
      <c r="C5" s="10" t="s">
        <v>29</v>
      </c>
      <c r="D5" s="22" t="s">
        <v>30</v>
      </c>
      <c r="E5" s="15" t="s">
        <v>21</v>
      </c>
      <c r="F5" s="15" t="str">
        <f t="shared" si="3"/>
        <v>A01</v>
      </c>
      <c r="G5" s="12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ht="12.75" customHeight="1">
      <c r="A6" s="15">
        <f t="shared" si="1"/>
        <v>5</v>
      </c>
      <c r="B6" s="15" t="str">
        <f t="shared" si="2"/>
        <v>A05</v>
      </c>
      <c r="C6" s="10" t="s">
        <v>33</v>
      </c>
      <c r="D6" s="19" t="s">
        <v>34</v>
      </c>
      <c r="E6" s="15" t="s">
        <v>35</v>
      </c>
      <c r="F6" s="15" t="str">
        <f t="shared" si="3"/>
        <v>A01</v>
      </c>
      <c r="G6" s="12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ht="12.75" customHeight="1">
      <c r="A7" s="15">
        <f t="shared" si="1"/>
        <v>6</v>
      </c>
      <c r="B7" s="15" t="str">
        <f t="shared" si="2"/>
        <v>A06</v>
      </c>
      <c r="C7" s="10" t="s">
        <v>37</v>
      </c>
      <c r="D7" s="27" t="s">
        <v>38</v>
      </c>
      <c r="E7" s="15" t="s">
        <v>35</v>
      </c>
      <c r="F7" s="15" t="str">
        <f t="shared" si="3"/>
        <v>A01</v>
      </c>
      <c r="G7" s="28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ht="12.75" customHeight="1">
      <c r="A8" s="15">
        <f t="shared" si="1"/>
        <v>7</v>
      </c>
      <c r="B8" s="15" t="str">
        <f t="shared" si="2"/>
        <v>A07</v>
      </c>
      <c r="C8" s="30" t="s">
        <v>43</v>
      </c>
      <c r="D8" s="31" t="s">
        <v>44</v>
      </c>
      <c r="E8" s="32" t="s">
        <v>21</v>
      </c>
      <c r="F8" s="15" t="str">
        <f t="shared" si="3"/>
        <v>A01</v>
      </c>
      <c r="G8" s="33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ht="12.75" customHeight="1">
      <c r="A9" s="15">
        <f t="shared" si="1"/>
        <v>8</v>
      </c>
      <c r="B9" s="15" t="str">
        <f t="shared" si="2"/>
        <v>A08</v>
      </c>
      <c r="C9" s="10" t="s">
        <v>51</v>
      </c>
      <c r="D9" s="34" t="s">
        <v>52</v>
      </c>
      <c r="E9" s="15" t="s">
        <v>21</v>
      </c>
      <c r="F9" s="15" t="str">
        <f t="shared" si="3"/>
        <v>A01</v>
      </c>
      <c r="G9" s="12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ht="12.75" customHeight="1">
      <c r="A10" s="15">
        <f t="shared" si="1"/>
        <v>9</v>
      </c>
      <c r="B10" s="15" t="str">
        <f t="shared" si="2"/>
        <v>A09</v>
      </c>
      <c r="C10" s="10" t="s">
        <v>57</v>
      </c>
      <c r="D10" s="19" t="s">
        <v>58</v>
      </c>
      <c r="E10" s="15" t="s">
        <v>21</v>
      </c>
      <c r="F10" s="15" t="str">
        <f t="shared" si="3"/>
        <v>A01</v>
      </c>
      <c r="G10" s="12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ht="12.75" customHeight="1">
      <c r="A11" s="15">
        <f t="shared" si="1"/>
        <v>10</v>
      </c>
      <c r="B11" s="15" t="str">
        <f t="shared" si="2"/>
        <v>A10</v>
      </c>
      <c r="C11" s="10" t="s">
        <v>62</v>
      </c>
      <c r="D11" s="19" t="s">
        <v>63</v>
      </c>
      <c r="E11" s="15" t="s">
        <v>21</v>
      </c>
      <c r="F11" s="15" t="str">
        <f t="shared" si="3"/>
        <v>A01</v>
      </c>
      <c r="G11" s="12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ht="12.75" customHeight="1">
      <c r="A12" s="15">
        <f t="shared" si="1"/>
        <v>11</v>
      </c>
      <c r="B12" s="15" t="str">
        <f t="shared" si="2"/>
        <v>A11</v>
      </c>
      <c r="C12" s="10" t="s">
        <v>64</v>
      </c>
      <c r="D12" s="19" t="s">
        <v>65</v>
      </c>
      <c r="E12" s="15" t="s">
        <v>21</v>
      </c>
      <c r="F12" s="15" t="str">
        <f t="shared" si="3"/>
        <v>A01</v>
      </c>
      <c r="G12" s="12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ht="12.75" customHeight="1">
      <c r="A13" s="15">
        <f t="shared" si="1"/>
        <v>12</v>
      </c>
      <c r="B13" s="15" t="str">
        <f t="shared" si="2"/>
        <v>A12</v>
      </c>
      <c r="C13" s="10" t="s">
        <v>66</v>
      </c>
      <c r="D13" s="19" t="s">
        <v>67</v>
      </c>
      <c r="E13" s="15" t="s">
        <v>21</v>
      </c>
      <c r="F13" s="15" t="str">
        <f t="shared" si="3"/>
        <v>A01</v>
      </c>
      <c r="G13" s="21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ht="12.75" customHeight="1">
      <c r="A14" s="15">
        <f t="shared" si="1"/>
        <v>13</v>
      </c>
      <c r="B14" s="15" t="str">
        <f t="shared" si="2"/>
        <v>A13</v>
      </c>
      <c r="C14" s="10" t="s">
        <v>68</v>
      </c>
      <c r="D14" s="19" t="s">
        <v>69</v>
      </c>
      <c r="E14" s="15" t="s">
        <v>21</v>
      </c>
      <c r="F14" s="15" t="str">
        <f t="shared" si="3"/>
        <v>A01</v>
      </c>
      <c r="G14" s="12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ht="12.75" customHeight="1">
      <c r="A15" s="15">
        <f t="shared" si="1"/>
        <v>14</v>
      </c>
      <c r="B15" s="15" t="str">
        <f t="shared" si="2"/>
        <v>A14</v>
      </c>
      <c r="C15" s="10" t="s">
        <v>71</v>
      </c>
      <c r="D15" s="19" t="s">
        <v>72</v>
      </c>
      <c r="E15" s="15" t="s">
        <v>21</v>
      </c>
      <c r="F15" s="15" t="str">
        <f t="shared" si="3"/>
        <v>A01</v>
      </c>
      <c r="G15" s="12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ht="12.75" customHeight="1">
      <c r="A16" s="15">
        <f t="shared" si="1"/>
        <v>15</v>
      </c>
      <c r="B16" s="15" t="str">
        <f t="shared" si="2"/>
        <v>A15</v>
      </c>
      <c r="C16" s="10" t="s">
        <v>73</v>
      </c>
      <c r="D16" s="19" t="s">
        <v>74</v>
      </c>
      <c r="E16" s="15" t="s">
        <v>21</v>
      </c>
      <c r="F16" s="15" t="str">
        <f t="shared" si="3"/>
        <v>A01</v>
      </c>
      <c r="G16" s="19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ht="12.75" customHeight="1">
      <c r="A17" s="15">
        <f t="shared" si="1"/>
        <v>16</v>
      </c>
      <c r="B17" s="15" t="str">
        <f t="shared" si="2"/>
        <v>A16</v>
      </c>
      <c r="C17" s="10" t="s">
        <v>76</v>
      </c>
      <c r="D17" s="19" t="s">
        <v>77</v>
      </c>
      <c r="E17" s="15" t="s">
        <v>21</v>
      </c>
      <c r="F17" s="15" t="str">
        <f t="shared" si="3"/>
        <v>A01</v>
      </c>
      <c r="G17" s="1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ht="12.75" customHeight="1">
      <c r="A18" s="15">
        <f t="shared" si="1"/>
        <v>17</v>
      </c>
      <c r="B18" s="15" t="str">
        <f t="shared" si="2"/>
        <v>A17</v>
      </c>
      <c r="C18" s="10" t="s">
        <v>78</v>
      </c>
      <c r="D18" s="19" t="s">
        <v>79</v>
      </c>
      <c r="E18" s="15" t="s">
        <v>21</v>
      </c>
      <c r="F18" s="15" t="str">
        <f t="shared" si="3"/>
        <v>A01</v>
      </c>
      <c r="G18" s="19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ht="12.75" customHeight="1">
      <c r="A19" s="15">
        <f t="shared" si="1"/>
        <v>18</v>
      </c>
      <c r="B19" s="15" t="str">
        <f t="shared" si="2"/>
        <v>A18</v>
      </c>
      <c r="C19" s="10" t="s">
        <v>81</v>
      </c>
      <c r="D19" s="19" t="s">
        <v>82</v>
      </c>
      <c r="E19" s="15" t="s">
        <v>21</v>
      </c>
      <c r="F19" s="15" t="str">
        <f t="shared" si="3"/>
        <v>A01</v>
      </c>
      <c r="G19" s="19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ht="63.75" customHeight="1">
      <c r="A20" s="15">
        <f t="shared" si="1"/>
        <v>19</v>
      </c>
      <c r="B20" s="15" t="str">
        <f t="shared" si="2"/>
        <v>A19</v>
      </c>
      <c r="C20" s="10" t="s">
        <v>83</v>
      </c>
      <c r="D20" s="19" t="s">
        <v>84</v>
      </c>
      <c r="E20" s="15" t="s">
        <v>21</v>
      </c>
      <c r="F20" s="15" t="str">
        <f t="shared" si="3"/>
        <v>A01</v>
      </c>
      <c r="G20" s="21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ht="14.25" customHeight="1">
      <c r="A21" s="15">
        <f t="shared" si="1"/>
        <v>20</v>
      </c>
      <c r="B21" s="15" t="str">
        <f t="shared" si="2"/>
        <v>A20</v>
      </c>
      <c r="C21" s="10" t="s">
        <v>85</v>
      </c>
      <c r="D21" s="10" t="s">
        <v>86</v>
      </c>
      <c r="E21" s="15" t="s">
        <v>21</v>
      </c>
      <c r="F21" s="15" t="str">
        <f t="shared" si="3"/>
        <v>A01</v>
      </c>
      <c r="G21" s="21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ht="14.25" customHeight="1">
      <c r="A22" s="15">
        <f t="shared" si="1"/>
        <v>21</v>
      </c>
      <c r="B22" s="15" t="str">
        <f t="shared" si="2"/>
        <v>A21</v>
      </c>
      <c r="C22" s="10" t="s">
        <v>87</v>
      </c>
      <c r="D22" s="19" t="s">
        <v>88</v>
      </c>
      <c r="E22" s="15" t="s">
        <v>21</v>
      </c>
      <c r="F22" s="15" t="str">
        <f t="shared" si="3"/>
        <v>A01</v>
      </c>
      <c r="G22" s="21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ht="12.75" customHeight="1">
      <c r="A23" s="15">
        <f t="shared" si="1"/>
        <v>22</v>
      </c>
      <c r="B23" s="15" t="str">
        <f t="shared" si="2"/>
        <v>A22</v>
      </c>
      <c r="C23" s="10" t="s">
        <v>89</v>
      </c>
      <c r="D23" s="39" t="s">
        <v>90</v>
      </c>
      <c r="E23" s="15" t="s">
        <v>21</v>
      </c>
      <c r="F23" s="15" t="str">
        <f t="shared" si="3"/>
        <v>A01</v>
      </c>
      <c r="G23" s="12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ht="12.75" customHeight="1">
      <c r="A24" s="15">
        <f t="shared" si="1"/>
        <v>23</v>
      </c>
      <c r="B24" s="15" t="str">
        <f t="shared" si="2"/>
        <v>A23</v>
      </c>
      <c r="C24" s="10" t="s">
        <v>91</v>
      </c>
      <c r="D24" s="39" t="s">
        <v>92</v>
      </c>
      <c r="E24" s="15" t="s">
        <v>21</v>
      </c>
      <c r="F24" s="15" t="str">
        <f t="shared" si="3"/>
        <v>A01</v>
      </c>
      <c r="G24" s="12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ht="12.75" customHeight="1">
      <c r="A25" s="15">
        <f t="shared" si="1"/>
        <v>24</v>
      </c>
      <c r="B25" s="15" t="str">
        <f t="shared" si="2"/>
        <v>A24</v>
      </c>
      <c r="C25" s="10" t="s">
        <v>94</v>
      </c>
      <c r="D25" s="39" t="s">
        <v>95</v>
      </c>
      <c r="E25" s="15" t="s">
        <v>21</v>
      </c>
      <c r="F25" s="15" t="str">
        <f t="shared" si="3"/>
        <v>A01</v>
      </c>
      <c r="G25" s="12" t="s">
        <v>96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ht="12.75" customHeight="1">
      <c r="A26" s="15">
        <f t="shared" si="1"/>
        <v>25</v>
      </c>
      <c r="B26" s="15" t="str">
        <f t="shared" si="2"/>
        <v>A25</v>
      </c>
      <c r="C26" s="10" t="s">
        <v>97</v>
      </c>
      <c r="D26" s="19" t="s">
        <v>98</v>
      </c>
      <c r="E26" s="15" t="s">
        <v>21</v>
      </c>
      <c r="F26" s="15" t="str">
        <f t="shared" si="3"/>
        <v>A01</v>
      </c>
      <c r="G26" s="12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ht="12.75" customHeight="1">
      <c r="A27" s="15">
        <f t="shared" si="1"/>
        <v>26</v>
      </c>
      <c r="B27" s="15" t="str">
        <f t="shared" si="2"/>
        <v>A26</v>
      </c>
      <c r="C27" s="10" t="s">
        <v>100</v>
      </c>
      <c r="D27" s="19" t="s">
        <v>101</v>
      </c>
      <c r="E27" s="15" t="s">
        <v>21</v>
      </c>
      <c r="F27" s="15" t="str">
        <f t="shared" si="3"/>
        <v>A01</v>
      </c>
      <c r="G27" s="12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ht="14.25" customHeight="1">
      <c r="A28" s="15">
        <f t="shared" si="1"/>
        <v>27</v>
      </c>
      <c r="B28" s="15" t="str">
        <f t="shared" si="2"/>
        <v>A27</v>
      </c>
      <c r="C28" s="10" t="s">
        <v>102</v>
      </c>
      <c r="D28" s="19" t="s">
        <v>103</v>
      </c>
      <c r="E28" s="15" t="s">
        <v>21</v>
      </c>
      <c r="F28" s="15" t="str">
        <f t="shared" si="3"/>
        <v>A01</v>
      </c>
      <c r="G28" s="12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 ht="12.75" customHeight="1">
      <c r="A29" s="15">
        <f t="shared" si="1"/>
        <v>28</v>
      </c>
      <c r="B29" s="15" t="str">
        <f t="shared" si="2"/>
        <v>A28</v>
      </c>
      <c r="C29" s="10" t="s">
        <v>105</v>
      </c>
      <c r="D29" s="19" t="s">
        <v>106</v>
      </c>
      <c r="E29" s="15" t="s">
        <v>21</v>
      </c>
      <c r="F29" s="15" t="str">
        <f t="shared" si="3"/>
        <v>A01</v>
      </c>
      <c r="G29" s="12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 ht="12.75" customHeight="1">
      <c r="A30" s="15">
        <f t="shared" si="1"/>
        <v>29</v>
      </c>
      <c r="B30" s="15" t="str">
        <f t="shared" si="2"/>
        <v>A29</v>
      </c>
      <c r="C30" s="10" t="s">
        <v>107</v>
      </c>
      <c r="D30" s="19" t="s">
        <v>108</v>
      </c>
      <c r="E30" s="15" t="s">
        <v>21</v>
      </c>
      <c r="F30" s="15" t="str">
        <f t="shared" si="3"/>
        <v>A01</v>
      </c>
      <c r="G30" s="21" t="s">
        <v>109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 ht="12.75" customHeight="1">
      <c r="A31" s="15">
        <f t="shared" si="1"/>
        <v>30</v>
      </c>
      <c r="B31" s="15" t="str">
        <f t="shared" si="2"/>
        <v>A30</v>
      </c>
      <c r="C31" s="10" t="s">
        <v>110</v>
      </c>
      <c r="D31" s="19" t="s">
        <v>111</v>
      </c>
      <c r="E31" s="15" t="s">
        <v>21</v>
      </c>
      <c r="F31" s="15" t="str">
        <f t="shared" si="3"/>
        <v>A01</v>
      </c>
      <c r="G31" s="21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 ht="12.75" customHeight="1">
      <c r="A32" s="40">
        <f t="shared" si="1"/>
        <v>31</v>
      </c>
      <c r="B32" s="15" t="str">
        <f t="shared" si="2"/>
        <v>A31</v>
      </c>
      <c r="C32" s="41" t="s">
        <v>113</v>
      </c>
      <c r="D32" s="42" t="s">
        <v>114</v>
      </c>
      <c r="E32" s="15" t="s">
        <v>21</v>
      </c>
      <c r="F32" s="15" t="str">
        <f t="shared" si="3"/>
        <v>A01</v>
      </c>
      <c r="G32" s="4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 ht="14.25" customHeight="1">
      <c r="A33" s="7">
        <f t="shared" si="1"/>
        <v>32</v>
      </c>
      <c r="B33" s="7" t="str">
        <f t="shared" si="2"/>
        <v>A32</v>
      </c>
      <c r="C33" s="8" t="s">
        <v>115</v>
      </c>
      <c r="D33" s="11" t="s">
        <v>116</v>
      </c>
      <c r="E33" s="7" t="s">
        <v>13</v>
      </c>
      <c r="F33" s="7" t="str">
        <f t="shared" si="3"/>
        <v>A01</v>
      </c>
      <c r="G33" s="11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44"/>
      <c r="W33" s="44"/>
      <c r="X33" s="44"/>
      <c r="Y33" s="44"/>
      <c r="Z33" s="44"/>
    </row>
    <row r="34" ht="14.25" customHeight="1">
      <c r="A34" s="15">
        <f t="shared" si="1"/>
        <v>33</v>
      </c>
      <c r="B34" s="15" t="str">
        <f t="shared" si="2"/>
        <v>A33</v>
      </c>
      <c r="C34" s="10" t="s">
        <v>117</v>
      </c>
      <c r="D34" s="45" t="s">
        <v>118</v>
      </c>
      <c r="E34" s="15" t="s">
        <v>119</v>
      </c>
      <c r="F34" s="15" t="str">
        <f t="shared" ref="F34:F53" si="4">$B$33</f>
        <v>A32</v>
      </c>
      <c r="G34" s="46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8"/>
      <c r="W34" s="48"/>
      <c r="X34" s="48"/>
      <c r="Y34" s="48"/>
      <c r="Z34" s="48"/>
    </row>
    <row r="35" ht="14.25" customHeight="1">
      <c r="A35" s="15">
        <f t="shared" si="1"/>
        <v>34</v>
      </c>
      <c r="B35" s="15" t="str">
        <f t="shared" si="2"/>
        <v>A34</v>
      </c>
      <c r="C35" s="10" t="s">
        <v>120</v>
      </c>
      <c r="D35" s="12" t="s">
        <v>121</v>
      </c>
      <c r="E35" s="15" t="s">
        <v>119</v>
      </c>
      <c r="F35" s="15" t="str">
        <f t="shared" si="4"/>
        <v>A32</v>
      </c>
      <c r="G35" s="49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8"/>
      <c r="W35" s="48"/>
      <c r="X35" s="48"/>
      <c r="Y35" s="48"/>
      <c r="Z35" s="48"/>
    </row>
    <row r="36" ht="26.25" customHeight="1">
      <c r="A36" s="15">
        <f t="shared" si="1"/>
        <v>35</v>
      </c>
      <c r="B36" s="15" t="str">
        <f t="shared" si="2"/>
        <v>A35</v>
      </c>
      <c r="C36" s="10" t="s">
        <v>124</v>
      </c>
      <c r="D36" s="45" t="s">
        <v>125</v>
      </c>
      <c r="E36" s="15" t="s">
        <v>119</v>
      </c>
      <c r="F36" s="15" t="str">
        <f t="shared" si="4"/>
        <v>A32</v>
      </c>
      <c r="G36" s="50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8"/>
      <c r="W36" s="48"/>
      <c r="X36" s="48"/>
      <c r="Y36" s="48"/>
      <c r="Z36" s="48"/>
    </row>
    <row r="37" ht="14.25" customHeight="1">
      <c r="A37" s="15">
        <f t="shared" si="1"/>
        <v>36</v>
      </c>
      <c r="B37" s="15" t="str">
        <f t="shared" si="2"/>
        <v>A36</v>
      </c>
      <c r="C37" s="10" t="s">
        <v>129</v>
      </c>
      <c r="D37" s="12" t="s">
        <v>130</v>
      </c>
      <c r="E37" s="15" t="s">
        <v>119</v>
      </c>
      <c r="F37" s="15" t="str">
        <f t="shared" si="4"/>
        <v>A32</v>
      </c>
      <c r="G37" s="49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8"/>
      <c r="W37" s="48"/>
      <c r="X37" s="48"/>
      <c r="Y37" s="48"/>
      <c r="Z37" s="48"/>
    </row>
    <row r="38" ht="14.25" customHeight="1">
      <c r="A38" s="15">
        <f t="shared" si="1"/>
        <v>37</v>
      </c>
      <c r="B38" s="15" t="str">
        <f t="shared" si="2"/>
        <v>A37</v>
      </c>
      <c r="C38" s="10" t="s">
        <v>132</v>
      </c>
      <c r="D38" s="45" t="s">
        <v>133</v>
      </c>
      <c r="E38" s="15" t="s">
        <v>119</v>
      </c>
      <c r="F38" s="15" t="str">
        <f t="shared" si="4"/>
        <v>A32</v>
      </c>
      <c r="G38" s="46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8"/>
      <c r="W38" s="48"/>
      <c r="X38" s="48"/>
      <c r="Y38" s="48"/>
      <c r="Z38" s="48"/>
    </row>
    <row r="39" ht="14.25" customHeight="1">
      <c r="A39" s="15">
        <f t="shared" si="1"/>
        <v>38</v>
      </c>
      <c r="B39" s="15" t="str">
        <f t="shared" si="2"/>
        <v>A38</v>
      </c>
      <c r="C39" s="10" t="s">
        <v>136</v>
      </c>
      <c r="D39" s="12" t="s">
        <v>137</v>
      </c>
      <c r="E39" s="15" t="s">
        <v>119</v>
      </c>
      <c r="F39" s="15" t="str">
        <f t="shared" si="4"/>
        <v>A32</v>
      </c>
      <c r="G39" s="49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8"/>
      <c r="W39" s="48"/>
      <c r="X39" s="48"/>
      <c r="Y39" s="48"/>
      <c r="Z39" s="48"/>
    </row>
    <row r="40" ht="14.25" customHeight="1">
      <c r="A40" s="15">
        <f t="shared" si="1"/>
        <v>39</v>
      </c>
      <c r="B40" s="15" t="str">
        <f t="shared" si="2"/>
        <v>A39</v>
      </c>
      <c r="C40" s="10" t="s">
        <v>140</v>
      </c>
      <c r="D40" s="45" t="s">
        <v>141</v>
      </c>
      <c r="E40" s="15" t="s">
        <v>119</v>
      </c>
      <c r="F40" s="15" t="str">
        <f t="shared" si="4"/>
        <v>A32</v>
      </c>
      <c r="G40" s="46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8"/>
      <c r="W40" s="48"/>
      <c r="X40" s="48"/>
      <c r="Y40" s="48"/>
      <c r="Z40" s="48"/>
    </row>
    <row r="41" ht="14.25" customHeight="1">
      <c r="A41" s="15">
        <f t="shared" si="1"/>
        <v>40</v>
      </c>
      <c r="B41" s="15" t="str">
        <f t="shared" si="2"/>
        <v>A40</v>
      </c>
      <c r="C41" s="10" t="s">
        <v>142</v>
      </c>
      <c r="D41" s="12" t="s">
        <v>143</v>
      </c>
      <c r="E41" s="15" t="s">
        <v>119</v>
      </c>
      <c r="F41" s="15" t="str">
        <f t="shared" si="4"/>
        <v>A32</v>
      </c>
      <c r="G41" s="12" t="s">
        <v>144</v>
      </c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8"/>
      <c r="W41" s="48"/>
      <c r="X41" s="48"/>
      <c r="Y41" s="48"/>
      <c r="Z41" s="48"/>
    </row>
    <row r="42" ht="14.25" customHeight="1">
      <c r="A42" s="15">
        <f t="shared" si="1"/>
        <v>41</v>
      </c>
      <c r="B42" s="15" t="str">
        <f t="shared" si="2"/>
        <v>A41</v>
      </c>
      <c r="C42" s="10" t="s">
        <v>145</v>
      </c>
      <c r="D42" s="45" t="s">
        <v>146</v>
      </c>
      <c r="E42" s="15" t="s">
        <v>119</v>
      </c>
      <c r="F42" s="15" t="str">
        <f t="shared" si="4"/>
        <v>A32</v>
      </c>
      <c r="G42" s="45" t="s">
        <v>147</v>
      </c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8"/>
      <c r="W42" s="48"/>
      <c r="X42" s="48"/>
      <c r="Y42" s="48"/>
      <c r="Z42" s="48"/>
    </row>
    <row r="43" ht="14.25" customHeight="1">
      <c r="A43" s="15">
        <f t="shared" si="1"/>
        <v>42</v>
      </c>
      <c r="B43" s="15" t="str">
        <f t="shared" si="2"/>
        <v>A42</v>
      </c>
      <c r="C43" s="10" t="s">
        <v>149</v>
      </c>
      <c r="D43" s="12" t="s">
        <v>150</v>
      </c>
      <c r="E43" s="15" t="s">
        <v>119</v>
      </c>
      <c r="F43" s="15" t="str">
        <f t="shared" si="4"/>
        <v>A32</v>
      </c>
      <c r="G43" s="12" t="s">
        <v>147</v>
      </c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8"/>
      <c r="W43" s="48"/>
      <c r="X43" s="48"/>
      <c r="Y43" s="48"/>
      <c r="Z43" s="48"/>
    </row>
    <row r="44" ht="14.25" customHeight="1">
      <c r="A44" s="15">
        <f t="shared" si="1"/>
        <v>43</v>
      </c>
      <c r="B44" s="15" t="str">
        <f t="shared" si="2"/>
        <v>A43</v>
      </c>
      <c r="C44" s="10" t="s">
        <v>152</v>
      </c>
      <c r="D44" s="45" t="s">
        <v>153</v>
      </c>
      <c r="E44" s="15" t="s">
        <v>119</v>
      </c>
      <c r="F44" s="15" t="str">
        <f t="shared" si="4"/>
        <v>A32</v>
      </c>
      <c r="G44" s="51" t="s">
        <v>154</v>
      </c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8"/>
      <c r="W44" s="48"/>
      <c r="X44" s="48"/>
      <c r="Y44" s="48"/>
      <c r="Z44" s="48"/>
    </row>
    <row r="45" ht="14.25" customHeight="1">
      <c r="A45" s="15">
        <f t="shared" si="1"/>
        <v>44</v>
      </c>
      <c r="B45" s="15" t="str">
        <f t="shared" si="2"/>
        <v>A44</v>
      </c>
      <c r="C45" s="10" t="s">
        <v>158</v>
      </c>
      <c r="D45" s="12" t="s">
        <v>159</v>
      </c>
      <c r="E45" s="15" t="s">
        <v>119</v>
      </c>
      <c r="F45" s="15" t="str">
        <f t="shared" si="4"/>
        <v>A32</v>
      </c>
      <c r="G45" s="12" t="s">
        <v>147</v>
      </c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8"/>
      <c r="W45" s="48"/>
      <c r="X45" s="48"/>
      <c r="Y45" s="48"/>
      <c r="Z45" s="48"/>
    </row>
    <row r="46" ht="14.25" customHeight="1">
      <c r="A46" s="15">
        <f t="shared" si="1"/>
        <v>45</v>
      </c>
      <c r="B46" s="15" t="str">
        <f t="shared" si="2"/>
        <v>A45</v>
      </c>
      <c r="C46" s="53" t="s">
        <v>163</v>
      </c>
      <c r="D46" s="45" t="s">
        <v>164</v>
      </c>
      <c r="E46" s="15" t="s">
        <v>119</v>
      </c>
      <c r="F46" s="15" t="str">
        <f t="shared" si="4"/>
        <v>A32</v>
      </c>
      <c r="G46" s="21" t="s">
        <v>147</v>
      </c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8"/>
      <c r="W46" s="48"/>
      <c r="X46" s="48"/>
      <c r="Y46" s="48"/>
      <c r="Z46" s="48"/>
    </row>
    <row r="47" ht="14.25" customHeight="1">
      <c r="A47" s="15">
        <f t="shared" si="1"/>
        <v>46</v>
      </c>
      <c r="B47" s="15" t="str">
        <f t="shared" si="2"/>
        <v>A46</v>
      </c>
      <c r="C47" s="10" t="s">
        <v>167</v>
      </c>
      <c r="D47" s="12" t="s">
        <v>168</v>
      </c>
      <c r="E47" s="15" t="s">
        <v>119</v>
      </c>
      <c r="F47" s="15" t="str">
        <f t="shared" si="4"/>
        <v>A32</v>
      </c>
      <c r="G47" s="21" t="s">
        <v>147</v>
      </c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8"/>
      <c r="W47" s="48"/>
      <c r="X47" s="48"/>
      <c r="Y47" s="48"/>
      <c r="Z47" s="48"/>
    </row>
    <row r="48" ht="14.25" customHeight="1">
      <c r="A48" s="15">
        <f t="shared" si="1"/>
        <v>47</v>
      </c>
      <c r="B48" s="15" t="str">
        <f t="shared" si="2"/>
        <v>A47</v>
      </c>
      <c r="C48" s="53" t="s">
        <v>170</v>
      </c>
      <c r="D48" s="45" t="s">
        <v>171</v>
      </c>
      <c r="E48" s="15" t="s">
        <v>119</v>
      </c>
      <c r="F48" s="15" t="str">
        <f t="shared" si="4"/>
        <v>A32</v>
      </c>
      <c r="G48" s="21" t="s">
        <v>147</v>
      </c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8"/>
      <c r="W48" s="48"/>
      <c r="X48" s="48"/>
      <c r="Y48" s="48"/>
      <c r="Z48" s="48"/>
    </row>
    <row r="49" ht="14.25" customHeight="1">
      <c r="A49" s="15">
        <f t="shared" si="1"/>
        <v>48</v>
      </c>
      <c r="B49" s="15" t="str">
        <f t="shared" si="2"/>
        <v>A48</v>
      </c>
      <c r="C49" s="10" t="s">
        <v>172</v>
      </c>
      <c r="D49" s="12" t="s">
        <v>173</v>
      </c>
      <c r="E49" s="15" t="s">
        <v>119</v>
      </c>
      <c r="F49" s="15" t="str">
        <f t="shared" si="4"/>
        <v>A32</v>
      </c>
      <c r="G49" s="49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8"/>
      <c r="W49" s="48"/>
      <c r="X49" s="48"/>
      <c r="Y49" s="48"/>
      <c r="Z49" s="48"/>
    </row>
    <row r="50" ht="14.25" customHeight="1">
      <c r="A50" s="15">
        <f t="shared" si="1"/>
        <v>49</v>
      </c>
      <c r="B50" s="15" t="str">
        <f t="shared" si="2"/>
        <v>A49</v>
      </c>
      <c r="C50" s="10" t="s">
        <v>174</v>
      </c>
      <c r="D50" s="45" t="s">
        <v>175</v>
      </c>
      <c r="E50" s="15" t="s">
        <v>119</v>
      </c>
      <c r="F50" s="15" t="str">
        <f t="shared" si="4"/>
        <v>A32</v>
      </c>
      <c r="G50" s="21" t="s">
        <v>147</v>
      </c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8"/>
      <c r="W50" s="48"/>
      <c r="X50" s="48"/>
      <c r="Y50" s="48"/>
      <c r="Z50" s="48"/>
    </row>
    <row r="51" ht="14.25" customHeight="1">
      <c r="A51" s="15">
        <f t="shared" si="1"/>
        <v>50</v>
      </c>
      <c r="B51" s="15" t="str">
        <f t="shared" si="2"/>
        <v>A50</v>
      </c>
      <c r="C51" s="10" t="s">
        <v>178</v>
      </c>
      <c r="D51" s="12" t="s">
        <v>179</v>
      </c>
      <c r="E51" s="15" t="s">
        <v>119</v>
      </c>
      <c r="F51" s="15" t="str">
        <f t="shared" si="4"/>
        <v>A32</v>
      </c>
      <c r="G51" s="49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8"/>
      <c r="W51" s="48"/>
      <c r="X51" s="48"/>
      <c r="Y51" s="48"/>
      <c r="Z51" s="48"/>
    </row>
    <row r="52" ht="14.25" customHeight="1">
      <c r="A52" s="15">
        <f t="shared" si="1"/>
        <v>51</v>
      </c>
      <c r="B52" s="15" t="str">
        <f t="shared" si="2"/>
        <v>A51</v>
      </c>
      <c r="C52" s="10" t="s">
        <v>180</v>
      </c>
      <c r="D52" s="45" t="s">
        <v>182</v>
      </c>
      <c r="E52" s="15" t="s">
        <v>119</v>
      </c>
      <c r="F52" s="15" t="str">
        <f t="shared" si="4"/>
        <v>A32</v>
      </c>
      <c r="G52" s="46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8"/>
      <c r="W52" s="48"/>
      <c r="X52" s="48"/>
      <c r="Y52" s="48"/>
      <c r="Z52" s="48"/>
    </row>
    <row r="53" ht="14.25" customHeight="1">
      <c r="A53" s="15">
        <f t="shared" si="1"/>
        <v>52</v>
      </c>
      <c r="B53" s="15" t="str">
        <f t="shared" si="2"/>
        <v>A52</v>
      </c>
      <c r="C53" s="10" t="s">
        <v>183</v>
      </c>
      <c r="D53" s="21" t="s">
        <v>184</v>
      </c>
      <c r="E53" s="15" t="s">
        <v>119</v>
      </c>
      <c r="F53" s="15" t="str">
        <f t="shared" si="4"/>
        <v>A32</v>
      </c>
      <c r="G53" s="49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8"/>
      <c r="W53" s="48"/>
      <c r="X53" s="48"/>
      <c r="Y53" s="48"/>
      <c r="Z53" s="48"/>
    </row>
    <row r="54" ht="14.25" customHeight="1">
      <c r="A54" s="15">
        <v>53.0</v>
      </c>
      <c r="B54" s="15" t="s">
        <v>188</v>
      </c>
      <c r="C54" s="10" t="s">
        <v>189</v>
      </c>
      <c r="D54" s="55" t="s">
        <v>190</v>
      </c>
      <c r="E54" s="15" t="s">
        <v>21</v>
      </c>
      <c r="F54" s="15" t="s">
        <v>192</v>
      </c>
      <c r="G54" s="56" t="s">
        <v>193</v>
      </c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8"/>
      <c r="W54" s="48"/>
      <c r="X54" s="48"/>
      <c r="Y54" s="48"/>
      <c r="Z54" s="48"/>
    </row>
    <row r="55" ht="14.25" customHeight="1">
      <c r="A55" s="7">
        <f t="shared" ref="A55:A69" si="5">ROW()-1</f>
        <v>54</v>
      </c>
      <c r="B55" s="7" t="str">
        <f t="shared" ref="B55:B69" si="6">CONCATENATE("A",IF(A55&lt;=9,0,),A55)</f>
        <v>A54</v>
      </c>
      <c r="C55" s="8" t="s">
        <v>198</v>
      </c>
      <c r="D55" s="17" t="s">
        <v>199</v>
      </c>
      <c r="E55" s="7" t="s">
        <v>13</v>
      </c>
      <c r="F55" s="7" t="str">
        <f>$B$33</f>
        <v>A32</v>
      </c>
      <c r="G55" s="54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</row>
    <row r="56" ht="14.25" customHeight="1">
      <c r="A56" s="15">
        <f t="shared" si="5"/>
        <v>55</v>
      </c>
      <c r="B56" s="15" t="str">
        <f t="shared" si="6"/>
        <v>A55</v>
      </c>
      <c r="C56" s="10" t="s">
        <v>204</v>
      </c>
      <c r="D56" s="19" t="s">
        <v>205</v>
      </c>
      <c r="E56" s="59" t="s">
        <v>21</v>
      </c>
      <c r="F56" s="59" t="str">
        <f t="shared" ref="F56:F69" si="7">$B$55</f>
        <v>A54</v>
      </c>
      <c r="G56" s="21" t="s">
        <v>147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60"/>
      <c r="W56" s="60"/>
      <c r="X56" s="60"/>
      <c r="Y56" s="60"/>
      <c r="Z56" s="60"/>
    </row>
    <row r="57" ht="14.25" customHeight="1">
      <c r="A57" s="15">
        <f t="shared" si="5"/>
        <v>56</v>
      </c>
      <c r="B57" s="15" t="str">
        <f t="shared" si="6"/>
        <v>A56</v>
      </c>
      <c r="C57" s="10" t="s">
        <v>212</v>
      </c>
      <c r="D57" s="19" t="s">
        <v>213</v>
      </c>
      <c r="E57" s="59" t="s">
        <v>21</v>
      </c>
      <c r="F57" s="59" t="str">
        <f t="shared" si="7"/>
        <v>A54</v>
      </c>
      <c r="G57" s="21" t="s">
        <v>147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60"/>
      <c r="W57" s="60"/>
      <c r="X57" s="60"/>
      <c r="Y57" s="60"/>
      <c r="Z57" s="60"/>
    </row>
    <row r="58" ht="12.75" customHeight="1">
      <c r="A58" s="59">
        <f t="shared" si="5"/>
        <v>57</v>
      </c>
      <c r="B58" s="15" t="str">
        <f t="shared" si="6"/>
        <v>A57</v>
      </c>
      <c r="C58" s="61" t="s">
        <v>216</v>
      </c>
      <c r="D58" s="34" t="s">
        <v>217</v>
      </c>
      <c r="E58" s="59" t="s">
        <v>21</v>
      </c>
      <c r="F58" s="59" t="str">
        <f t="shared" si="7"/>
        <v>A54</v>
      </c>
      <c r="G58" s="36" t="s">
        <v>218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</row>
    <row r="59" ht="12.75" customHeight="1">
      <c r="A59" s="15">
        <f t="shared" si="5"/>
        <v>58</v>
      </c>
      <c r="B59" s="15" t="str">
        <f t="shared" si="6"/>
        <v>A58</v>
      </c>
      <c r="C59" s="10" t="s">
        <v>220</v>
      </c>
      <c r="D59" s="19" t="s">
        <v>221</v>
      </c>
      <c r="E59" s="15" t="s">
        <v>21</v>
      </c>
      <c r="F59" s="59" t="str">
        <f t="shared" si="7"/>
        <v>A54</v>
      </c>
      <c r="G59" s="21" t="s">
        <v>218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</row>
    <row r="60" ht="12.75" customHeight="1">
      <c r="A60" s="15">
        <f t="shared" si="5"/>
        <v>59</v>
      </c>
      <c r="B60" s="15" t="str">
        <f t="shared" si="6"/>
        <v>A59</v>
      </c>
      <c r="C60" s="10" t="s">
        <v>224</v>
      </c>
      <c r="D60" s="19" t="s">
        <v>225</v>
      </c>
      <c r="E60" s="15" t="s">
        <v>21</v>
      </c>
      <c r="F60" s="59" t="str">
        <f t="shared" si="7"/>
        <v>A54</v>
      </c>
      <c r="G60" s="21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</row>
    <row r="61" ht="12.75" customHeight="1">
      <c r="A61" s="40">
        <f t="shared" si="5"/>
        <v>60</v>
      </c>
      <c r="B61" s="15" t="str">
        <f t="shared" si="6"/>
        <v>A60</v>
      </c>
      <c r="C61" s="41" t="s">
        <v>228</v>
      </c>
      <c r="D61" s="42" t="s">
        <v>229</v>
      </c>
      <c r="E61" s="40" t="s">
        <v>21</v>
      </c>
      <c r="F61" s="59" t="str">
        <f t="shared" si="7"/>
        <v>A54</v>
      </c>
      <c r="G61" s="42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60"/>
      <c r="W61" s="60"/>
      <c r="X61" s="60"/>
      <c r="Y61" s="60"/>
      <c r="Z61" s="60"/>
    </row>
    <row r="62" ht="12.75" customHeight="1">
      <c r="A62" s="15">
        <f t="shared" si="5"/>
        <v>61</v>
      </c>
      <c r="B62" s="15" t="str">
        <f t="shared" si="6"/>
        <v>A61</v>
      </c>
      <c r="C62" s="10" t="s">
        <v>232</v>
      </c>
      <c r="D62" s="19" t="s">
        <v>233</v>
      </c>
      <c r="E62" s="15" t="s">
        <v>21</v>
      </c>
      <c r="F62" s="59" t="str">
        <f t="shared" si="7"/>
        <v>A54</v>
      </c>
      <c r="G62" s="12"/>
      <c r="H62" s="5"/>
      <c r="I62" s="5"/>
      <c r="J62" s="5"/>
      <c r="K62" s="5"/>
      <c r="L62" s="5"/>
      <c r="M62" s="5"/>
      <c r="N62" s="5"/>
      <c r="O62" s="5"/>
      <c r="P62" s="5"/>
      <c r="Q62" s="62"/>
      <c r="R62" s="12"/>
      <c r="S62" s="12"/>
      <c r="T62" s="12"/>
      <c r="U62" s="12"/>
      <c r="V62" s="63"/>
      <c r="W62" s="63"/>
      <c r="X62" s="63"/>
      <c r="Y62" s="63"/>
      <c r="Z62" s="63"/>
    </row>
    <row r="63" ht="12.75" customHeight="1">
      <c r="A63" s="15">
        <f t="shared" si="5"/>
        <v>62</v>
      </c>
      <c r="B63" s="15" t="str">
        <f t="shared" si="6"/>
        <v>A62</v>
      </c>
      <c r="C63" s="10" t="s">
        <v>238</v>
      </c>
      <c r="D63" s="19" t="s">
        <v>239</v>
      </c>
      <c r="E63" s="15" t="s">
        <v>21</v>
      </c>
      <c r="F63" s="59" t="str">
        <f t="shared" si="7"/>
        <v>A54</v>
      </c>
      <c r="G63" s="43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44"/>
      <c r="W63" s="44"/>
      <c r="X63" s="44"/>
      <c r="Y63" s="44"/>
      <c r="Z63" s="44"/>
    </row>
    <row r="64" ht="12.75" customHeight="1">
      <c r="A64" s="59">
        <f t="shared" si="5"/>
        <v>63</v>
      </c>
      <c r="B64" s="15" t="str">
        <f t="shared" si="6"/>
        <v>A63</v>
      </c>
      <c r="C64" s="61" t="s">
        <v>242</v>
      </c>
      <c r="D64" s="22" t="s">
        <v>243</v>
      </c>
      <c r="E64" s="59" t="s">
        <v>21</v>
      </c>
      <c r="F64" s="59" t="str">
        <f t="shared" si="7"/>
        <v>A54</v>
      </c>
      <c r="G64" s="12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60"/>
      <c r="W64" s="60"/>
      <c r="X64" s="60"/>
      <c r="Y64" s="60"/>
      <c r="Z64" s="60"/>
    </row>
    <row r="65" ht="12.75" customHeight="1">
      <c r="A65" s="15">
        <f t="shared" si="5"/>
        <v>64</v>
      </c>
      <c r="B65" s="15" t="str">
        <f t="shared" si="6"/>
        <v>A64</v>
      </c>
      <c r="C65" s="10" t="s">
        <v>247</v>
      </c>
      <c r="D65" s="19" t="s">
        <v>248</v>
      </c>
      <c r="E65" s="15" t="s">
        <v>21</v>
      </c>
      <c r="F65" s="59" t="str">
        <f t="shared" si="7"/>
        <v>A54</v>
      </c>
      <c r="G65" s="34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60"/>
      <c r="W65" s="60"/>
      <c r="X65" s="60"/>
      <c r="Y65" s="60"/>
      <c r="Z65" s="60"/>
    </row>
    <row r="66" ht="12.75" customHeight="1">
      <c r="A66" s="15">
        <f t="shared" si="5"/>
        <v>65</v>
      </c>
      <c r="B66" s="15" t="str">
        <f t="shared" si="6"/>
        <v>A65</v>
      </c>
      <c r="C66" s="10" t="s">
        <v>254</v>
      </c>
      <c r="D66" s="19" t="s">
        <v>255</v>
      </c>
      <c r="E66" s="15" t="s">
        <v>21</v>
      </c>
      <c r="F66" s="59" t="str">
        <f t="shared" si="7"/>
        <v>A54</v>
      </c>
      <c r="G66" s="21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60"/>
      <c r="W66" s="60"/>
      <c r="X66" s="60"/>
      <c r="Y66" s="60"/>
      <c r="Z66" s="60"/>
    </row>
    <row r="67" ht="12.75" customHeight="1">
      <c r="A67" s="15">
        <f t="shared" si="5"/>
        <v>66</v>
      </c>
      <c r="B67" s="15" t="str">
        <f t="shared" si="6"/>
        <v>A66</v>
      </c>
      <c r="C67" s="10" t="s">
        <v>259</v>
      </c>
      <c r="D67" s="19" t="s">
        <v>260</v>
      </c>
      <c r="E67" s="15" t="s">
        <v>21</v>
      </c>
      <c r="F67" s="59" t="str">
        <f t="shared" si="7"/>
        <v>A54</v>
      </c>
      <c r="G67" s="19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60"/>
      <c r="W67" s="60"/>
      <c r="X67" s="60"/>
      <c r="Y67" s="60"/>
      <c r="Z67" s="60"/>
    </row>
    <row r="68" ht="14.25" customHeight="1">
      <c r="A68" s="15">
        <f t="shared" si="5"/>
        <v>67</v>
      </c>
      <c r="B68" s="15" t="str">
        <f t="shared" si="6"/>
        <v>A67</v>
      </c>
      <c r="C68" s="10" t="s">
        <v>263</v>
      </c>
      <c r="D68" s="19" t="s">
        <v>264</v>
      </c>
      <c r="E68" s="15" t="s">
        <v>21</v>
      </c>
      <c r="F68" s="59" t="str">
        <f t="shared" si="7"/>
        <v>A54</v>
      </c>
      <c r="G68" s="19" t="s">
        <v>266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60"/>
      <c r="W68" s="60"/>
      <c r="X68" s="60"/>
      <c r="Y68" s="60"/>
      <c r="Z68" s="60"/>
    </row>
    <row r="69" ht="12.75" customHeight="1">
      <c r="A69" s="15">
        <f t="shared" si="5"/>
        <v>68</v>
      </c>
      <c r="B69" s="15" t="str">
        <f t="shared" si="6"/>
        <v>A68</v>
      </c>
      <c r="C69" s="10" t="s">
        <v>269</v>
      </c>
      <c r="D69" s="19" t="s">
        <v>270</v>
      </c>
      <c r="E69" s="15" t="s">
        <v>21</v>
      </c>
      <c r="F69" s="59" t="str">
        <f t="shared" si="7"/>
        <v>A54</v>
      </c>
      <c r="G69" s="19" t="s">
        <v>266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60"/>
      <c r="W69" s="60"/>
      <c r="X69" s="60"/>
      <c r="Y69" s="60"/>
      <c r="Z69" s="60"/>
    </row>
    <row r="70" ht="12.75" customHeight="1">
      <c r="A70" s="15">
        <v>69.0</v>
      </c>
      <c r="B70" s="15" t="s">
        <v>273</v>
      </c>
      <c r="C70" s="10" t="s">
        <v>189</v>
      </c>
      <c r="D70" s="19" t="s">
        <v>274</v>
      </c>
      <c r="E70" s="15" t="s">
        <v>21</v>
      </c>
      <c r="F70" s="59" t="s">
        <v>275</v>
      </c>
      <c r="G70" s="64" t="s">
        <v>193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60"/>
      <c r="W70" s="60"/>
      <c r="X70" s="60"/>
      <c r="Y70" s="60"/>
      <c r="Z70" s="60"/>
    </row>
    <row r="71" ht="14.25" customHeight="1">
      <c r="A71" s="7">
        <f t="shared" ref="A71:A135" si="8">ROW()-1</f>
        <v>70</v>
      </c>
      <c r="B71" s="7" t="str">
        <f t="shared" ref="B71:B135" si="9">CONCATENATE("A",IF(A71&lt;=9,0,),A71)</f>
        <v>A70</v>
      </c>
      <c r="C71" s="8" t="s">
        <v>280</v>
      </c>
      <c r="D71" s="17" t="s">
        <v>281</v>
      </c>
      <c r="E71" s="7" t="s">
        <v>13</v>
      </c>
      <c r="F71" s="65" t="str">
        <f>$B$55</f>
        <v>A54</v>
      </c>
      <c r="G71" s="54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</row>
    <row r="72" ht="12.75" customHeight="1">
      <c r="A72" s="7">
        <f t="shared" si="8"/>
        <v>71</v>
      </c>
      <c r="B72" s="7" t="str">
        <f t="shared" si="9"/>
        <v>A71</v>
      </c>
      <c r="C72" s="8" t="s">
        <v>283</v>
      </c>
      <c r="D72" s="17"/>
      <c r="E72" s="7" t="s">
        <v>13</v>
      </c>
      <c r="F72" s="7" t="str">
        <f>$B$71</f>
        <v>A70</v>
      </c>
      <c r="G72" s="54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</row>
    <row r="73" ht="12.75" customHeight="1">
      <c r="A73" s="15">
        <f t="shared" si="8"/>
        <v>72</v>
      </c>
      <c r="B73" s="15" t="str">
        <f t="shared" si="9"/>
        <v>A72</v>
      </c>
      <c r="C73" s="10" t="s">
        <v>287</v>
      </c>
      <c r="D73" s="19" t="s">
        <v>288</v>
      </c>
      <c r="E73" s="15" t="s">
        <v>21</v>
      </c>
      <c r="F73" s="15" t="str">
        <f t="shared" ref="F73:F74" si="10">$B$72</f>
        <v>A71</v>
      </c>
      <c r="G73" s="21" t="s">
        <v>290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</row>
    <row r="74" ht="12.75" customHeight="1">
      <c r="A74" s="15">
        <f t="shared" si="8"/>
        <v>73</v>
      </c>
      <c r="B74" s="15" t="str">
        <f t="shared" si="9"/>
        <v>A73</v>
      </c>
      <c r="C74" s="10" t="s">
        <v>291</v>
      </c>
      <c r="D74" s="19" t="s">
        <v>292</v>
      </c>
      <c r="E74" s="15" t="s">
        <v>21</v>
      </c>
      <c r="F74" s="15" t="str">
        <f t="shared" si="10"/>
        <v>A71</v>
      </c>
      <c r="G74" s="21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</row>
    <row r="75" ht="14.25" customHeight="1">
      <c r="A75" s="7">
        <f t="shared" si="8"/>
        <v>74</v>
      </c>
      <c r="B75" s="7" t="str">
        <f t="shared" si="9"/>
        <v>A74</v>
      </c>
      <c r="C75" s="8" t="s">
        <v>296</v>
      </c>
      <c r="D75" s="17" t="s">
        <v>297</v>
      </c>
      <c r="E75" s="7" t="s">
        <v>13</v>
      </c>
      <c r="F75" s="7" t="str">
        <f>$B$33</f>
        <v>A32</v>
      </c>
      <c r="G75" s="54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</row>
    <row r="76" ht="12.75" customHeight="1">
      <c r="A76" s="15">
        <f t="shared" si="8"/>
        <v>75</v>
      </c>
      <c r="B76" s="15" t="str">
        <f t="shared" si="9"/>
        <v>A75</v>
      </c>
      <c r="C76" s="10" t="s">
        <v>300</v>
      </c>
      <c r="D76" s="19" t="s">
        <v>301</v>
      </c>
      <c r="E76" s="15" t="s">
        <v>21</v>
      </c>
      <c r="F76" s="15" t="str">
        <f t="shared" ref="F76:F109" si="11">$B$75</f>
        <v>A74</v>
      </c>
      <c r="G76" s="21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</row>
    <row r="77" ht="12.75" customHeight="1">
      <c r="A77" s="15">
        <f t="shared" si="8"/>
        <v>76</v>
      </c>
      <c r="B77" s="15" t="str">
        <f t="shared" si="9"/>
        <v>A76</v>
      </c>
      <c r="C77" s="10" t="s">
        <v>303</v>
      </c>
      <c r="D77" s="19" t="s">
        <v>304</v>
      </c>
      <c r="E77" s="15" t="s">
        <v>21</v>
      </c>
      <c r="F77" s="15" t="str">
        <f t="shared" si="11"/>
        <v>A74</v>
      </c>
      <c r="G77" s="21" t="s">
        <v>306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</row>
    <row r="78" ht="12.75" customHeight="1">
      <c r="A78" s="15">
        <f t="shared" si="8"/>
        <v>77</v>
      </c>
      <c r="B78" s="15" t="str">
        <f t="shared" si="9"/>
        <v>A77</v>
      </c>
      <c r="C78" s="10" t="s">
        <v>308</v>
      </c>
      <c r="D78" s="19" t="s">
        <v>309</v>
      </c>
      <c r="E78" s="15" t="s">
        <v>21</v>
      </c>
      <c r="F78" s="15" t="str">
        <f t="shared" si="11"/>
        <v>A74</v>
      </c>
      <c r="G78" s="21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</row>
    <row r="79" ht="14.25" customHeight="1">
      <c r="A79" s="15">
        <f t="shared" si="8"/>
        <v>78</v>
      </c>
      <c r="B79" s="15" t="str">
        <f t="shared" si="9"/>
        <v>A78</v>
      </c>
      <c r="C79" s="10" t="s">
        <v>312</v>
      </c>
      <c r="D79" s="19" t="s">
        <v>314</v>
      </c>
      <c r="E79" s="15" t="s">
        <v>21</v>
      </c>
      <c r="F79" s="15" t="str">
        <f t="shared" si="11"/>
        <v>A74</v>
      </c>
      <c r="G79" s="21" t="s">
        <v>315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60"/>
      <c r="W79" s="60"/>
      <c r="X79" s="60"/>
      <c r="Y79" s="60"/>
      <c r="Z79" s="60"/>
    </row>
    <row r="80" ht="12.75" customHeight="1">
      <c r="A80" s="15">
        <f t="shared" si="8"/>
        <v>79</v>
      </c>
      <c r="B80" s="15" t="str">
        <f t="shared" si="9"/>
        <v>A79</v>
      </c>
      <c r="C80" s="10" t="s">
        <v>317</v>
      </c>
      <c r="D80" s="19" t="s">
        <v>318</v>
      </c>
      <c r="E80" s="15" t="s">
        <v>21</v>
      </c>
      <c r="F80" s="15" t="str">
        <f t="shared" si="11"/>
        <v>A74</v>
      </c>
      <c r="G80" s="43"/>
      <c r="H80" s="5"/>
      <c r="I80" s="5"/>
      <c r="J80" s="5"/>
      <c r="K80" s="5"/>
      <c r="L80" s="5"/>
      <c r="M80" s="5"/>
      <c r="N80" s="5"/>
      <c r="O80" s="5"/>
      <c r="P80" s="5"/>
      <c r="Q80" s="62"/>
      <c r="R80" s="12"/>
      <c r="S80" s="12"/>
      <c r="T80" s="12"/>
      <c r="U80" s="12"/>
      <c r="V80" s="63"/>
      <c r="W80" s="63"/>
      <c r="X80" s="63"/>
      <c r="Y80" s="63"/>
      <c r="Z80" s="63"/>
    </row>
    <row r="81" ht="12.75" customHeight="1">
      <c r="A81" s="15">
        <f t="shared" si="8"/>
        <v>80</v>
      </c>
      <c r="B81" s="15" t="str">
        <f t="shared" si="9"/>
        <v>A80</v>
      </c>
      <c r="C81" s="10" t="s">
        <v>320</v>
      </c>
      <c r="D81" s="19" t="s">
        <v>321</v>
      </c>
      <c r="E81" s="15" t="s">
        <v>21</v>
      </c>
      <c r="F81" s="15" t="str">
        <f t="shared" si="11"/>
        <v>A74</v>
      </c>
      <c r="G81" s="43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44"/>
      <c r="W81" s="44"/>
      <c r="X81" s="44"/>
      <c r="Y81" s="44"/>
      <c r="Z81" s="44"/>
    </row>
    <row r="82" ht="12.75" customHeight="1">
      <c r="A82" s="15">
        <f t="shared" si="8"/>
        <v>81</v>
      </c>
      <c r="B82" s="15" t="str">
        <f t="shared" si="9"/>
        <v>A81</v>
      </c>
      <c r="C82" s="10" t="s">
        <v>324</v>
      </c>
      <c r="D82" s="19" t="s">
        <v>325</v>
      </c>
      <c r="E82" s="15" t="s">
        <v>21</v>
      </c>
      <c r="F82" s="15" t="str">
        <f t="shared" si="11"/>
        <v>A74</v>
      </c>
      <c r="G82" s="21" t="s">
        <v>147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60"/>
      <c r="W82" s="60"/>
      <c r="X82" s="60"/>
      <c r="Y82" s="60"/>
      <c r="Z82" s="60"/>
    </row>
    <row r="83" ht="14.25" customHeight="1">
      <c r="A83" s="15">
        <f t="shared" si="8"/>
        <v>82</v>
      </c>
      <c r="B83" s="15" t="str">
        <f t="shared" si="9"/>
        <v>A82</v>
      </c>
      <c r="C83" s="10" t="s">
        <v>329</v>
      </c>
      <c r="D83" s="19" t="s">
        <v>330</v>
      </c>
      <c r="E83" s="15" t="s">
        <v>21</v>
      </c>
      <c r="F83" s="15" t="str">
        <f t="shared" si="11"/>
        <v>A74</v>
      </c>
      <c r="G83" s="19" t="s">
        <v>331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60"/>
      <c r="W83" s="60"/>
      <c r="X83" s="60"/>
      <c r="Y83" s="60"/>
      <c r="Z83" s="60"/>
    </row>
    <row r="84" ht="14.25" customHeight="1">
      <c r="A84" s="15">
        <f t="shared" si="8"/>
        <v>83</v>
      </c>
      <c r="B84" s="15" t="str">
        <f t="shared" si="9"/>
        <v>A83</v>
      </c>
      <c r="C84" s="10" t="s">
        <v>332</v>
      </c>
      <c r="D84" s="19" t="s">
        <v>333</v>
      </c>
      <c r="E84" s="15" t="s">
        <v>21</v>
      </c>
      <c r="F84" s="15" t="str">
        <f t="shared" si="11"/>
        <v>A74</v>
      </c>
      <c r="G84" s="19" t="s">
        <v>336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60"/>
      <c r="W84" s="60"/>
      <c r="X84" s="60"/>
      <c r="Y84" s="60"/>
      <c r="Z84" s="60"/>
    </row>
    <row r="85" ht="14.25" customHeight="1">
      <c r="A85" s="15">
        <f t="shared" si="8"/>
        <v>84</v>
      </c>
      <c r="B85" s="15" t="str">
        <f t="shared" si="9"/>
        <v>A84</v>
      </c>
      <c r="C85" s="10" t="s">
        <v>339</v>
      </c>
      <c r="D85" s="19" t="s">
        <v>340</v>
      </c>
      <c r="E85" s="15" t="s">
        <v>21</v>
      </c>
      <c r="F85" s="15" t="str">
        <f t="shared" si="11"/>
        <v>A74</v>
      </c>
      <c r="G85" s="19" t="s">
        <v>341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60"/>
      <c r="W85" s="60"/>
      <c r="X85" s="60"/>
      <c r="Y85" s="60"/>
      <c r="Z85" s="60"/>
    </row>
    <row r="86" ht="89.25" customHeight="1">
      <c r="A86" s="15">
        <f t="shared" si="8"/>
        <v>85</v>
      </c>
      <c r="B86" s="15" t="str">
        <f t="shared" si="9"/>
        <v>A85</v>
      </c>
      <c r="C86" s="10" t="s">
        <v>346</v>
      </c>
      <c r="D86" s="19" t="s">
        <v>347</v>
      </c>
      <c r="E86" s="15" t="s">
        <v>21</v>
      </c>
      <c r="F86" s="15" t="str">
        <f t="shared" si="11"/>
        <v>A74</v>
      </c>
      <c r="G86" s="19" t="s">
        <v>348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60"/>
      <c r="W86" s="60"/>
      <c r="X86" s="60"/>
      <c r="Y86" s="60"/>
      <c r="Z86" s="60"/>
    </row>
    <row r="87" ht="12.75" customHeight="1">
      <c r="A87" s="15">
        <f t="shared" si="8"/>
        <v>86</v>
      </c>
      <c r="B87" s="15" t="str">
        <f t="shared" si="9"/>
        <v>A86</v>
      </c>
      <c r="C87" s="10" t="s">
        <v>353</v>
      </c>
      <c r="D87" s="19" t="s">
        <v>354</v>
      </c>
      <c r="E87" s="15" t="s">
        <v>21</v>
      </c>
      <c r="F87" s="15" t="str">
        <f t="shared" si="11"/>
        <v>A74</v>
      </c>
      <c r="G87" s="19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60"/>
      <c r="W87" s="60"/>
      <c r="X87" s="60"/>
      <c r="Y87" s="60"/>
      <c r="Z87" s="60"/>
    </row>
    <row r="88" ht="25.5" customHeight="1">
      <c r="A88" s="15">
        <f t="shared" si="8"/>
        <v>87</v>
      </c>
      <c r="B88" s="15" t="str">
        <f t="shared" si="9"/>
        <v>A87</v>
      </c>
      <c r="C88" s="10" t="s">
        <v>216</v>
      </c>
      <c r="D88" s="19" t="s">
        <v>217</v>
      </c>
      <c r="E88" s="15" t="s">
        <v>21</v>
      </c>
      <c r="F88" s="15" t="str">
        <f t="shared" si="11"/>
        <v>A74</v>
      </c>
      <c r="G88" s="21" t="s">
        <v>218</v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</row>
    <row r="89" ht="12.75" customHeight="1">
      <c r="A89" s="15">
        <f t="shared" si="8"/>
        <v>88</v>
      </c>
      <c r="B89" s="15" t="str">
        <f t="shared" si="9"/>
        <v>A88</v>
      </c>
      <c r="C89" s="10" t="s">
        <v>365</v>
      </c>
      <c r="D89" s="19" t="s">
        <v>221</v>
      </c>
      <c r="E89" s="15" t="s">
        <v>21</v>
      </c>
      <c r="F89" s="15" t="str">
        <f t="shared" si="11"/>
        <v>A74</v>
      </c>
      <c r="G89" s="21" t="s">
        <v>218</v>
      </c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</row>
    <row r="90" ht="14.25" customHeight="1">
      <c r="A90" s="15">
        <f t="shared" si="8"/>
        <v>89</v>
      </c>
      <c r="B90" s="15" t="str">
        <f t="shared" si="9"/>
        <v>A89</v>
      </c>
      <c r="C90" s="10" t="s">
        <v>368</v>
      </c>
      <c r="D90" s="19" t="s">
        <v>369</v>
      </c>
      <c r="E90" s="15" t="s">
        <v>21</v>
      </c>
      <c r="F90" s="15" t="str">
        <f t="shared" si="11"/>
        <v>A74</v>
      </c>
      <c r="G90" s="21" t="s">
        <v>147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</row>
    <row r="91" ht="14.25" customHeight="1">
      <c r="A91" s="15">
        <f t="shared" si="8"/>
        <v>90</v>
      </c>
      <c r="B91" s="15" t="str">
        <f t="shared" si="9"/>
        <v>A90</v>
      </c>
      <c r="C91" s="10" t="s">
        <v>372</v>
      </c>
      <c r="D91" s="19" t="s">
        <v>373</v>
      </c>
      <c r="E91" s="15" t="s">
        <v>21</v>
      </c>
      <c r="F91" s="15" t="str">
        <f t="shared" si="11"/>
        <v>A74</v>
      </c>
      <c r="G91" s="21" t="s">
        <v>374</v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</row>
    <row r="92" ht="12.75" customHeight="1">
      <c r="A92" s="15">
        <f t="shared" si="8"/>
        <v>91</v>
      </c>
      <c r="B92" s="15" t="str">
        <f t="shared" si="9"/>
        <v>A91</v>
      </c>
      <c r="C92" s="10" t="s">
        <v>376</v>
      </c>
      <c r="D92" s="19" t="s">
        <v>378</v>
      </c>
      <c r="E92" s="15" t="s">
        <v>21</v>
      </c>
      <c r="F92" s="15" t="str">
        <f t="shared" si="11"/>
        <v>A74</v>
      </c>
      <c r="G92" s="21" t="s">
        <v>379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</row>
    <row r="93" ht="14.25" customHeight="1">
      <c r="A93" s="15">
        <f t="shared" si="8"/>
        <v>92</v>
      </c>
      <c r="B93" s="15" t="str">
        <f t="shared" si="9"/>
        <v>A92</v>
      </c>
      <c r="C93" s="10" t="s">
        <v>382</v>
      </c>
      <c r="D93" s="19" t="s">
        <v>383</v>
      </c>
      <c r="E93" s="15" t="s">
        <v>21</v>
      </c>
      <c r="F93" s="15" t="str">
        <f t="shared" si="11"/>
        <v>A74</v>
      </c>
      <c r="G93" s="21" t="s">
        <v>384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ht="12.75" customHeight="1">
      <c r="A94" s="15">
        <f t="shared" si="8"/>
        <v>93</v>
      </c>
      <c r="B94" s="15" t="str">
        <f t="shared" si="9"/>
        <v>A93</v>
      </c>
      <c r="C94" s="10" t="s">
        <v>387</v>
      </c>
      <c r="D94" s="19" t="s">
        <v>388</v>
      </c>
      <c r="E94" s="15" t="s">
        <v>21</v>
      </c>
      <c r="F94" s="15" t="str">
        <f t="shared" si="11"/>
        <v>A74</v>
      </c>
      <c r="G94" s="19" t="s">
        <v>147</v>
      </c>
      <c r="H94" s="5"/>
      <c r="I94" s="5"/>
      <c r="J94" s="5"/>
      <c r="K94" s="5"/>
      <c r="L94" s="5"/>
      <c r="M94" s="5"/>
      <c r="N94" s="5"/>
      <c r="O94" s="5"/>
      <c r="P94" s="5"/>
      <c r="Q94" s="62"/>
      <c r="R94" s="12"/>
      <c r="S94" s="12"/>
      <c r="T94" s="12"/>
      <c r="U94" s="12"/>
      <c r="V94" s="66"/>
      <c r="W94" s="66"/>
      <c r="X94" s="66"/>
      <c r="Y94" s="66"/>
      <c r="Z94" s="66"/>
    </row>
    <row r="95" ht="12.75" customHeight="1">
      <c r="A95" s="15">
        <f t="shared" si="8"/>
        <v>94</v>
      </c>
      <c r="B95" s="15" t="str">
        <f t="shared" si="9"/>
        <v>A94</v>
      </c>
      <c r="C95" s="10" t="s">
        <v>392</v>
      </c>
      <c r="D95" s="19" t="s">
        <v>393</v>
      </c>
      <c r="E95" s="15" t="s">
        <v>21</v>
      </c>
      <c r="F95" s="15" t="str">
        <f t="shared" si="11"/>
        <v>A74</v>
      </c>
      <c r="G95" s="21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44"/>
      <c r="W95" s="44"/>
      <c r="X95" s="44"/>
      <c r="Y95" s="44"/>
      <c r="Z95" s="44"/>
    </row>
    <row r="96" ht="12.75" customHeight="1">
      <c r="A96" s="15">
        <f t="shared" si="8"/>
        <v>95</v>
      </c>
      <c r="B96" s="15" t="str">
        <f t="shared" si="9"/>
        <v>A95</v>
      </c>
      <c r="C96" s="10" t="s">
        <v>397</v>
      </c>
      <c r="D96" s="19" t="s">
        <v>398</v>
      </c>
      <c r="E96" s="15" t="s">
        <v>21</v>
      </c>
      <c r="F96" s="15" t="str">
        <f t="shared" si="11"/>
        <v>A74</v>
      </c>
      <c r="G96" s="19" t="s">
        <v>147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60"/>
      <c r="W96" s="60"/>
      <c r="X96" s="60"/>
      <c r="Y96" s="60"/>
      <c r="Z96" s="60"/>
    </row>
    <row r="97" ht="14.25" customHeight="1">
      <c r="A97" s="15">
        <f t="shared" si="8"/>
        <v>96</v>
      </c>
      <c r="B97" s="15" t="str">
        <f t="shared" si="9"/>
        <v>A96</v>
      </c>
      <c r="C97" s="10" t="s">
        <v>400</v>
      </c>
      <c r="D97" s="19" t="s">
        <v>402</v>
      </c>
      <c r="E97" s="15" t="s">
        <v>21</v>
      </c>
      <c r="F97" s="15" t="str">
        <f t="shared" si="11"/>
        <v>A74</v>
      </c>
      <c r="G97" s="19" t="s">
        <v>147</v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</row>
    <row r="98" ht="14.25" customHeight="1">
      <c r="A98" s="15">
        <f t="shared" si="8"/>
        <v>97</v>
      </c>
      <c r="B98" s="15" t="str">
        <f t="shared" si="9"/>
        <v>A97</v>
      </c>
      <c r="C98" s="10" t="s">
        <v>407</v>
      </c>
      <c r="D98" s="19" t="s">
        <v>408</v>
      </c>
      <c r="E98" s="15" t="s">
        <v>21</v>
      </c>
      <c r="F98" s="15" t="str">
        <f t="shared" si="11"/>
        <v>A74</v>
      </c>
      <c r="G98" s="19" t="s">
        <v>147</v>
      </c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67"/>
      <c r="W98" s="67"/>
      <c r="X98" s="67"/>
      <c r="Y98" s="67"/>
      <c r="Z98" s="67"/>
    </row>
    <row r="99" ht="14.25" customHeight="1">
      <c r="A99" s="15">
        <f t="shared" si="8"/>
        <v>98</v>
      </c>
      <c r="B99" s="15" t="str">
        <f t="shared" si="9"/>
        <v>A98</v>
      </c>
      <c r="C99" s="10" t="s">
        <v>411</v>
      </c>
      <c r="D99" s="19" t="s">
        <v>412</v>
      </c>
      <c r="E99" s="15" t="s">
        <v>21</v>
      </c>
      <c r="F99" s="15" t="str">
        <f t="shared" si="11"/>
        <v>A74</v>
      </c>
      <c r="G99" s="64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</row>
    <row r="100" ht="12.75" customHeight="1">
      <c r="A100" s="15">
        <f t="shared" si="8"/>
        <v>99</v>
      </c>
      <c r="B100" s="15" t="str">
        <f t="shared" si="9"/>
        <v>A99</v>
      </c>
      <c r="C100" s="10" t="s">
        <v>416</v>
      </c>
      <c r="D100" s="19" t="s">
        <v>417</v>
      </c>
      <c r="E100" s="15" t="s">
        <v>21</v>
      </c>
      <c r="F100" s="15" t="str">
        <f t="shared" si="11"/>
        <v>A74</v>
      </c>
      <c r="G100" s="19" t="s">
        <v>418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</row>
    <row r="101" ht="12.75" customHeight="1">
      <c r="A101" s="15">
        <f t="shared" si="8"/>
        <v>100</v>
      </c>
      <c r="B101" s="15" t="str">
        <f t="shared" si="9"/>
        <v>A100</v>
      </c>
      <c r="C101" s="10" t="s">
        <v>421</v>
      </c>
      <c r="D101" s="19" t="s">
        <v>422</v>
      </c>
      <c r="E101" s="15" t="s">
        <v>21</v>
      </c>
      <c r="F101" s="15" t="str">
        <f t="shared" si="11"/>
        <v>A74</v>
      </c>
      <c r="G101" s="19" t="s">
        <v>418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</row>
    <row r="102" ht="12.75" customHeight="1">
      <c r="A102" s="15">
        <f t="shared" si="8"/>
        <v>101</v>
      </c>
      <c r="B102" s="15" t="str">
        <f t="shared" si="9"/>
        <v>A101</v>
      </c>
      <c r="C102" s="10" t="s">
        <v>424</v>
      </c>
      <c r="D102" s="19" t="s">
        <v>425</v>
      </c>
      <c r="E102" s="15" t="s">
        <v>21</v>
      </c>
      <c r="F102" s="15" t="str">
        <f t="shared" si="11"/>
        <v>A74</v>
      </c>
      <c r="G102" s="19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</row>
    <row r="103" ht="12.75" customHeight="1">
      <c r="A103" s="15">
        <f t="shared" si="8"/>
        <v>102</v>
      </c>
      <c r="B103" s="15" t="str">
        <f t="shared" si="9"/>
        <v>A102</v>
      </c>
      <c r="C103" s="10" t="s">
        <v>426</v>
      </c>
      <c r="D103" s="19" t="s">
        <v>428</v>
      </c>
      <c r="E103" s="15" t="s">
        <v>21</v>
      </c>
      <c r="F103" s="15" t="str">
        <f t="shared" si="11"/>
        <v>A74</v>
      </c>
      <c r="G103" s="19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</row>
    <row r="104" ht="12.75" customHeight="1">
      <c r="A104" s="15">
        <f t="shared" si="8"/>
        <v>103</v>
      </c>
      <c r="B104" s="15" t="str">
        <f t="shared" si="9"/>
        <v>A103</v>
      </c>
      <c r="C104" s="10" t="s">
        <v>432</v>
      </c>
      <c r="D104" s="19" t="s">
        <v>434</v>
      </c>
      <c r="E104" s="15" t="s">
        <v>21</v>
      </c>
      <c r="F104" s="15" t="str">
        <f t="shared" si="11"/>
        <v>A74</v>
      </c>
      <c r="G104" s="19" t="s">
        <v>435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60"/>
      <c r="W104" s="60"/>
      <c r="X104" s="60"/>
      <c r="Y104" s="60"/>
      <c r="Z104" s="60"/>
    </row>
    <row r="105" ht="12.75" customHeight="1">
      <c r="A105" s="15">
        <f t="shared" si="8"/>
        <v>104</v>
      </c>
      <c r="B105" s="15" t="str">
        <f t="shared" si="9"/>
        <v>A104</v>
      </c>
      <c r="C105" s="10" t="s">
        <v>438</v>
      </c>
      <c r="D105" s="19" t="s">
        <v>439</v>
      </c>
      <c r="E105" s="15" t="s">
        <v>21</v>
      </c>
      <c r="F105" s="15" t="str">
        <f t="shared" si="11"/>
        <v>A74</v>
      </c>
      <c r="G105" s="19" t="s">
        <v>440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44"/>
      <c r="W105" s="44"/>
      <c r="X105" s="44"/>
      <c r="Y105" s="44"/>
      <c r="Z105" s="44"/>
    </row>
    <row r="106" ht="12.75" customHeight="1">
      <c r="A106" s="15">
        <f t="shared" si="8"/>
        <v>105</v>
      </c>
      <c r="B106" s="15" t="str">
        <f t="shared" si="9"/>
        <v>A105</v>
      </c>
      <c r="C106" s="10" t="s">
        <v>442</v>
      </c>
      <c r="D106" s="19" t="s">
        <v>443</v>
      </c>
      <c r="E106" s="15" t="s">
        <v>21</v>
      </c>
      <c r="F106" s="15" t="str">
        <f t="shared" si="11"/>
        <v>A74</v>
      </c>
      <c r="G106" s="19" t="s">
        <v>147</v>
      </c>
      <c r="H106" s="5"/>
      <c r="I106" s="5"/>
      <c r="J106" s="5"/>
      <c r="K106" s="5"/>
      <c r="L106" s="5"/>
      <c r="M106" s="5"/>
      <c r="N106" s="5"/>
      <c r="O106" s="5"/>
      <c r="P106" s="5"/>
      <c r="Q106" s="62"/>
      <c r="R106" s="12"/>
      <c r="S106" s="12"/>
      <c r="T106" s="12"/>
      <c r="U106" s="12"/>
      <c r="V106" s="63"/>
      <c r="W106" s="63"/>
      <c r="X106" s="63"/>
      <c r="Y106" s="63"/>
      <c r="Z106" s="63"/>
    </row>
    <row r="107" ht="12.75" customHeight="1">
      <c r="A107" s="15">
        <f t="shared" si="8"/>
        <v>106</v>
      </c>
      <c r="B107" s="15" t="str">
        <f t="shared" si="9"/>
        <v>A106</v>
      </c>
      <c r="C107" s="10" t="s">
        <v>445</v>
      </c>
      <c r="D107" s="19" t="s">
        <v>446</v>
      </c>
      <c r="E107" s="15" t="s">
        <v>21</v>
      </c>
      <c r="F107" s="15" t="str">
        <f t="shared" si="11"/>
        <v>A74</v>
      </c>
      <c r="G107" s="19" t="s">
        <v>147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60"/>
      <c r="W107" s="60"/>
      <c r="X107" s="60"/>
      <c r="Y107" s="60"/>
      <c r="Z107" s="60"/>
    </row>
    <row r="108" ht="12.75" customHeight="1">
      <c r="A108" s="15">
        <f t="shared" si="8"/>
        <v>107</v>
      </c>
      <c r="B108" s="15" t="str">
        <f t="shared" si="9"/>
        <v>A107</v>
      </c>
      <c r="C108" s="10" t="s">
        <v>448</v>
      </c>
      <c r="D108" s="19" t="s">
        <v>449</v>
      </c>
      <c r="E108" s="15" t="s">
        <v>21</v>
      </c>
      <c r="F108" s="15" t="str">
        <f t="shared" si="11"/>
        <v>A74</v>
      </c>
      <c r="G108" s="19" t="s">
        <v>147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60"/>
      <c r="W108" s="60"/>
      <c r="X108" s="60"/>
      <c r="Y108" s="60"/>
      <c r="Z108" s="60"/>
    </row>
    <row r="109" ht="14.25" customHeight="1">
      <c r="A109" s="15">
        <f t="shared" si="8"/>
        <v>108</v>
      </c>
      <c r="B109" s="15" t="str">
        <f t="shared" si="9"/>
        <v>A108</v>
      </c>
      <c r="C109" s="10" t="s">
        <v>451</v>
      </c>
      <c r="D109" s="19" t="s">
        <v>452</v>
      </c>
      <c r="E109" s="15" t="s">
        <v>21</v>
      </c>
      <c r="F109" s="15" t="str">
        <f t="shared" si="11"/>
        <v>A74</v>
      </c>
      <c r="G109" s="19" t="s">
        <v>147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60"/>
      <c r="W109" s="60"/>
      <c r="X109" s="60"/>
      <c r="Y109" s="60"/>
      <c r="Z109" s="60"/>
    </row>
    <row r="110" ht="12.75" customHeight="1">
      <c r="A110" s="7">
        <f t="shared" si="8"/>
        <v>109</v>
      </c>
      <c r="B110" s="7" t="str">
        <f t="shared" si="9"/>
        <v>A109</v>
      </c>
      <c r="C110" s="8" t="s">
        <v>453</v>
      </c>
      <c r="D110" s="17" t="s">
        <v>454</v>
      </c>
      <c r="E110" s="7" t="s">
        <v>13</v>
      </c>
      <c r="F110" s="7" t="str">
        <f>$B$33</f>
        <v>A32</v>
      </c>
      <c r="G110" s="19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60"/>
      <c r="W110" s="60"/>
      <c r="X110" s="60"/>
      <c r="Y110" s="60"/>
      <c r="Z110" s="60"/>
    </row>
    <row r="111" ht="12.75" customHeight="1">
      <c r="A111" s="15">
        <f t="shared" si="8"/>
        <v>110</v>
      </c>
      <c r="B111" s="15" t="str">
        <f t="shared" si="9"/>
        <v>A110</v>
      </c>
      <c r="C111" s="10" t="s">
        <v>204</v>
      </c>
      <c r="D111" s="19" t="s">
        <v>205</v>
      </c>
      <c r="E111" s="59" t="s">
        <v>21</v>
      </c>
      <c r="F111" s="15" t="str">
        <f t="shared" ref="F111:F117" si="12">$B$110</f>
        <v>A109</v>
      </c>
      <c r="G111" s="21" t="s">
        <v>147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60"/>
      <c r="W111" s="60"/>
      <c r="X111" s="60"/>
      <c r="Y111" s="60"/>
      <c r="Z111" s="60"/>
    </row>
    <row r="112" ht="12.75" customHeight="1">
      <c r="A112" s="15">
        <f t="shared" si="8"/>
        <v>111</v>
      </c>
      <c r="B112" s="15" t="str">
        <f t="shared" si="9"/>
        <v>A111</v>
      </c>
      <c r="C112" s="10" t="s">
        <v>212</v>
      </c>
      <c r="D112" s="19" t="s">
        <v>213</v>
      </c>
      <c r="E112" s="59" t="s">
        <v>21</v>
      </c>
      <c r="F112" s="15" t="str">
        <f t="shared" si="12"/>
        <v>A109</v>
      </c>
      <c r="G112" s="21" t="s">
        <v>147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60"/>
      <c r="W112" s="60"/>
      <c r="X112" s="60"/>
      <c r="Y112" s="60"/>
      <c r="Z112" s="60"/>
    </row>
    <row r="113" ht="12.75" customHeight="1">
      <c r="A113" s="15">
        <f t="shared" si="8"/>
        <v>112</v>
      </c>
      <c r="B113" s="15" t="str">
        <f t="shared" si="9"/>
        <v>A112</v>
      </c>
      <c r="C113" s="10" t="s">
        <v>216</v>
      </c>
      <c r="D113" s="19" t="s">
        <v>217</v>
      </c>
      <c r="E113" s="15" t="s">
        <v>21</v>
      </c>
      <c r="F113" s="15" t="str">
        <f t="shared" si="12"/>
        <v>A109</v>
      </c>
      <c r="G113" s="21" t="s">
        <v>218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60"/>
      <c r="W113" s="60"/>
      <c r="X113" s="60"/>
      <c r="Y113" s="60"/>
      <c r="Z113" s="60"/>
    </row>
    <row r="114" ht="12.75" customHeight="1">
      <c r="A114" s="40">
        <f t="shared" si="8"/>
        <v>113</v>
      </c>
      <c r="B114" s="15" t="str">
        <f t="shared" si="9"/>
        <v>A113</v>
      </c>
      <c r="C114" s="41" t="s">
        <v>220</v>
      </c>
      <c r="D114" s="42" t="s">
        <v>221</v>
      </c>
      <c r="E114" s="40" t="s">
        <v>21</v>
      </c>
      <c r="F114" s="15" t="str">
        <f t="shared" si="12"/>
        <v>A109</v>
      </c>
      <c r="G114" s="21" t="s">
        <v>218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60"/>
      <c r="W114" s="60"/>
      <c r="X114" s="60"/>
      <c r="Y114" s="60"/>
      <c r="Z114" s="60"/>
    </row>
    <row r="115" ht="14.25" customHeight="1">
      <c r="A115" s="15">
        <f t="shared" si="8"/>
        <v>114</v>
      </c>
      <c r="B115" s="15" t="str">
        <f t="shared" si="9"/>
        <v>A114</v>
      </c>
      <c r="C115" s="10" t="s">
        <v>224</v>
      </c>
      <c r="D115" s="19" t="s">
        <v>225</v>
      </c>
      <c r="E115" s="15" t="s">
        <v>21</v>
      </c>
      <c r="F115" s="15" t="str">
        <f t="shared" si="12"/>
        <v>A109</v>
      </c>
      <c r="G115" s="43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</row>
    <row r="116" ht="12.75" customHeight="1">
      <c r="A116" s="59">
        <f t="shared" si="8"/>
        <v>115</v>
      </c>
      <c r="B116" s="15" t="str">
        <f t="shared" si="9"/>
        <v>A115</v>
      </c>
      <c r="C116" s="61" t="s">
        <v>232</v>
      </c>
      <c r="D116" s="34" t="s">
        <v>455</v>
      </c>
      <c r="E116" s="59" t="s">
        <v>21</v>
      </c>
      <c r="F116" s="15" t="str">
        <f t="shared" si="12"/>
        <v>A109</v>
      </c>
      <c r="G116" s="21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</row>
    <row r="117" ht="12.75" customHeight="1">
      <c r="A117" s="15">
        <f t="shared" si="8"/>
        <v>116</v>
      </c>
      <c r="B117" s="15" t="str">
        <f t="shared" si="9"/>
        <v>A116</v>
      </c>
      <c r="C117" s="10" t="s">
        <v>238</v>
      </c>
      <c r="D117" s="19" t="s">
        <v>456</v>
      </c>
      <c r="E117" s="15" t="s">
        <v>21</v>
      </c>
      <c r="F117" s="15" t="str">
        <f t="shared" si="12"/>
        <v>A109</v>
      </c>
      <c r="G117" s="12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</row>
    <row r="118" ht="14.25" customHeight="1">
      <c r="A118" s="7">
        <f t="shared" si="8"/>
        <v>117</v>
      </c>
      <c r="B118" s="7" t="str">
        <f t="shared" si="9"/>
        <v>A117</v>
      </c>
      <c r="C118" s="8" t="s">
        <v>457</v>
      </c>
      <c r="D118" s="17" t="s">
        <v>458</v>
      </c>
      <c r="E118" s="7" t="s">
        <v>13</v>
      </c>
      <c r="F118" s="7" t="str">
        <f>$B$33</f>
        <v>A32</v>
      </c>
      <c r="G118" s="36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</row>
    <row r="119" ht="14.25" customHeight="1">
      <c r="A119" s="15">
        <f t="shared" si="8"/>
        <v>118</v>
      </c>
      <c r="B119" s="15" t="str">
        <f t="shared" si="9"/>
        <v>A118</v>
      </c>
      <c r="C119" s="10" t="s">
        <v>204</v>
      </c>
      <c r="D119" s="19" t="s">
        <v>205</v>
      </c>
      <c r="E119" s="15" t="s">
        <v>21</v>
      </c>
      <c r="F119" s="15" t="str">
        <f t="shared" ref="F119:F135" si="13">$B$118</f>
        <v>A117</v>
      </c>
      <c r="G119" s="21" t="s">
        <v>147</v>
      </c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60"/>
      <c r="W119" s="60"/>
      <c r="X119" s="60"/>
      <c r="Y119" s="60"/>
      <c r="Z119" s="60"/>
    </row>
    <row r="120" ht="14.25" customHeight="1">
      <c r="A120" s="15">
        <f t="shared" si="8"/>
        <v>119</v>
      </c>
      <c r="B120" s="15" t="str">
        <f t="shared" si="9"/>
        <v>A119</v>
      </c>
      <c r="C120" s="10" t="s">
        <v>212</v>
      </c>
      <c r="D120" s="19" t="s">
        <v>213</v>
      </c>
      <c r="E120" s="15" t="s">
        <v>21</v>
      </c>
      <c r="F120" s="15" t="str">
        <f t="shared" si="13"/>
        <v>A117</v>
      </c>
      <c r="G120" s="21" t="s">
        <v>147</v>
      </c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60"/>
      <c r="W120" s="60"/>
      <c r="X120" s="60"/>
      <c r="Y120" s="60"/>
      <c r="Z120" s="60"/>
    </row>
    <row r="121" ht="12.75" customHeight="1">
      <c r="A121" s="15">
        <f t="shared" si="8"/>
        <v>120</v>
      </c>
      <c r="B121" s="15" t="str">
        <f t="shared" si="9"/>
        <v>A120</v>
      </c>
      <c r="C121" s="10" t="s">
        <v>216</v>
      </c>
      <c r="D121" s="19" t="s">
        <v>217</v>
      </c>
      <c r="E121" s="15" t="s">
        <v>21</v>
      </c>
      <c r="F121" s="15" t="str">
        <f t="shared" si="13"/>
        <v>A117</v>
      </c>
      <c r="G121" s="21" t="s">
        <v>461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</row>
    <row r="122" ht="12.75" customHeight="1">
      <c r="A122" s="15">
        <f t="shared" si="8"/>
        <v>121</v>
      </c>
      <c r="B122" s="15" t="str">
        <f t="shared" si="9"/>
        <v>A121</v>
      </c>
      <c r="C122" s="10" t="s">
        <v>220</v>
      </c>
      <c r="D122" s="19" t="s">
        <v>221</v>
      </c>
      <c r="E122" s="15" t="s">
        <v>21</v>
      </c>
      <c r="F122" s="15" t="str">
        <f t="shared" si="13"/>
        <v>A117</v>
      </c>
      <c r="G122" s="21" t="s">
        <v>218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</row>
    <row r="123" ht="12.75" customHeight="1">
      <c r="A123" s="15">
        <f t="shared" si="8"/>
        <v>122</v>
      </c>
      <c r="B123" s="15" t="str">
        <f t="shared" si="9"/>
        <v>A122</v>
      </c>
      <c r="C123" s="10" t="s">
        <v>224</v>
      </c>
      <c r="D123" s="19" t="s">
        <v>225</v>
      </c>
      <c r="E123" s="15" t="s">
        <v>21</v>
      </c>
      <c r="F123" s="15" t="str">
        <f t="shared" si="13"/>
        <v>A117</v>
      </c>
      <c r="G123" s="21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</row>
    <row r="124" ht="12.75" customHeight="1">
      <c r="A124" s="15">
        <f t="shared" si="8"/>
        <v>123</v>
      </c>
      <c r="B124" s="15" t="str">
        <f t="shared" si="9"/>
        <v>A123</v>
      </c>
      <c r="C124" s="10" t="s">
        <v>462</v>
      </c>
      <c r="D124" s="19" t="s">
        <v>463</v>
      </c>
      <c r="E124" s="15" t="s">
        <v>21</v>
      </c>
      <c r="F124" s="15" t="str">
        <f t="shared" si="13"/>
        <v>A117</v>
      </c>
      <c r="G124" s="21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</row>
    <row r="125" ht="14.25" customHeight="1">
      <c r="A125" s="15">
        <f t="shared" si="8"/>
        <v>124</v>
      </c>
      <c r="B125" s="15" t="str">
        <f t="shared" si="9"/>
        <v>A124</v>
      </c>
      <c r="C125" s="10" t="s">
        <v>465</v>
      </c>
      <c r="D125" s="19" t="s">
        <v>466</v>
      </c>
      <c r="E125" s="15" t="s">
        <v>21</v>
      </c>
      <c r="F125" s="15" t="str">
        <f t="shared" si="13"/>
        <v>A117</v>
      </c>
      <c r="G125" s="21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</row>
    <row r="126" ht="14.25" customHeight="1">
      <c r="A126" s="15">
        <f t="shared" si="8"/>
        <v>125</v>
      </c>
      <c r="B126" s="15" t="str">
        <f t="shared" si="9"/>
        <v>A125</v>
      </c>
      <c r="C126" s="10" t="s">
        <v>467</v>
      </c>
      <c r="D126" s="19" t="s">
        <v>468</v>
      </c>
      <c r="E126" s="15" t="s">
        <v>21</v>
      </c>
      <c r="F126" s="15" t="str">
        <f t="shared" si="13"/>
        <v>A117</v>
      </c>
      <c r="G126" s="21" t="s">
        <v>147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</row>
    <row r="127" ht="14.25" customHeight="1">
      <c r="A127" s="15">
        <f t="shared" si="8"/>
        <v>126</v>
      </c>
      <c r="B127" s="15" t="str">
        <f t="shared" si="9"/>
        <v>A126</v>
      </c>
      <c r="C127" s="10" t="s">
        <v>469</v>
      </c>
      <c r="D127" s="19" t="s">
        <v>470</v>
      </c>
      <c r="E127" s="15" t="s">
        <v>21</v>
      </c>
      <c r="F127" s="15" t="str">
        <f t="shared" si="13"/>
        <v>A117</v>
      </c>
      <c r="G127" s="43" t="s">
        <v>147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</row>
    <row r="128" ht="14.25" customHeight="1">
      <c r="A128" s="15">
        <f t="shared" si="8"/>
        <v>127</v>
      </c>
      <c r="B128" s="15" t="str">
        <f t="shared" si="9"/>
        <v>A127</v>
      </c>
      <c r="C128" s="10" t="s">
        <v>228</v>
      </c>
      <c r="D128" s="19" t="s">
        <v>472</v>
      </c>
      <c r="E128" s="15" t="s">
        <v>21</v>
      </c>
      <c r="F128" s="15" t="str">
        <f t="shared" si="13"/>
        <v>A117</v>
      </c>
      <c r="G128" s="73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</row>
    <row r="129" ht="12.75" customHeight="1">
      <c r="A129" s="40">
        <f t="shared" si="8"/>
        <v>128</v>
      </c>
      <c r="B129" s="15" t="str">
        <f t="shared" si="9"/>
        <v>A128</v>
      </c>
      <c r="C129" s="41" t="s">
        <v>232</v>
      </c>
      <c r="D129" s="42" t="s">
        <v>473</v>
      </c>
      <c r="E129" s="40" t="s">
        <v>21</v>
      </c>
      <c r="F129" s="15" t="str">
        <f t="shared" si="13"/>
        <v>A117</v>
      </c>
      <c r="G129" s="19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44"/>
      <c r="W129" s="44"/>
      <c r="X129" s="44"/>
      <c r="Y129" s="44"/>
      <c r="Z129" s="44"/>
    </row>
    <row r="130" ht="14.25" customHeight="1">
      <c r="A130" s="15">
        <f t="shared" si="8"/>
        <v>129</v>
      </c>
      <c r="B130" s="15" t="str">
        <f t="shared" si="9"/>
        <v>A129</v>
      </c>
      <c r="C130" s="10" t="s">
        <v>238</v>
      </c>
      <c r="D130" s="19" t="s">
        <v>475</v>
      </c>
      <c r="E130" s="15" t="s">
        <v>21</v>
      </c>
      <c r="F130" s="15" t="str">
        <f t="shared" si="13"/>
        <v>A117</v>
      </c>
      <c r="G130" s="12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</row>
    <row r="131" ht="14.25" customHeight="1">
      <c r="A131" s="15">
        <f t="shared" si="8"/>
        <v>130</v>
      </c>
      <c r="B131" s="15" t="str">
        <f t="shared" si="9"/>
        <v>A130</v>
      </c>
      <c r="C131" s="10" t="s">
        <v>242</v>
      </c>
      <c r="D131" s="10" t="s">
        <v>477</v>
      </c>
      <c r="E131" s="15" t="s">
        <v>21</v>
      </c>
      <c r="F131" s="15" t="str">
        <f t="shared" si="13"/>
        <v>A117</v>
      </c>
      <c r="G131" s="77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</row>
    <row r="132" ht="14.25" customHeight="1">
      <c r="A132" s="59">
        <f t="shared" si="8"/>
        <v>131</v>
      </c>
      <c r="B132" s="15" t="str">
        <f t="shared" si="9"/>
        <v>A131</v>
      </c>
      <c r="C132" s="61" t="s">
        <v>247</v>
      </c>
      <c r="D132" s="34" t="s">
        <v>479</v>
      </c>
      <c r="E132" s="59" t="s">
        <v>21</v>
      </c>
      <c r="F132" s="15" t="str">
        <f t="shared" si="13"/>
        <v>A117</v>
      </c>
      <c r="G132" s="12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</row>
    <row r="133" ht="14.25" customHeight="1">
      <c r="A133" s="15">
        <f t="shared" si="8"/>
        <v>132</v>
      </c>
      <c r="B133" s="15" t="str">
        <f t="shared" si="9"/>
        <v>A132</v>
      </c>
      <c r="C133" s="10" t="s">
        <v>259</v>
      </c>
      <c r="D133" s="19" t="s">
        <v>481</v>
      </c>
      <c r="E133" s="15" t="s">
        <v>21</v>
      </c>
      <c r="F133" s="15" t="str">
        <f t="shared" si="13"/>
        <v>A117</v>
      </c>
      <c r="G133" s="34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</row>
    <row r="134" ht="12.75" customHeight="1">
      <c r="A134" s="15">
        <f t="shared" si="8"/>
        <v>133</v>
      </c>
      <c r="B134" s="15" t="str">
        <f t="shared" si="9"/>
        <v>A133</v>
      </c>
      <c r="C134" s="10" t="s">
        <v>263</v>
      </c>
      <c r="D134" s="19" t="s">
        <v>483</v>
      </c>
      <c r="E134" s="15" t="s">
        <v>21</v>
      </c>
      <c r="F134" s="15" t="str">
        <f t="shared" si="13"/>
        <v>A117</v>
      </c>
      <c r="G134" s="19" t="s">
        <v>266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</row>
    <row r="135" ht="12.75" customHeight="1">
      <c r="A135" s="15">
        <f t="shared" si="8"/>
        <v>134</v>
      </c>
      <c r="B135" s="15" t="str">
        <f t="shared" si="9"/>
        <v>A134</v>
      </c>
      <c r="C135" s="10" t="s">
        <v>269</v>
      </c>
      <c r="D135" s="19" t="s">
        <v>484</v>
      </c>
      <c r="E135" s="15" t="s">
        <v>21</v>
      </c>
      <c r="F135" s="15" t="str">
        <f t="shared" si="13"/>
        <v>A117</v>
      </c>
      <c r="G135" s="42" t="s">
        <v>266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</row>
    <row r="136" ht="12.75" customHeight="1">
      <c r="A136" s="15">
        <v>135.0</v>
      </c>
      <c r="B136" s="15" t="s">
        <v>485</v>
      </c>
      <c r="C136" s="10" t="s">
        <v>189</v>
      </c>
      <c r="D136" s="19" t="s">
        <v>274</v>
      </c>
      <c r="E136" s="15" t="s">
        <v>21</v>
      </c>
      <c r="F136" s="59" t="s">
        <v>486</v>
      </c>
      <c r="G136" s="64" t="s">
        <v>193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</row>
    <row r="137" ht="12.75" customHeight="1">
      <c r="A137" s="7">
        <f t="shared" ref="A137:A155" si="14">ROW()-1</f>
        <v>136</v>
      </c>
      <c r="B137" s="7" t="str">
        <f t="shared" ref="B137:B155" si="15">CONCATENATE("A",IF(A137&lt;=9,0,),A137)</f>
        <v>A136</v>
      </c>
      <c r="C137" s="8" t="s">
        <v>280</v>
      </c>
      <c r="D137" s="17" t="s">
        <v>281</v>
      </c>
      <c r="E137" s="7" t="s">
        <v>13</v>
      </c>
      <c r="F137" s="7" t="str">
        <f>$B$118</f>
        <v>A117</v>
      </c>
      <c r="G137" s="73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</row>
    <row r="138" ht="14.25" customHeight="1">
      <c r="A138" s="7">
        <f t="shared" si="14"/>
        <v>137</v>
      </c>
      <c r="B138" s="7" t="str">
        <f t="shared" si="15"/>
        <v>A137</v>
      </c>
      <c r="C138" s="8" t="s">
        <v>283</v>
      </c>
      <c r="D138" s="17"/>
      <c r="E138" s="7" t="s">
        <v>13</v>
      </c>
      <c r="F138" s="7" t="str">
        <f>$B$137</f>
        <v>A136</v>
      </c>
      <c r="G138" s="54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</row>
    <row r="139" ht="14.25" customHeight="1">
      <c r="A139" s="15">
        <f t="shared" si="14"/>
        <v>138</v>
      </c>
      <c r="B139" s="15" t="str">
        <f t="shared" si="15"/>
        <v>A138</v>
      </c>
      <c r="C139" s="10" t="s">
        <v>488</v>
      </c>
      <c r="D139" s="19" t="s">
        <v>288</v>
      </c>
      <c r="E139" s="15" t="s">
        <v>21</v>
      </c>
      <c r="F139" s="15" t="str">
        <f t="shared" ref="F139:F140" si="16">$B$138</f>
        <v>A137</v>
      </c>
      <c r="G139" s="21" t="s">
        <v>489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</row>
    <row r="140" ht="14.25" customHeight="1">
      <c r="A140" s="15">
        <f t="shared" si="14"/>
        <v>139</v>
      </c>
      <c r="B140" s="15" t="str">
        <f t="shared" si="15"/>
        <v>A139</v>
      </c>
      <c r="C140" s="10" t="s">
        <v>492</v>
      </c>
      <c r="D140" s="19" t="s">
        <v>292</v>
      </c>
      <c r="E140" s="15" t="s">
        <v>21</v>
      </c>
      <c r="F140" s="15" t="str">
        <f t="shared" si="16"/>
        <v>A137</v>
      </c>
      <c r="G140" s="21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</row>
    <row r="141" ht="14.25" customHeight="1">
      <c r="A141" s="7">
        <f t="shared" si="14"/>
        <v>140</v>
      </c>
      <c r="B141" s="7" t="str">
        <f t="shared" si="15"/>
        <v>A140</v>
      </c>
      <c r="C141" s="8" t="s">
        <v>490</v>
      </c>
      <c r="D141" s="17" t="s">
        <v>491</v>
      </c>
      <c r="E141" s="7" t="s">
        <v>13</v>
      </c>
      <c r="F141" s="7" t="str">
        <f>$B$33</f>
        <v>A32</v>
      </c>
      <c r="G141" s="21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</row>
    <row r="142" ht="14.25" customHeight="1">
      <c r="A142" s="15">
        <f t="shared" si="14"/>
        <v>141</v>
      </c>
      <c r="B142" s="15" t="str">
        <f t="shared" si="15"/>
        <v>A141</v>
      </c>
      <c r="C142" s="10" t="s">
        <v>204</v>
      </c>
      <c r="D142" s="19" t="s">
        <v>205</v>
      </c>
      <c r="E142" s="15" t="s">
        <v>21</v>
      </c>
      <c r="F142" s="15" t="str">
        <f t="shared" ref="F142:F155" si="17">$B$141</f>
        <v>A140</v>
      </c>
      <c r="G142" s="21" t="s">
        <v>147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</row>
    <row r="143" ht="14.25" customHeight="1">
      <c r="A143" s="15">
        <f t="shared" si="14"/>
        <v>142</v>
      </c>
      <c r="B143" s="15" t="str">
        <f t="shared" si="15"/>
        <v>A142</v>
      </c>
      <c r="C143" s="10" t="s">
        <v>212</v>
      </c>
      <c r="D143" s="19" t="s">
        <v>213</v>
      </c>
      <c r="E143" s="15" t="s">
        <v>21</v>
      </c>
      <c r="F143" s="15" t="str">
        <f t="shared" si="17"/>
        <v>A140</v>
      </c>
      <c r="G143" s="21" t="s">
        <v>147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</row>
    <row r="144" ht="14.25" customHeight="1">
      <c r="A144" s="15">
        <f t="shared" si="14"/>
        <v>143</v>
      </c>
      <c r="B144" s="15" t="str">
        <f t="shared" si="15"/>
        <v>A143</v>
      </c>
      <c r="C144" s="10" t="s">
        <v>216</v>
      </c>
      <c r="D144" s="19" t="s">
        <v>217</v>
      </c>
      <c r="E144" s="15" t="s">
        <v>21</v>
      </c>
      <c r="F144" s="15" t="str">
        <f t="shared" si="17"/>
        <v>A140</v>
      </c>
      <c r="G144" s="21" t="s">
        <v>218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</row>
    <row r="145" ht="12.75" customHeight="1">
      <c r="A145" s="15">
        <f t="shared" si="14"/>
        <v>144</v>
      </c>
      <c r="B145" s="15" t="str">
        <f t="shared" si="15"/>
        <v>A144</v>
      </c>
      <c r="C145" s="10" t="s">
        <v>220</v>
      </c>
      <c r="D145" s="19" t="s">
        <v>221</v>
      </c>
      <c r="E145" s="15" t="s">
        <v>21</v>
      </c>
      <c r="F145" s="15" t="str">
        <f t="shared" si="17"/>
        <v>A140</v>
      </c>
      <c r="G145" s="21" t="s">
        <v>218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</row>
    <row r="146" ht="12.75" customHeight="1">
      <c r="A146" s="15">
        <f t="shared" si="14"/>
        <v>145</v>
      </c>
      <c r="B146" s="15" t="str">
        <f t="shared" si="15"/>
        <v>A145</v>
      </c>
      <c r="C146" s="10" t="s">
        <v>224</v>
      </c>
      <c r="D146" s="19" t="s">
        <v>225</v>
      </c>
      <c r="E146" s="15" t="s">
        <v>21</v>
      </c>
      <c r="F146" s="15" t="str">
        <f t="shared" si="17"/>
        <v>A140</v>
      </c>
      <c r="G146" s="21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</row>
    <row r="147" ht="12.75" customHeight="1">
      <c r="A147" s="40">
        <f t="shared" si="14"/>
        <v>146</v>
      </c>
      <c r="B147" s="15" t="str">
        <f t="shared" si="15"/>
        <v>A146</v>
      </c>
      <c r="C147" s="41" t="s">
        <v>228</v>
      </c>
      <c r="D147" s="42" t="s">
        <v>494</v>
      </c>
      <c r="E147" s="40" t="s">
        <v>21</v>
      </c>
      <c r="F147" s="15" t="str">
        <f t="shared" si="17"/>
        <v>A140</v>
      </c>
      <c r="G147" s="21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</row>
    <row r="148" ht="12.75" customHeight="1">
      <c r="A148" s="15">
        <f t="shared" si="14"/>
        <v>147</v>
      </c>
      <c r="B148" s="15" t="str">
        <f t="shared" si="15"/>
        <v>A147</v>
      </c>
      <c r="C148" s="10" t="s">
        <v>232</v>
      </c>
      <c r="D148" s="19" t="s">
        <v>495</v>
      </c>
      <c r="E148" s="15" t="s">
        <v>21</v>
      </c>
      <c r="F148" s="15" t="str">
        <f t="shared" si="17"/>
        <v>A140</v>
      </c>
      <c r="G148" s="42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</row>
    <row r="149" ht="14.25" customHeight="1">
      <c r="A149" s="15">
        <f t="shared" si="14"/>
        <v>148</v>
      </c>
      <c r="B149" s="15" t="str">
        <f t="shared" si="15"/>
        <v>A148</v>
      </c>
      <c r="C149" s="10" t="s">
        <v>238</v>
      </c>
      <c r="D149" s="19" t="s">
        <v>498</v>
      </c>
      <c r="E149" s="15" t="s">
        <v>21</v>
      </c>
      <c r="F149" s="15" t="str">
        <f t="shared" si="17"/>
        <v>A140</v>
      </c>
      <c r="G149" s="4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</row>
    <row r="150" ht="14.25" customHeight="1">
      <c r="A150" s="59">
        <f t="shared" si="14"/>
        <v>149</v>
      </c>
      <c r="B150" s="15" t="str">
        <f t="shared" si="15"/>
        <v>A149</v>
      </c>
      <c r="C150" s="61" t="s">
        <v>242</v>
      </c>
      <c r="D150" s="22" t="s">
        <v>496</v>
      </c>
      <c r="E150" s="59" t="s">
        <v>21</v>
      </c>
      <c r="F150" s="15" t="str">
        <f t="shared" si="17"/>
        <v>A140</v>
      </c>
      <c r="G150" s="43"/>
      <c r="H150" s="5"/>
      <c r="I150" s="5"/>
      <c r="J150" s="5"/>
      <c r="K150" s="5"/>
      <c r="L150" s="5"/>
      <c r="M150" s="5"/>
      <c r="N150" s="5"/>
      <c r="O150" s="5"/>
      <c r="P150" s="5"/>
      <c r="Q150" s="78"/>
      <c r="R150" s="78"/>
      <c r="S150" s="78"/>
      <c r="T150" s="78"/>
      <c r="U150" s="78"/>
      <c r="V150" s="79"/>
      <c r="W150" s="79"/>
      <c r="X150" s="79"/>
      <c r="Y150" s="79"/>
      <c r="Z150" s="79"/>
    </row>
    <row r="151" ht="14.25" customHeight="1">
      <c r="A151" s="15">
        <f t="shared" si="14"/>
        <v>150</v>
      </c>
      <c r="B151" s="15" t="str">
        <f t="shared" si="15"/>
        <v>A150</v>
      </c>
      <c r="C151" s="10" t="s">
        <v>247</v>
      </c>
      <c r="D151" s="19" t="s">
        <v>497</v>
      </c>
      <c r="E151" s="15" t="s">
        <v>21</v>
      </c>
      <c r="F151" s="15" t="str">
        <f t="shared" si="17"/>
        <v>A140</v>
      </c>
      <c r="G151" s="4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</row>
    <row r="152" ht="14.25" customHeight="1">
      <c r="A152" s="15">
        <f t="shared" si="14"/>
        <v>151</v>
      </c>
      <c r="B152" s="15" t="str">
        <f t="shared" si="15"/>
        <v>A151</v>
      </c>
      <c r="C152" s="10" t="s">
        <v>254</v>
      </c>
      <c r="D152" s="19" t="s">
        <v>499</v>
      </c>
      <c r="E152" s="15" t="s">
        <v>21</v>
      </c>
      <c r="F152" s="15" t="str">
        <f t="shared" si="17"/>
        <v>A140</v>
      </c>
      <c r="G152" s="34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</row>
    <row r="153" ht="14.25" customHeight="1">
      <c r="A153" s="15">
        <f t="shared" si="14"/>
        <v>152</v>
      </c>
      <c r="B153" s="15" t="str">
        <f t="shared" si="15"/>
        <v>A152</v>
      </c>
      <c r="C153" s="10" t="s">
        <v>259</v>
      </c>
      <c r="D153" s="19" t="s">
        <v>500</v>
      </c>
      <c r="E153" s="15" t="s">
        <v>21</v>
      </c>
      <c r="F153" s="15" t="str">
        <f t="shared" si="17"/>
        <v>A140</v>
      </c>
      <c r="G153" s="21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</row>
    <row r="154" ht="14.25" customHeight="1">
      <c r="A154" s="15">
        <f t="shared" si="14"/>
        <v>153</v>
      </c>
      <c r="B154" s="15" t="str">
        <f t="shared" si="15"/>
        <v>A153</v>
      </c>
      <c r="C154" s="10" t="s">
        <v>263</v>
      </c>
      <c r="D154" s="19" t="s">
        <v>501</v>
      </c>
      <c r="E154" s="15" t="s">
        <v>21</v>
      </c>
      <c r="F154" s="15" t="str">
        <f t="shared" si="17"/>
        <v>A140</v>
      </c>
      <c r="G154" s="19" t="s">
        <v>266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</row>
    <row r="155" ht="14.25" customHeight="1">
      <c r="A155" s="15">
        <f t="shared" si="14"/>
        <v>154</v>
      </c>
      <c r="B155" s="15" t="str">
        <f t="shared" si="15"/>
        <v>A154</v>
      </c>
      <c r="C155" s="10" t="s">
        <v>269</v>
      </c>
      <c r="D155" s="19" t="s">
        <v>502</v>
      </c>
      <c r="E155" s="15" t="s">
        <v>21</v>
      </c>
      <c r="F155" s="15" t="str">
        <f t="shared" si="17"/>
        <v>A140</v>
      </c>
      <c r="G155" s="19" t="s">
        <v>266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</row>
    <row r="156" ht="14.25" customHeight="1">
      <c r="A156" s="15">
        <v>155.0</v>
      </c>
      <c r="B156" s="15" t="s">
        <v>504</v>
      </c>
      <c r="C156" s="10" t="s">
        <v>189</v>
      </c>
      <c r="D156" s="19" t="s">
        <v>274</v>
      </c>
      <c r="E156" s="15" t="s">
        <v>21</v>
      </c>
      <c r="F156" s="59" t="s">
        <v>505</v>
      </c>
      <c r="G156" s="64" t="s">
        <v>193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</row>
    <row r="157" ht="14.25" customHeight="1">
      <c r="A157" s="7">
        <f t="shared" ref="A157:A231" si="18">ROW()-1</f>
        <v>156</v>
      </c>
      <c r="B157" s="7" t="str">
        <f t="shared" ref="B157:B231" si="19">CONCATENATE("A",IF(A157&lt;=9,0,),A157)</f>
        <v>A156</v>
      </c>
      <c r="C157" s="8" t="s">
        <v>280</v>
      </c>
      <c r="D157" s="17" t="s">
        <v>281</v>
      </c>
      <c r="E157" s="7" t="s">
        <v>13</v>
      </c>
      <c r="F157" s="7" t="str">
        <f>$B$141</f>
        <v>A140</v>
      </c>
      <c r="G157" s="19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</row>
    <row r="158" ht="14.25" customHeight="1">
      <c r="A158" s="7">
        <f t="shared" si="18"/>
        <v>157</v>
      </c>
      <c r="B158" s="7" t="str">
        <f t="shared" si="19"/>
        <v>A157</v>
      </c>
      <c r="C158" s="8" t="s">
        <v>283</v>
      </c>
      <c r="D158" s="17"/>
      <c r="E158" s="7" t="s">
        <v>13</v>
      </c>
      <c r="F158" s="7" t="str">
        <f>$B$157</f>
        <v>A156</v>
      </c>
      <c r="G158" s="54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</row>
    <row r="159" ht="14.25" customHeight="1">
      <c r="A159" s="15">
        <f t="shared" si="18"/>
        <v>158</v>
      </c>
      <c r="B159" s="15" t="str">
        <f t="shared" si="19"/>
        <v>A158</v>
      </c>
      <c r="C159" s="10" t="s">
        <v>506</v>
      </c>
      <c r="D159" s="19" t="s">
        <v>288</v>
      </c>
      <c r="E159" s="15" t="s">
        <v>21</v>
      </c>
      <c r="F159" s="15" t="str">
        <f t="shared" ref="F159:F160" si="20">$B$158</f>
        <v>A157</v>
      </c>
      <c r="G159" s="21" t="s">
        <v>507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</row>
    <row r="160" ht="14.25" customHeight="1">
      <c r="A160" s="15">
        <f t="shared" si="18"/>
        <v>159</v>
      </c>
      <c r="B160" s="15" t="str">
        <f t="shared" si="19"/>
        <v>A159</v>
      </c>
      <c r="C160" s="10" t="s">
        <v>509</v>
      </c>
      <c r="D160" s="19" t="s">
        <v>292</v>
      </c>
      <c r="E160" s="15" t="s">
        <v>21</v>
      </c>
      <c r="F160" s="15" t="str">
        <f t="shared" si="20"/>
        <v>A157</v>
      </c>
      <c r="G160" s="21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</row>
    <row r="161" ht="14.25" customHeight="1">
      <c r="A161" s="7">
        <f t="shared" si="18"/>
        <v>160</v>
      </c>
      <c r="B161" s="7" t="str">
        <f t="shared" si="19"/>
        <v>A160</v>
      </c>
      <c r="C161" s="8" t="s">
        <v>510</v>
      </c>
      <c r="D161" s="17"/>
      <c r="E161" s="7" t="s">
        <v>13</v>
      </c>
      <c r="F161" s="7" t="str">
        <f>$B$2</f>
        <v>A01</v>
      </c>
      <c r="G161" s="21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</row>
    <row r="162" ht="12.75" customHeight="1">
      <c r="A162" s="7">
        <f t="shared" si="18"/>
        <v>161</v>
      </c>
      <c r="B162" s="7" t="str">
        <f t="shared" si="19"/>
        <v>A161</v>
      </c>
      <c r="C162" s="8" t="s">
        <v>511</v>
      </c>
      <c r="D162" s="17"/>
      <c r="E162" s="7" t="s">
        <v>13</v>
      </c>
      <c r="F162" s="7" t="str">
        <f>$B$161</f>
        <v>A160</v>
      </c>
      <c r="G162" s="17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</row>
    <row r="163" ht="12.75" customHeight="1">
      <c r="A163" s="15">
        <f t="shared" si="18"/>
        <v>162</v>
      </c>
      <c r="B163" s="15" t="str">
        <f t="shared" si="19"/>
        <v>A162</v>
      </c>
      <c r="C163" s="10" t="s">
        <v>512</v>
      </c>
      <c r="D163" s="19" t="s">
        <v>513</v>
      </c>
      <c r="E163" s="15" t="s">
        <v>21</v>
      </c>
      <c r="F163" s="15" t="str">
        <f t="shared" ref="F163:F166" si="21">$B$162</f>
        <v>A161</v>
      </c>
      <c r="G163" s="21" t="s">
        <v>514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</row>
    <row r="164" ht="12.75" customHeight="1">
      <c r="A164" s="15">
        <f t="shared" si="18"/>
        <v>163</v>
      </c>
      <c r="B164" s="15" t="str">
        <f t="shared" si="19"/>
        <v>A163</v>
      </c>
      <c r="C164" s="10" t="s">
        <v>515</v>
      </c>
      <c r="D164" s="19" t="s">
        <v>516</v>
      </c>
      <c r="E164" s="15" t="s">
        <v>21</v>
      </c>
      <c r="F164" s="15" t="str">
        <f t="shared" si="21"/>
        <v>A161</v>
      </c>
      <c r="G164" s="19" t="s">
        <v>517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</row>
    <row r="165" ht="12.75" customHeight="1">
      <c r="A165" s="15">
        <f t="shared" si="18"/>
        <v>164</v>
      </c>
      <c r="B165" s="15" t="str">
        <f t="shared" si="19"/>
        <v>A164</v>
      </c>
      <c r="C165" s="10" t="s">
        <v>518</v>
      </c>
      <c r="D165" s="19" t="s">
        <v>519</v>
      </c>
      <c r="E165" s="15" t="s">
        <v>21</v>
      </c>
      <c r="F165" s="15" t="str">
        <f t="shared" si="21"/>
        <v>A161</v>
      </c>
      <c r="G165" s="19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67"/>
      <c r="W165" s="67"/>
      <c r="X165" s="67"/>
      <c r="Y165" s="67"/>
      <c r="Z165" s="67"/>
    </row>
    <row r="166" ht="12.75" customHeight="1">
      <c r="A166" s="15">
        <f t="shared" si="18"/>
        <v>165</v>
      </c>
      <c r="B166" s="15" t="str">
        <f t="shared" si="19"/>
        <v>A165</v>
      </c>
      <c r="C166" s="10" t="s">
        <v>521</v>
      </c>
      <c r="D166" s="19" t="s">
        <v>522</v>
      </c>
      <c r="E166" s="15" t="s">
        <v>21</v>
      </c>
      <c r="F166" s="15" t="str">
        <f t="shared" si="21"/>
        <v>A161</v>
      </c>
      <c r="G166" s="64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60"/>
      <c r="W166" s="60"/>
      <c r="X166" s="60"/>
      <c r="Y166" s="60"/>
      <c r="Z166" s="60"/>
    </row>
    <row r="167" ht="14.25" customHeight="1">
      <c r="A167" s="7">
        <f t="shared" si="18"/>
        <v>166</v>
      </c>
      <c r="B167" s="7" t="str">
        <f t="shared" si="19"/>
        <v>A166</v>
      </c>
      <c r="C167" s="8" t="s">
        <v>523</v>
      </c>
      <c r="D167" s="17"/>
      <c r="E167" s="7" t="s">
        <v>13</v>
      </c>
      <c r="F167" s="7" t="str">
        <f>$B$2</f>
        <v>A01</v>
      </c>
      <c r="G167" s="19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</row>
    <row r="168" ht="14.25" customHeight="1">
      <c r="A168" s="7">
        <f t="shared" si="18"/>
        <v>167</v>
      </c>
      <c r="B168" s="7" t="str">
        <f t="shared" si="19"/>
        <v>A167</v>
      </c>
      <c r="C168" s="8" t="s">
        <v>198</v>
      </c>
      <c r="D168" s="17"/>
      <c r="E168" s="7" t="s">
        <v>13</v>
      </c>
      <c r="F168" s="7" t="str">
        <f>$B$167</f>
        <v>A166</v>
      </c>
      <c r="G168" s="17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</row>
    <row r="169" ht="12.75" customHeight="1">
      <c r="A169" s="15">
        <f t="shared" si="18"/>
        <v>168</v>
      </c>
      <c r="B169" s="15" t="str">
        <f t="shared" si="19"/>
        <v>A168</v>
      </c>
      <c r="C169" s="10" t="s">
        <v>526</v>
      </c>
      <c r="D169" s="19" t="s">
        <v>527</v>
      </c>
      <c r="E169" s="15" t="s">
        <v>21</v>
      </c>
      <c r="F169" s="15" t="str">
        <f t="shared" ref="F169:F194" si="22">$B$168</f>
        <v>A167</v>
      </c>
      <c r="G169" s="19" t="s">
        <v>528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</row>
    <row r="170" ht="12.75" customHeight="1">
      <c r="A170" s="15">
        <f t="shared" si="18"/>
        <v>169</v>
      </c>
      <c r="B170" s="15" t="str">
        <f t="shared" si="19"/>
        <v>A169</v>
      </c>
      <c r="C170" s="10" t="s">
        <v>529</v>
      </c>
      <c r="D170" s="19" t="s">
        <v>530</v>
      </c>
      <c r="E170" s="15" t="s">
        <v>21</v>
      </c>
      <c r="F170" s="15" t="str">
        <f t="shared" si="22"/>
        <v>A167</v>
      </c>
      <c r="G170" s="19" t="s">
        <v>531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</row>
    <row r="171" ht="12.75" customHeight="1">
      <c r="A171" s="15">
        <f t="shared" si="18"/>
        <v>170</v>
      </c>
      <c r="B171" s="15" t="str">
        <f t="shared" si="19"/>
        <v>A170</v>
      </c>
      <c r="C171" s="10" t="s">
        <v>532</v>
      </c>
      <c r="D171" s="19" t="s">
        <v>533</v>
      </c>
      <c r="E171" s="15" t="s">
        <v>21</v>
      </c>
      <c r="F171" s="15" t="str">
        <f t="shared" si="22"/>
        <v>A167</v>
      </c>
      <c r="G171" s="64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</row>
    <row r="172" ht="12.75" customHeight="1">
      <c r="A172" s="15">
        <f t="shared" si="18"/>
        <v>171</v>
      </c>
      <c r="B172" s="15" t="str">
        <f t="shared" si="19"/>
        <v>A171</v>
      </c>
      <c r="C172" s="10" t="s">
        <v>534</v>
      </c>
      <c r="D172" s="19" t="s">
        <v>535</v>
      </c>
      <c r="E172" s="15" t="s">
        <v>21</v>
      </c>
      <c r="F172" s="15" t="str">
        <f t="shared" si="22"/>
        <v>A167</v>
      </c>
      <c r="G172" s="19" t="s">
        <v>147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</row>
    <row r="173" ht="12.75" customHeight="1">
      <c r="A173" s="15">
        <f t="shared" si="18"/>
        <v>172</v>
      </c>
      <c r="B173" s="15" t="str">
        <f t="shared" si="19"/>
        <v>A172</v>
      </c>
      <c r="C173" s="10" t="s">
        <v>536</v>
      </c>
      <c r="D173" s="19" t="s">
        <v>537</v>
      </c>
      <c r="E173" s="15" t="s">
        <v>21</v>
      </c>
      <c r="F173" s="15" t="str">
        <f t="shared" si="22"/>
        <v>A167</v>
      </c>
      <c r="G173" s="19" t="s">
        <v>147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</row>
    <row r="174" ht="12.75" customHeight="1">
      <c r="A174" s="15">
        <f t="shared" si="18"/>
        <v>173</v>
      </c>
      <c r="B174" s="15" t="str">
        <f t="shared" si="19"/>
        <v>A173</v>
      </c>
      <c r="C174" s="10" t="s">
        <v>538</v>
      </c>
      <c r="D174" s="19" t="s">
        <v>539</v>
      </c>
      <c r="E174" s="15" t="s">
        <v>21</v>
      </c>
      <c r="F174" s="15" t="str">
        <f t="shared" si="22"/>
        <v>A167</v>
      </c>
      <c r="G174" s="19" t="s">
        <v>154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</row>
    <row r="175" ht="12.75" customHeight="1">
      <c r="A175" s="15">
        <f t="shared" si="18"/>
        <v>174</v>
      </c>
      <c r="B175" s="15" t="str">
        <f t="shared" si="19"/>
        <v>A174</v>
      </c>
      <c r="C175" s="10" t="s">
        <v>541</v>
      </c>
      <c r="D175" s="19" t="s">
        <v>542</v>
      </c>
      <c r="E175" s="15" t="s">
        <v>21</v>
      </c>
      <c r="F175" s="15" t="str">
        <f t="shared" si="22"/>
        <v>A167</v>
      </c>
      <c r="G175" s="19" t="s">
        <v>147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</row>
    <row r="176" ht="12.75" customHeight="1">
      <c r="A176" s="15">
        <f t="shared" si="18"/>
        <v>175</v>
      </c>
      <c r="B176" s="15" t="str">
        <f t="shared" si="19"/>
        <v>A175</v>
      </c>
      <c r="C176" s="10" t="s">
        <v>543</v>
      </c>
      <c r="D176" s="19" t="s">
        <v>544</v>
      </c>
      <c r="E176" s="15" t="s">
        <v>21</v>
      </c>
      <c r="F176" s="15" t="str">
        <f t="shared" si="22"/>
        <v>A167</v>
      </c>
      <c r="G176" s="19" t="s">
        <v>147</v>
      </c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</row>
    <row r="177" ht="14.25" customHeight="1">
      <c r="A177" s="15">
        <f t="shared" si="18"/>
        <v>176</v>
      </c>
      <c r="B177" s="15" t="str">
        <f t="shared" si="19"/>
        <v>A176</v>
      </c>
      <c r="C177" s="10" t="s">
        <v>545</v>
      </c>
      <c r="D177" s="19" t="s">
        <v>546</v>
      </c>
      <c r="E177" s="15" t="s">
        <v>21</v>
      </c>
      <c r="F177" s="15" t="str">
        <f t="shared" si="22"/>
        <v>A167</v>
      </c>
      <c r="G177" s="19" t="s">
        <v>547</v>
      </c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</row>
    <row r="178" ht="12.75" customHeight="1">
      <c r="A178" s="15">
        <f t="shared" si="18"/>
        <v>177</v>
      </c>
      <c r="B178" s="15" t="str">
        <f t="shared" si="19"/>
        <v>A177</v>
      </c>
      <c r="C178" s="10" t="s">
        <v>549</v>
      </c>
      <c r="D178" s="19" t="s">
        <v>550</v>
      </c>
      <c r="E178" s="15" t="s">
        <v>21</v>
      </c>
      <c r="F178" s="15" t="str">
        <f t="shared" si="22"/>
        <v>A167</v>
      </c>
      <c r="G178" s="19" t="s">
        <v>147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</row>
    <row r="179" ht="12.75" customHeight="1">
      <c r="A179" s="15">
        <f t="shared" si="18"/>
        <v>178</v>
      </c>
      <c r="B179" s="15" t="str">
        <f t="shared" si="19"/>
        <v>A178</v>
      </c>
      <c r="C179" s="10" t="s">
        <v>552</v>
      </c>
      <c r="D179" s="19" t="s">
        <v>553</v>
      </c>
      <c r="E179" s="15" t="s">
        <v>21</v>
      </c>
      <c r="F179" s="15" t="str">
        <f t="shared" si="22"/>
        <v>A167</v>
      </c>
      <c r="G179" s="19" t="s">
        <v>554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</row>
    <row r="180" ht="14.25" customHeight="1">
      <c r="A180" s="15">
        <f t="shared" si="18"/>
        <v>179</v>
      </c>
      <c r="B180" s="15" t="str">
        <f t="shared" si="19"/>
        <v>A179</v>
      </c>
      <c r="C180" s="10" t="s">
        <v>555</v>
      </c>
      <c r="D180" s="19" t="s">
        <v>556</v>
      </c>
      <c r="E180" s="15" t="s">
        <v>21</v>
      </c>
      <c r="F180" s="15" t="str">
        <f t="shared" si="22"/>
        <v>A167</v>
      </c>
      <c r="G180" s="19" t="s">
        <v>147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</row>
    <row r="181" ht="12.75" customHeight="1">
      <c r="A181" s="15">
        <f t="shared" si="18"/>
        <v>180</v>
      </c>
      <c r="B181" s="15" t="str">
        <f t="shared" si="19"/>
        <v>A180</v>
      </c>
      <c r="C181" s="10" t="s">
        <v>557</v>
      </c>
      <c r="D181" s="19" t="s">
        <v>558</v>
      </c>
      <c r="E181" s="15" t="s">
        <v>21</v>
      </c>
      <c r="F181" s="15" t="str">
        <f t="shared" si="22"/>
        <v>A167</v>
      </c>
      <c r="G181" s="19" t="s">
        <v>147</v>
      </c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</row>
    <row r="182" ht="12.75" customHeight="1">
      <c r="A182" s="15">
        <f t="shared" si="18"/>
        <v>181</v>
      </c>
      <c r="B182" s="15" t="str">
        <f t="shared" si="19"/>
        <v>A181</v>
      </c>
      <c r="C182" s="10" t="s">
        <v>560</v>
      </c>
      <c r="D182" s="19" t="s">
        <v>561</v>
      </c>
      <c r="E182" s="15" t="s">
        <v>21</v>
      </c>
      <c r="F182" s="15" t="str">
        <f t="shared" si="22"/>
        <v>A167</v>
      </c>
      <c r="G182" s="19" t="s">
        <v>147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</row>
    <row r="183" ht="12.75" customHeight="1">
      <c r="A183" s="15">
        <f t="shared" si="18"/>
        <v>182</v>
      </c>
      <c r="B183" s="15" t="str">
        <f t="shared" si="19"/>
        <v>A182</v>
      </c>
      <c r="C183" s="10" t="s">
        <v>563</v>
      </c>
      <c r="D183" s="19" t="s">
        <v>564</v>
      </c>
      <c r="E183" s="15" t="s">
        <v>21</v>
      </c>
      <c r="F183" s="15" t="str">
        <f t="shared" si="22"/>
        <v>A167</v>
      </c>
      <c r="G183" s="19" t="s">
        <v>147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</row>
    <row r="184" ht="12.75" customHeight="1">
      <c r="A184" s="15">
        <f t="shared" si="18"/>
        <v>183</v>
      </c>
      <c r="B184" s="15" t="str">
        <f t="shared" si="19"/>
        <v>A183</v>
      </c>
      <c r="C184" s="10" t="s">
        <v>565</v>
      </c>
      <c r="D184" s="19" t="s">
        <v>566</v>
      </c>
      <c r="E184" s="15" t="s">
        <v>21</v>
      </c>
      <c r="F184" s="15" t="str">
        <f t="shared" si="22"/>
        <v>A167</v>
      </c>
      <c r="G184" s="19" t="s">
        <v>147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</row>
    <row r="185" ht="12.75" customHeight="1">
      <c r="A185" s="15">
        <f t="shared" si="18"/>
        <v>184</v>
      </c>
      <c r="B185" s="15" t="str">
        <f t="shared" si="19"/>
        <v>A184</v>
      </c>
      <c r="C185" s="10" t="s">
        <v>568</v>
      </c>
      <c r="D185" s="19" t="s">
        <v>569</v>
      </c>
      <c r="E185" s="15" t="s">
        <v>21</v>
      </c>
      <c r="F185" s="15" t="str">
        <f t="shared" si="22"/>
        <v>A167</v>
      </c>
      <c r="G185" s="19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</row>
    <row r="186" ht="14.25" customHeight="1">
      <c r="A186" s="15">
        <f t="shared" si="18"/>
        <v>185</v>
      </c>
      <c r="B186" s="15" t="str">
        <f t="shared" si="19"/>
        <v>A185</v>
      </c>
      <c r="C186" s="10" t="s">
        <v>570</v>
      </c>
      <c r="D186" s="19" t="s">
        <v>571</v>
      </c>
      <c r="E186" s="15" t="s">
        <v>21</v>
      </c>
      <c r="F186" s="15" t="str">
        <f t="shared" si="22"/>
        <v>A167</v>
      </c>
      <c r="G186" s="19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</row>
    <row r="187" ht="12.75" customHeight="1">
      <c r="A187" s="15">
        <f t="shared" si="18"/>
        <v>186</v>
      </c>
      <c r="B187" s="15" t="str">
        <f t="shared" si="19"/>
        <v>A186</v>
      </c>
      <c r="C187" s="10" t="s">
        <v>573</v>
      </c>
      <c r="D187" s="19" t="s">
        <v>574</v>
      </c>
      <c r="E187" s="15" t="s">
        <v>21</v>
      </c>
      <c r="F187" s="15" t="str">
        <f t="shared" si="22"/>
        <v>A167</v>
      </c>
      <c r="G187" s="19" t="s">
        <v>575</v>
      </c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</row>
    <row r="188" ht="12.75" customHeight="1">
      <c r="A188" s="15">
        <f t="shared" si="18"/>
        <v>187</v>
      </c>
      <c r="B188" s="15" t="str">
        <f t="shared" si="19"/>
        <v>A187</v>
      </c>
      <c r="C188" s="10" t="s">
        <v>577</v>
      </c>
      <c r="D188" s="19" t="s">
        <v>578</v>
      </c>
      <c r="E188" s="15" t="s">
        <v>21</v>
      </c>
      <c r="F188" s="15" t="str">
        <f t="shared" si="22"/>
        <v>A167</v>
      </c>
      <c r="G188" s="19" t="s">
        <v>579</v>
      </c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</row>
    <row r="189" ht="12.75" customHeight="1">
      <c r="A189" s="15">
        <f t="shared" si="18"/>
        <v>188</v>
      </c>
      <c r="B189" s="15" t="str">
        <f t="shared" si="19"/>
        <v>A188</v>
      </c>
      <c r="C189" s="10" t="s">
        <v>580</v>
      </c>
      <c r="D189" s="19" t="s">
        <v>581</v>
      </c>
      <c r="E189" s="15" t="s">
        <v>21</v>
      </c>
      <c r="F189" s="15" t="str">
        <f t="shared" si="22"/>
        <v>A167</v>
      </c>
      <c r="G189" s="19" t="s">
        <v>147</v>
      </c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</row>
    <row r="190" ht="12.75" customHeight="1">
      <c r="A190" s="15">
        <f t="shared" si="18"/>
        <v>189</v>
      </c>
      <c r="B190" s="15" t="str">
        <f t="shared" si="19"/>
        <v>A189</v>
      </c>
      <c r="C190" s="10" t="s">
        <v>582</v>
      </c>
      <c r="D190" s="19" t="s">
        <v>583</v>
      </c>
      <c r="E190" s="15" t="s">
        <v>21</v>
      </c>
      <c r="F190" s="15" t="str">
        <f t="shared" si="22"/>
        <v>A167</v>
      </c>
      <c r="G190" s="19" t="s">
        <v>584</v>
      </c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</row>
    <row r="191" ht="12.75" customHeight="1">
      <c r="A191" s="15">
        <f t="shared" si="18"/>
        <v>190</v>
      </c>
      <c r="B191" s="15" t="str">
        <f t="shared" si="19"/>
        <v>A190</v>
      </c>
      <c r="C191" s="10" t="s">
        <v>585</v>
      </c>
      <c r="D191" s="19" t="s">
        <v>586</v>
      </c>
      <c r="E191" s="15" t="s">
        <v>21</v>
      </c>
      <c r="F191" s="15" t="str">
        <f t="shared" si="22"/>
        <v>A167</v>
      </c>
      <c r="G191" s="19" t="s">
        <v>147</v>
      </c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</row>
    <row r="192" ht="12.75" customHeight="1">
      <c r="A192" s="15">
        <f t="shared" si="18"/>
        <v>191</v>
      </c>
      <c r="B192" s="15" t="str">
        <f t="shared" si="19"/>
        <v>A191</v>
      </c>
      <c r="C192" s="10" t="s">
        <v>588</v>
      </c>
      <c r="D192" s="19" t="s">
        <v>589</v>
      </c>
      <c r="E192" s="15" t="s">
        <v>21</v>
      </c>
      <c r="F192" s="15" t="str">
        <f t="shared" si="22"/>
        <v>A167</v>
      </c>
      <c r="G192" s="19" t="s">
        <v>147</v>
      </c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</row>
    <row r="193" ht="12.75" customHeight="1">
      <c r="A193" s="15">
        <f t="shared" si="18"/>
        <v>192</v>
      </c>
      <c r="B193" s="15" t="str">
        <f t="shared" si="19"/>
        <v>A192</v>
      </c>
      <c r="C193" s="10" t="s">
        <v>592</v>
      </c>
      <c r="D193" s="19" t="s">
        <v>593</v>
      </c>
      <c r="E193" s="15" t="s">
        <v>21</v>
      </c>
      <c r="F193" s="15" t="str">
        <f t="shared" si="22"/>
        <v>A167</v>
      </c>
      <c r="G193" s="19" t="s">
        <v>594</v>
      </c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</row>
    <row r="194" ht="12.75" customHeight="1">
      <c r="A194" s="10">
        <f t="shared" si="18"/>
        <v>193</v>
      </c>
      <c r="B194" s="10" t="str">
        <f t="shared" si="19"/>
        <v>A193</v>
      </c>
      <c r="C194" s="10" t="s">
        <v>595</v>
      </c>
      <c r="D194" s="10" t="s">
        <v>596</v>
      </c>
      <c r="E194" s="10" t="s">
        <v>21</v>
      </c>
      <c r="F194" s="10" t="str">
        <f t="shared" si="22"/>
        <v>A167</v>
      </c>
      <c r="G194" s="10" t="s">
        <v>597</v>
      </c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</row>
    <row r="195" ht="30.75" customHeight="1">
      <c r="A195" s="7">
        <f t="shared" si="18"/>
        <v>194</v>
      </c>
      <c r="B195" s="7" t="str">
        <f t="shared" si="19"/>
        <v>A194</v>
      </c>
      <c r="C195" s="8" t="s">
        <v>453</v>
      </c>
      <c r="D195" s="17"/>
      <c r="E195" s="7" t="s">
        <v>13</v>
      </c>
      <c r="F195" s="7" t="str">
        <f>$B$167</f>
        <v>A166</v>
      </c>
      <c r="G195" s="19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</row>
    <row r="196" ht="12.75" customHeight="1">
      <c r="A196" s="15">
        <f t="shared" si="18"/>
        <v>195</v>
      </c>
      <c r="B196" s="15" t="str">
        <f t="shared" si="19"/>
        <v>A195</v>
      </c>
      <c r="C196" s="10" t="s">
        <v>602</v>
      </c>
      <c r="D196" s="19" t="s">
        <v>603</v>
      </c>
      <c r="E196" s="15" t="s">
        <v>21</v>
      </c>
      <c r="F196" s="15" t="str">
        <f t="shared" ref="F196:F197" si="23">$B$195</f>
        <v>A194</v>
      </c>
      <c r="G196" s="19" t="s">
        <v>528</v>
      </c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</row>
    <row r="197" ht="12.75" customHeight="1">
      <c r="A197" s="15">
        <f t="shared" si="18"/>
        <v>196</v>
      </c>
      <c r="B197" s="15" t="str">
        <f t="shared" si="19"/>
        <v>A196</v>
      </c>
      <c r="C197" s="10" t="s">
        <v>549</v>
      </c>
      <c r="D197" s="19" t="s">
        <v>550</v>
      </c>
      <c r="E197" s="15" t="s">
        <v>21</v>
      </c>
      <c r="F197" s="15" t="str">
        <f t="shared" si="23"/>
        <v>A194</v>
      </c>
      <c r="G197" s="19" t="s">
        <v>147</v>
      </c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</row>
    <row r="198" ht="12.75" customHeight="1">
      <c r="A198" s="7">
        <f t="shared" si="18"/>
        <v>197</v>
      </c>
      <c r="B198" s="7" t="str">
        <f t="shared" si="19"/>
        <v>A197</v>
      </c>
      <c r="C198" s="8" t="s">
        <v>490</v>
      </c>
      <c r="D198" s="17"/>
      <c r="E198" s="7" t="s">
        <v>13</v>
      </c>
      <c r="F198" s="7" t="str">
        <f>$B$167</f>
        <v>A166</v>
      </c>
      <c r="G198" s="19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</row>
    <row r="199" ht="12.75" customHeight="1">
      <c r="A199" s="15">
        <f t="shared" si="18"/>
        <v>198</v>
      </c>
      <c r="B199" s="15" t="str">
        <f t="shared" si="19"/>
        <v>A198</v>
      </c>
      <c r="C199" s="10" t="s">
        <v>608</v>
      </c>
      <c r="D199" s="19" t="s">
        <v>609</v>
      </c>
      <c r="E199" s="15" t="s">
        <v>21</v>
      </c>
      <c r="F199" s="15" t="str">
        <f t="shared" ref="F199:F202" si="24">$B$198</f>
        <v>A197</v>
      </c>
      <c r="G199" s="19" t="s">
        <v>528</v>
      </c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</row>
    <row r="200" ht="14.25" customHeight="1">
      <c r="A200" s="15">
        <f t="shared" si="18"/>
        <v>199</v>
      </c>
      <c r="B200" s="15" t="str">
        <f t="shared" si="19"/>
        <v>A199</v>
      </c>
      <c r="C200" s="10" t="s">
        <v>549</v>
      </c>
      <c r="D200" s="19" t="s">
        <v>550</v>
      </c>
      <c r="E200" s="15" t="s">
        <v>21</v>
      </c>
      <c r="F200" s="15" t="str">
        <f t="shared" si="24"/>
        <v>A197</v>
      </c>
      <c r="G200" s="19" t="s">
        <v>147</v>
      </c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</row>
    <row r="201" ht="12.75" customHeight="1">
      <c r="A201" s="15">
        <f t="shared" si="18"/>
        <v>200</v>
      </c>
      <c r="B201" s="15" t="str">
        <f t="shared" si="19"/>
        <v>A200</v>
      </c>
      <c r="C201" s="10" t="s">
        <v>545</v>
      </c>
      <c r="D201" s="19" t="s">
        <v>546</v>
      </c>
      <c r="E201" s="15" t="s">
        <v>21</v>
      </c>
      <c r="F201" s="15" t="str">
        <f t="shared" si="24"/>
        <v>A197</v>
      </c>
      <c r="G201" s="19" t="s">
        <v>547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</row>
    <row r="202" ht="12.75" customHeight="1">
      <c r="A202" s="15">
        <f t="shared" si="18"/>
        <v>201</v>
      </c>
      <c r="B202" s="15" t="str">
        <f t="shared" si="19"/>
        <v>A201</v>
      </c>
      <c r="C202" s="10" t="s">
        <v>570</v>
      </c>
      <c r="D202" s="19" t="s">
        <v>571</v>
      </c>
      <c r="E202" s="15" t="s">
        <v>21</v>
      </c>
      <c r="F202" s="15" t="str">
        <f t="shared" si="24"/>
        <v>A197</v>
      </c>
      <c r="G202" s="19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</row>
    <row r="203" ht="12.75" customHeight="1">
      <c r="A203" s="7">
        <f t="shared" si="18"/>
        <v>202</v>
      </c>
      <c r="B203" s="7" t="str">
        <f t="shared" si="19"/>
        <v>A202</v>
      </c>
      <c r="C203" s="8" t="s">
        <v>457</v>
      </c>
      <c r="D203" s="17"/>
      <c r="E203" s="7" t="s">
        <v>13</v>
      </c>
      <c r="F203" s="7" t="str">
        <f>$B$167</f>
        <v>A166</v>
      </c>
      <c r="G203" s="19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</row>
    <row r="204" ht="12.75" customHeight="1">
      <c r="A204" s="15">
        <f t="shared" si="18"/>
        <v>203</v>
      </c>
      <c r="B204" s="15" t="str">
        <f t="shared" si="19"/>
        <v>A203</v>
      </c>
      <c r="C204" s="10" t="s">
        <v>552</v>
      </c>
      <c r="D204" s="19" t="s">
        <v>611</v>
      </c>
      <c r="E204" s="15" t="s">
        <v>21</v>
      </c>
      <c r="F204" s="15" t="str">
        <f t="shared" ref="F204:F206" si="25">$B$203</f>
        <v>A202</v>
      </c>
      <c r="G204" s="19" t="s">
        <v>612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</row>
    <row r="205" ht="12.75" customHeight="1">
      <c r="A205" s="15">
        <f t="shared" si="18"/>
        <v>204</v>
      </c>
      <c r="B205" s="15" t="str">
        <f t="shared" si="19"/>
        <v>A204</v>
      </c>
      <c r="C205" s="10" t="s">
        <v>614</v>
      </c>
      <c r="D205" s="19" t="s">
        <v>615</v>
      </c>
      <c r="E205" s="15" t="s">
        <v>21</v>
      </c>
      <c r="F205" s="15" t="str">
        <f t="shared" si="25"/>
        <v>A202</v>
      </c>
      <c r="G205" s="19" t="s">
        <v>147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</row>
    <row r="206" ht="12.75" customHeight="1">
      <c r="A206" s="15">
        <f t="shared" si="18"/>
        <v>205</v>
      </c>
      <c r="B206" s="15" t="str">
        <f t="shared" si="19"/>
        <v>A205</v>
      </c>
      <c r="C206" s="10" t="s">
        <v>616</v>
      </c>
      <c r="D206" s="19" t="s">
        <v>617</v>
      </c>
      <c r="E206" s="15" t="s">
        <v>21</v>
      </c>
      <c r="F206" s="15" t="str">
        <f t="shared" si="25"/>
        <v>A202</v>
      </c>
      <c r="G206" s="19" t="s">
        <v>618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</row>
    <row r="207" ht="14.25" customHeight="1">
      <c r="A207" s="7">
        <f t="shared" si="18"/>
        <v>206</v>
      </c>
      <c r="B207" s="7" t="str">
        <f t="shared" si="19"/>
        <v>A206</v>
      </c>
      <c r="C207" s="8" t="s">
        <v>620</v>
      </c>
      <c r="D207" s="17"/>
      <c r="E207" s="7" t="s">
        <v>13</v>
      </c>
      <c r="F207" s="7" t="str">
        <f>$B$2</f>
        <v>A01</v>
      </c>
      <c r="G207" s="19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</row>
    <row r="208" ht="12.75" customHeight="1">
      <c r="A208" s="7">
        <f t="shared" si="18"/>
        <v>207</v>
      </c>
      <c r="B208" s="7" t="str">
        <f t="shared" si="19"/>
        <v>A207</v>
      </c>
      <c r="C208" s="8" t="s">
        <v>623</v>
      </c>
      <c r="D208" s="17"/>
      <c r="E208" s="7" t="s">
        <v>13</v>
      </c>
      <c r="F208" s="7" t="str">
        <f>$B$207</f>
        <v>A206</v>
      </c>
      <c r="G208" s="17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89"/>
      <c r="W208" s="89"/>
      <c r="X208" s="89"/>
      <c r="Y208" s="89"/>
      <c r="Z208" s="89"/>
    </row>
    <row r="209" ht="14.25" customHeight="1">
      <c r="A209" s="15">
        <f t="shared" si="18"/>
        <v>208</v>
      </c>
      <c r="B209" s="15" t="str">
        <f t="shared" si="19"/>
        <v>A208</v>
      </c>
      <c r="C209" s="10" t="s">
        <v>626</v>
      </c>
      <c r="D209" s="19" t="s">
        <v>627</v>
      </c>
      <c r="E209" s="15" t="s">
        <v>21</v>
      </c>
      <c r="F209" s="15" t="str">
        <f t="shared" ref="F209:F210" si="26">$B$208</f>
        <v>A207</v>
      </c>
      <c r="G209" s="19" t="s">
        <v>628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</row>
    <row r="210" ht="14.25" customHeight="1">
      <c r="A210" s="7">
        <f t="shared" si="18"/>
        <v>209</v>
      </c>
      <c r="B210" s="7" t="str">
        <f t="shared" si="19"/>
        <v>A209</v>
      </c>
      <c r="C210" s="8" t="s">
        <v>630</v>
      </c>
      <c r="D210" s="17" t="s">
        <v>631</v>
      </c>
      <c r="E210" s="7" t="s">
        <v>13</v>
      </c>
      <c r="F210" s="7" t="str">
        <f t="shared" si="26"/>
        <v>A207</v>
      </c>
      <c r="G210" s="19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89"/>
      <c r="W210" s="89"/>
      <c r="X210" s="89"/>
      <c r="Y210" s="89"/>
      <c r="Z210" s="89"/>
    </row>
    <row r="211" ht="14.25" customHeight="1">
      <c r="A211" s="7">
        <f t="shared" si="18"/>
        <v>210</v>
      </c>
      <c r="B211" s="7" t="str">
        <f t="shared" si="19"/>
        <v>A210</v>
      </c>
      <c r="C211" s="8" t="s">
        <v>635</v>
      </c>
      <c r="D211" s="17"/>
      <c r="E211" s="7" t="s">
        <v>13</v>
      </c>
      <c r="F211" s="7" t="str">
        <f>$B$210</f>
        <v>A209</v>
      </c>
      <c r="G211" s="19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89"/>
      <c r="W211" s="89"/>
      <c r="X211" s="89"/>
      <c r="Y211" s="89"/>
      <c r="Z211" s="89"/>
    </row>
    <row r="212" ht="14.25" customHeight="1">
      <c r="A212" s="15">
        <f t="shared" si="18"/>
        <v>211</v>
      </c>
      <c r="B212" s="15" t="str">
        <f t="shared" si="19"/>
        <v>A211</v>
      </c>
      <c r="C212" s="10" t="s">
        <v>637</v>
      </c>
      <c r="D212" s="19" t="s">
        <v>638</v>
      </c>
      <c r="E212" s="15" t="s">
        <v>21</v>
      </c>
      <c r="F212" s="15" t="str">
        <f>$B$211</f>
        <v>A210</v>
      </c>
      <c r="G212" s="19" t="s">
        <v>642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</row>
    <row r="213" ht="14.25" customHeight="1">
      <c r="A213" s="7">
        <f t="shared" si="18"/>
        <v>212</v>
      </c>
      <c r="B213" s="7" t="str">
        <f t="shared" si="19"/>
        <v>A212</v>
      </c>
      <c r="C213" s="8" t="s">
        <v>646</v>
      </c>
      <c r="D213" s="17" t="s">
        <v>647</v>
      </c>
      <c r="E213" s="7" t="s">
        <v>13</v>
      </c>
      <c r="F213" s="7" t="str">
        <f>$B$208</f>
        <v>A207</v>
      </c>
      <c r="G213" s="17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89"/>
      <c r="W213" s="89"/>
      <c r="X213" s="89"/>
      <c r="Y213" s="89"/>
      <c r="Z213" s="89"/>
    </row>
    <row r="214" ht="14.25" customHeight="1">
      <c r="A214" s="15">
        <f t="shared" si="18"/>
        <v>213</v>
      </c>
      <c r="B214" s="15" t="str">
        <f t="shared" si="19"/>
        <v>A213</v>
      </c>
      <c r="C214" s="10" t="s">
        <v>650</v>
      </c>
      <c r="D214" s="19" t="s">
        <v>652</v>
      </c>
      <c r="E214" s="15" t="s">
        <v>21</v>
      </c>
      <c r="F214" s="15" t="str">
        <f t="shared" ref="F214:F221" si="27">$B$213</f>
        <v>A212</v>
      </c>
      <c r="G214" s="19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</row>
    <row r="215" ht="14.25" customHeight="1">
      <c r="A215" s="15">
        <f t="shared" si="18"/>
        <v>214</v>
      </c>
      <c r="B215" s="15" t="str">
        <f t="shared" si="19"/>
        <v>A214</v>
      </c>
      <c r="C215" s="10" t="s">
        <v>655</v>
      </c>
      <c r="D215" s="19" t="s">
        <v>656</v>
      </c>
      <c r="E215" s="15" t="s">
        <v>21</v>
      </c>
      <c r="F215" s="15" t="str">
        <f t="shared" si="27"/>
        <v>A212</v>
      </c>
      <c r="G215" s="19" t="s">
        <v>147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</row>
    <row r="216" ht="14.25" customHeight="1">
      <c r="A216" s="15">
        <f t="shared" si="18"/>
        <v>215</v>
      </c>
      <c r="B216" s="15" t="str">
        <f t="shared" si="19"/>
        <v>A215</v>
      </c>
      <c r="C216" s="10" t="s">
        <v>659</v>
      </c>
      <c r="D216" s="19" t="s">
        <v>660</v>
      </c>
      <c r="E216" s="15" t="s">
        <v>21</v>
      </c>
      <c r="F216" s="15" t="str">
        <f t="shared" si="27"/>
        <v>A212</v>
      </c>
      <c r="G216" s="19" t="s">
        <v>147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</row>
    <row r="217" ht="65.25" customHeight="1">
      <c r="A217" s="15">
        <f t="shared" si="18"/>
        <v>216</v>
      </c>
      <c r="B217" s="15" t="str">
        <f t="shared" si="19"/>
        <v>A216</v>
      </c>
      <c r="C217" s="10" t="s">
        <v>663</v>
      </c>
      <c r="D217" s="19" t="s">
        <v>664</v>
      </c>
      <c r="E217" s="15" t="s">
        <v>21</v>
      </c>
      <c r="F217" s="15" t="str">
        <f t="shared" si="27"/>
        <v>A212</v>
      </c>
      <c r="G217" s="19" t="s">
        <v>665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</row>
    <row r="218" ht="14.25" customHeight="1">
      <c r="A218" s="15">
        <f t="shared" si="18"/>
        <v>217</v>
      </c>
      <c r="B218" s="15" t="str">
        <f t="shared" si="19"/>
        <v>A217</v>
      </c>
      <c r="C218" s="10" t="s">
        <v>668</v>
      </c>
      <c r="D218" s="19" t="s">
        <v>669</v>
      </c>
      <c r="E218" s="15" t="s">
        <v>21</v>
      </c>
      <c r="F218" s="15" t="str">
        <f t="shared" si="27"/>
        <v>A212</v>
      </c>
      <c r="G218" s="19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</row>
    <row r="219" ht="14.25" customHeight="1">
      <c r="A219" s="15">
        <f t="shared" si="18"/>
        <v>218</v>
      </c>
      <c r="B219" s="15" t="str">
        <f t="shared" si="19"/>
        <v>A218</v>
      </c>
      <c r="C219" s="10" t="s">
        <v>673</v>
      </c>
      <c r="D219" s="19" t="s">
        <v>675</v>
      </c>
      <c r="E219" s="15" t="s">
        <v>21</v>
      </c>
      <c r="F219" s="15" t="str">
        <f t="shared" si="27"/>
        <v>A212</v>
      </c>
      <c r="G219" s="19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</row>
    <row r="220" ht="14.25" customHeight="1">
      <c r="A220" s="15">
        <f t="shared" si="18"/>
        <v>219</v>
      </c>
      <c r="B220" s="15" t="str">
        <f t="shared" si="19"/>
        <v>A219</v>
      </c>
      <c r="C220" s="10" t="s">
        <v>677</v>
      </c>
      <c r="D220" s="19" t="s">
        <v>678</v>
      </c>
      <c r="E220" s="15" t="s">
        <v>21</v>
      </c>
      <c r="F220" s="15" t="str">
        <f t="shared" si="27"/>
        <v>A212</v>
      </c>
      <c r="G220" s="19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</row>
    <row r="221" ht="68.25" customHeight="1">
      <c r="A221" s="15">
        <f t="shared" si="18"/>
        <v>220</v>
      </c>
      <c r="B221" s="15" t="str">
        <f t="shared" si="19"/>
        <v>A220</v>
      </c>
      <c r="C221" s="10" t="s">
        <v>681</v>
      </c>
      <c r="D221" s="19" t="s">
        <v>682</v>
      </c>
      <c r="E221" s="15" t="s">
        <v>21</v>
      </c>
      <c r="F221" s="15" t="str">
        <f t="shared" si="27"/>
        <v>A212</v>
      </c>
      <c r="G221" s="19" t="s">
        <v>684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</row>
    <row r="222" ht="14.25" customHeight="1">
      <c r="A222" s="7">
        <f t="shared" si="18"/>
        <v>221</v>
      </c>
      <c r="B222" s="7" t="str">
        <f t="shared" si="19"/>
        <v>A221</v>
      </c>
      <c r="C222" s="8" t="s">
        <v>687</v>
      </c>
      <c r="D222" s="17" t="s">
        <v>689</v>
      </c>
      <c r="E222" s="7" t="s">
        <v>13</v>
      </c>
      <c r="F222" s="7" t="str">
        <f>$B$2</f>
        <v>A01</v>
      </c>
      <c r="G222" s="19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</row>
    <row r="223" ht="14.25" customHeight="1">
      <c r="A223" s="15">
        <f t="shared" si="18"/>
        <v>222</v>
      </c>
      <c r="B223" s="15" t="str">
        <f t="shared" si="19"/>
        <v>A222</v>
      </c>
      <c r="C223" s="10" t="s">
        <v>692</v>
      </c>
      <c r="D223" s="19" t="s">
        <v>693</v>
      </c>
      <c r="E223" s="15" t="s">
        <v>21</v>
      </c>
      <c r="F223" s="15" t="str">
        <f t="shared" ref="F223:F228" si="28">$B$222</f>
        <v>A221</v>
      </c>
      <c r="G223" s="19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</row>
    <row r="224" ht="14.25" customHeight="1">
      <c r="A224" s="15">
        <f t="shared" si="18"/>
        <v>223</v>
      </c>
      <c r="B224" s="15" t="str">
        <f t="shared" si="19"/>
        <v>A223</v>
      </c>
      <c r="C224" s="10" t="s">
        <v>699</v>
      </c>
      <c r="D224" s="19" t="s">
        <v>700</v>
      </c>
      <c r="E224" s="15" t="s">
        <v>21</v>
      </c>
      <c r="F224" s="15" t="str">
        <f t="shared" si="28"/>
        <v>A221</v>
      </c>
      <c r="G224" s="19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</row>
    <row r="225" ht="14.25" customHeight="1">
      <c r="A225" s="15">
        <f t="shared" si="18"/>
        <v>224</v>
      </c>
      <c r="B225" s="15" t="str">
        <f t="shared" si="19"/>
        <v>A224</v>
      </c>
      <c r="C225" s="10" t="s">
        <v>704</v>
      </c>
      <c r="D225" s="19" t="s">
        <v>705</v>
      </c>
      <c r="E225" s="15" t="s">
        <v>21</v>
      </c>
      <c r="F225" s="15" t="str">
        <f t="shared" si="28"/>
        <v>A221</v>
      </c>
      <c r="G225" s="19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</row>
    <row r="226" ht="14.25" customHeight="1">
      <c r="A226" s="15">
        <f t="shared" si="18"/>
        <v>225</v>
      </c>
      <c r="B226" s="15" t="str">
        <f t="shared" si="19"/>
        <v>A225</v>
      </c>
      <c r="C226" s="10" t="s">
        <v>706</v>
      </c>
      <c r="D226" s="19" t="s">
        <v>707</v>
      </c>
      <c r="E226" s="15" t="s">
        <v>21</v>
      </c>
      <c r="F226" s="15" t="str">
        <f t="shared" si="28"/>
        <v>A221</v>
      </c>
      <c r="G226" s="19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</row>
    <row r="227" ht="14.25" customHeight="1">
      <c r="A227" s="15">
        <f t="shared" si="18"/>
        <v>226</v>
      </c>
      <c r="B227" s="15" t="str">
        <f t="shared" si="19"/>
        <v>A226</v>
      </c>
      <c r="C227" s="10" t="s">
        <v>708</v>
      </c>
      <c r="D227" s="19" t="s">
        <v>709</v>
      </c>
      <c r="E227" s="15" t="s">
        <v>21</v>
      </c>
      <c r="F227" s="15" t="str">
        <f t="shared" si="28"/>
        <v>A221</v>
      </c>
      <c r="G227" s="19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</row>
    <row r="228" ht="14.25" customHeight="1">
      <c r="A228" s="15">
        <f t="shared" si="18"/>
        <v>227</v>
      </c>
      <c r="B228" s="15" t="str">
        <f t="shared" si="19"/>
        <v>A227</v>
      </c>
      <c r="C228" s="10" t="s">
        <v>710</v>
      </c>
      <c r="D228" s="19" t="s">
        <v>711</v>
      </c>
      <c r="E228" s="15" t="s">
        <v>21</v>
      </c>
      <c r="F228" s="15" t="str">
        <f t="shared" si="28"/>
        <v>A221</v>
      </c>
      <c r="G228" s="19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</row>
    <row r="229" ht="14.25" customHeight="1">
      <c r="A229" s="7">
        <f t="shared" si="18"/>
        <v>228</v>
      </c>
      <c r="B229" s="7" t="str">
        <f t="shared" si="19"/>
        <v>A228</v>
      </c>
      <c r="C229" s="8" t="s">
        <v>712</v>
      </c>
      <c r="D229" s="17" t="s">
        <v>713</v>
      </c>
      <c r="E229" s="7" t="s">
        <v>13</v>
      </c>
      <c r="F229" s="7" t="str">
        <f>$B$2</f>
        <v>A01</v>
      </c>
      <c r="G229" s="19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</row>
    <row r="230" ht="14.25" customHeight="1">
      <c r="A230" s="15">
        <f t="shared" si="18"/>
        <v>229</v>
      </c>
      <c r="B230" s="15" t="str">
        <f t="shared" si="19"/>
        <v>A229</v>
      </c>
      <c r="C230" s="10" t="s">
        <v>714</v>
      </c>
      <c r="D230" s="19" t="s">
        <v>716</v>
      </c>
      <c r="E230" s="15" t="s">
        <v>21</v>
      </c>
      <c r="F230" s="15" t="str">
        <f t="shared" ref="F230:F231" si="29">$B$229</f>
        <v>A228</v>
      </c>
      <c r="G230" s="19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</row>
    <row r="231" ht="14.25" customHeight="1">
      <c r="A231" s="15">
        <f t="shared" si="18"/>
        <v>230</v>
      </c>
      <c r="B231" s="15" t="str">
        <f t="shared" si="19"/>
        <v>A230</v>
      </c>
      <c r="C231" s="10" t="s">
        <v>718</v>
      </c>
      <c r="D231" s="19" t="s">
        <v>719</v>
      </c>
      <c r="E231" s="15" t="s">
        <v>21</v>
      </c>
      <c r="F231" s="15" t="str">
        <f t="shared" si="29"/>
        <v>A228</v>
      </c>
      <c r="G231" s="19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</row>
    <row r="232" ht="12.75" customHeight="1">
      <c r="A232" s="5"/>
      <c r="B232" s="5"/>
      <c r="C232" s="5"/>
      <c r="D232" s="22"/>
      <c r="E232" s="3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</row>
    <row r="233" ht="12.75" customHeight="1">
      <c r="A233" s="5"/>
      <c r="B233" s="5"/>
      <c r="C233" s="5"/>
      <c r="D233" s="22"/>
      <c r="E233" s="3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</row>
    <row r="234" ht="12.75" customHeight="1">
      <c r="A234" s="5"/>
      <c r="B234" s="5"/>
      <c r="C234" s="5"/>
      <c r="D234" s="22"/>
      <c r="E234" s="3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</row>
    <row r="235" ht="12.75" customHeight="1">
      <c r="A235" s="5"/>
      <c r="B235" s="5"/>
      <c r="C235" s="5"/>
      <c r="D235" s="22"/>
      <c r="E235" s="3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</row>
    <row r="236" ht="12.75" customHeight="1">
      <c r="A236" s="5"/>
      <c r="B236" s="5"/>
      <c r="C236" s="5"/>
      <c r="D236" s="22"/>
      <c r="E236" s="3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</row>
    <row r="237" ht="12.75" customHeight="1">
      <c r="A237" s="5"/>
      <c r="B237" s="5"/>
      <c r="C237" s="5"/>
      <c r="D237" s="22"/>
      <c r="E237" s="3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</row>
    <row r="238" ht="12.75" customHeight="1">
      <c r="A238" s="5"/>
      <c r="B238" s="5"/>
      <c r="C238" s="5"/>
      <c r="D238" s="22"/>
      <c r="E238" s="3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</row>
    <row r="239" ht="12.75" customHeight="1">
      <c r="A239" s="5"/>
      <c r="B239" s="5"/>
      <c r="C239" s="5"/>
      <c r="D239" s="22"/>
      <c r="E239" s="3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</row>
    <row r="240" ht="12.75" customHeight="1">
      <c r="A240" s="5"/>
      <c r="B240" s="5"/>
      <c r="C240" s="5"/>
      <c r="D240" s="22"/>
      <c r="E240" s="3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</row>
    <row r="241" ht="12.75" customHeight="1">
      <c r="A241" s="5"/>
      <c r="B241" s="5"/>
      <c r="C241" s="5"/>
      <c r="D241" s="22"/>
      <c r="E241" s="3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</row>
    <row r="242" ht="12.75" customHeight="1">
      <c r="A242" s="5"/>
      <c r="B242" s="5"/>
      <c r="C242" s="5"/>
      <c r="D242" s="22"/>
      <c r="E242" s="3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</row>
    <row r="243" ht="12.75" customHeight="1">
      <c r="A243" s="5"/>
      <c r="B243" s="5"/>
      <c r="C243" s="5"/>
      <c r="D243" s="22"/>
      <c r="E243" s="3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</row>
    <row r="244" ht="12.75" customHeight="1">
      <c r="A244" s="5"/>
      <c r="B244" s="5"/>
      <c r="C244" s="5"/>
      <c r="D244" s="22"/>
      <c r="E244" s="3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</row>
    <row r="245" ht="12.75" customHeight="1">
      <c r="A245" s="5"/>
      <c r="B245" s="5"/>
      <c r="C245" s="5"/>
      <c r="D245" s="22"/>
      <c r="E245" s="3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</row>
    <row r="246" ht="12.75" customHeight="1">
      <c r="A246" s="5"/>
      <c r="B246" s="5"/>
      <c r="C246" s="5"/>
      <c r="D246" s="22"/>
      <c r="E246" s="3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</row>
    <row r="247" ht="12.75" customHeight="1">
      <c r="A247" s="5"/>
      <c r="B247" s="5"/>
      <c r="C247" s="5"/>
      <c r="D247" s="22"/>
      <c r="E247" s="3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</row>
    <row r="248" ht="12.75" customHeight="1">
      <c r="A248" s="5"/>
      <c r="B248" s="5"/>
      <c r="C248" s="5"/>
      <c r="D248" s="22"/>
      <c r="E248" s="3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</row>
    <row r="249" ht="12.75" customHeight="1">
      <c r="A249" s="5"/>
      <c r="B249" s="5"/>
      <c r="C249" s="5"/>
      <c r="D249" s="22"/>
      <c r="E249" s="3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</row>
    <row r="250" ht="12.75" customHeight="1">
      <c r="A250" s="5"/>
      <c r="B250" s="5"/>
      <c r="C250" s="5"/>
      <c r="D250" s="22"/>
      <c r="E250" s="3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</row>
    <row r="251" ht="12.75" customHeight="1">
      <c r="A251" s="5"/>
      <c r="B251" s="5"/>
      <c r="C251" s="5"/>
      <c r="D251" s="22"/>
      <c r="E251" s="3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</row>
    <row r="252" ht="12.75" customHeight="1">
      <c r="A252" s="5"/>
      <c r="B252" s="5"/>
      <c r="C252" s="5"/>
      <c r="D252" s="22"/>
      <c r="E252" s="3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</row>
    <row r="253" ht="12.75" customHeight="1">
      <c r="A253" s="5"/>
      <c r="B253" s="5"/>
      <c r="C253" s="5"/>
      <c r="D253" s="22"/>
      <c r="E253" s="3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</row>
    <row r="254" ht="12.75" customHeight="1">
      <c r="A254" s="5"/>
      <c r="B254" s="5"/>
      <c r="C254" s="5"/>
      <c r="D254" s="22"/>
      <c r="E254" s="3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</row>
    <row r="255" ht="12.75" customHeight="1">
      <c r="A255" s="5"/>
      <c r="B255" s="5"/>
      <c r="C255" s="5"/>
      <c r="D255" s="22"/>
      <c r="E255" s="3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</row>
    <row r="256" ht="12.75" customHeight="1">
      <c r="A256" s="5"/>
      <c r="B256" s="5"/>
      <c r="C256" s="5"/>
      <c r="D256" s="22"/>
      <c r="E256" s="3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</row>
    <row r="257" ht="12.75" customHeight="1">
      <c r="A257" s="5"/>
      <c r="B257" s="5"/>
      <c r="C257" s="5"/>
      <c r="D257" s="22"/>
      <c r="E257" s="3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</row>
    <row r="258" ht="12.75" customHeight="1">
      <c r="A258" s="5"/>
      <c r="B258" s="5"/>
      <c r="C258" s="5"/>
      <c r="D258" s="22"/>
      <c r="E258" s="3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</row>
    <row r="259" ht="12.75" customHeight="1">
      <c r="A259" s="5"/>
      <c r="B259" s="5"/>
      <c r="C259" s="5"/>
      <c r="D259" s="22"/>
      <c r="E259" s="3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</row>
    <row r="260" ht="12.75" customHeight="1">
      <c r="A260" s="5"/>
      <c r="B260" s="5"/>
      <c r="C260" s="5"/>
      <c r="D260" s="22"/>
      <c r="E260" s="3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</row>
    <row r="261" ht="12.75" customHeight="1">
      <c r="A261" s="5"/>
      <c r="B261" s="5"/>
      <c r="C261" s="5"/>
      <c r="D261" s="22"/>
      <c r="E261" s="3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</row>
    <row r="262" ht="12.75" customHeight="1">
      <c r="A262" s="5"/>
      <c r="B262" s="5"/>
      <c r="C262" s="5"/>
      <c r="D262" s="22"/>
      <c r="E262" s="3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</row>
    <row r="263" ht="12.75" customHeight="1">
      <c r="A263" s="5"/>
      <c r="B263" s="5"/>
      <c r="C263" s="5"/>
      <c r="D263" s="22"/>
      <c r="E263" s="3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</row>
    <row r="264" ht="12.75" customHeight="1">
      <c r="A264" s="5"/>
      <c r="B264" s="5"/>
      <c r="C264" s="5"/>
      <c r="D264" s="22"/>
      <c r="E264" s="3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</row>
    <row r="265" ht="12.75" customHeight="1">
      <c r="A265" s="5"/>
      <c r="B265" s="5"/>
      <c r="C265" s="5"/>
      <c r="D265" s="22"/>
      <c r="E265" s="3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</row>
    <row r="266" ht="12.75" customHeight="1">
      <c r="A266" s="5"/>
      <c r="B266" s="5"/>
      <c r="C266" s="5"/>
      <c r="D266" s="22"/>
      <c r="E266" s="3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</row>
    <row r="267" ht="12.75" customHeight="1">
      <c r="A267" s="5"/>
      <c r="B267" s="5"/>
      <c r="C267" s="5"/>
      <c r="D267" s="22"/>
      <c r="E267" s="3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</row>
    <row r="268" ht="12.75" customHeight="1">
      <c r="A268" s="5"/>
      <c r="B268" s="5"/>
      <c r="C268" s="5"/>
      <c r="D268" s="22"/>
      <c r="E268" s="3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</row>
    <row r="269" ht="12.75" customHeight="1">
      <c r="A269" s="5"/>
      <c r="B269" s="5"/>
      <c r="C269" s="5"/>
      <c r="D269" s="22"/>
      <c r="E269" s="3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</row>
    <row r="270" ht="12.75" customHeight="1">
      <c r="A270" s="5"/>
      <c r="B270" s="5"/>
      <c r="C270" s="5"/>
      <c r="D270" s="22"/>
      <c r="E270" s="3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</row>
    <row r="271" ht="12.75" customHeight="1">
      <c r="A271" s="5"/>
      <c r="B271" s="5"/>
      <c r="C271" s="5"/>
      <c r="D271" s="22"/>
      <c r="E271" s="3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</row>
    <row r="272" ht="12.75" customHeight="1">
      <c r="A272" s="5"/>
      <c r="B272" s="5"/>
      <c r="C272" s="5"/>
      <c r="D272" s="22"/>
      <c r="E272" s="3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</row>
    <row r="273" ht="12.75" customHeight="1">
      <c r="A273" s="5"/>
      <c r="B273" s="5"/>
      <c r="C273" s="5"/>
      <c r="D273" s="22"/>
      <c r="E273" s="3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</row>
    <row r="274" ht="12.75" customHeight="1">
      <c r="A274" s="5"/>
      <c r="B274" s="5"/>
      <c r="C274" s="5"/>
      <c r="D274" s="22"/>
      <c r="E274" s="3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</row>
    <row r="275" ht="12.75" customHeight="1">
      <c r="A275" s="5"/>
      <c r="B275" s="5"/>
      <c r="C275" s="5"/>
      <c r="D275" s="22"/>
      <c r="E275" s="3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</row>
    <row r="276" ht="12.75" customHeight="1">
      <c r="A276" s="5"/>
      <c r="B276" s="5"/>
      <c r="C276" s="5"/>
      <c r="D276" s="22"/>
      <c r="E276" s="3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</row>
    <row r="277" ht="12.75" customHeight="1">
      <c r="A277" s="5"/>
      <c r="B277" s="5"/>
      <c r="C277" s="5"/>
      <c r="D277" s="22"/>
      <c r="E277" s="3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</row>
    <row r="278" ht="12.75" customHeight="1">
      <c r="A278" s="5"/>
      <c r="B278" s="5"/>
      <c r="C278" s="5"/>
      <c r="D278" s="22"/>
      <c r="E278" s="3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</row>
    <row r="279" ht="12.75" customHeight="1">
      <c r="A279" s="5"/>
      <c r="B279" s="5"/>
      <c r="C279" s="5"/>
      <c r="D279" s="22"/>
      <c r="E279" s="3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</row>
    <row r="280" ht="12.75" customHeight="1">
      <c r="A280" s="5"/>
      <c r="B280" s="5"/>
      <c r="C280" s="5"/>
      <c r="D280" s="22"/>
      <c r="E280" s="3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</row>
    <row r="281" ht="12.75" customHeight="1">
      <c r="A281" s="5"/>
      <c r="B281" s="5"/>
      <c r="C281" s="5"/>
      <c r="D281" s="22"/>
      <c r="E281" s="3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</row>
    <row r="282" ht="12.75" customHeight="1">
      <c r="A282" s="5"/>
      <c r="B282" s="5"/>
      <c r="C282" s="5"/>
      <c r="D282" s="22"/>
      <c r="E282" s="3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</row>
    <row r="283" ht="12.75" customHeight="1">
      <c r="A283" s="5"/>
      <c r="B283" s="5"/>
      <c r="C283" s="5"/>
      <c r="D283" s="22"/>
      <c r="E283" s="3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</row>
    <row r="284" ht="12.75" customHeight="1">
      <c r="A284" s="5"/>
      <c r="B284" s="5"/>
      <c r="C284" s="5"/>
      <c r="D284" s="22"/>
      <c r="E284" s="3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</row>
    <row r="285" ht="12.75" customHeight="1">
      <c r="A285" s="5"/>
      <c r="B285" s="5"/>
      <c r="C285" s="5"/>
      <c r="D285" s="22"/>
      <c r="E285" s="3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</row>
    <row r="286" ht="12.75" customHeight="1">
      <c r="A286" s="5"/>
      <c r="B286" s="5"/>
      <c r="C286" s="5"/>
      <c r="D286" s="22"/>
      <c r="E286" s="3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</row>
    <row r="287" ht="12.75" customHeight="1">
      <c r="A287" s="5"/>
      <c r="B287" s="5"/>
      <c r="C287" s="5"/>
      <c r="D287" s="22"/>
      <c r="E287" s="3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</row>
    <row r="288" ht="12.75" customHeight="1">
      <c r="A288" s="5"/>
      <c r="B288" s="5"/>
      <c r="C288" s="5"/>
      <c r="D288" s="22"/>
      <c r="E288" s="3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</row>
    <row r="289" ht="12.75" customHeight="1">
      <c r="A289" s="5"/>
      <c r="B289" s="5"/>
      <c r="C289" s="5"/>
      <c r="D289" s="22"/>
      <c r="E289" s="3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</row>
    <row r="290" ht="12.75" customHeight="1">
      <c r="A290" s="5"/>
      <c r="B290" s="5"/>
      <c r="C290" s="5"/>
      <c r="D290" s="22"/>
      <c r="E290" s="3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</row>
    <row r="291" ht="12.75" customHeight="1">
      <c r="A291" s="5"/>
      <c r="B291" s="5"/>
      <c r="C291" s="5"/>
      <c r="D291" s="22"/>
      <c r="E291" s="3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</row>
    <row r="292" ht="12.75" customHeight="1">
      <c r="A292" s="5"/>
      <c r="B292" s="5"/>
      <c r="C292" s="5"/>
      <c r="D292" s="22"/>
      <c r="E292" s="3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</row>
    <row r="293" ht="12.75" customHeight="1">
      <c r="A293" s="5"/>
      <c r="B293" s="5"/>
      <c r="C293" s="5"/>
      <c r="D293" s="22"/>
      <c r="E293" s="3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</row>
    <row r="294" ht="12.75" customHeight="1">
      <c r="A294" s="5"/>
      <c r="B294" s="5"/>
      <c r="C294" s="5"/>
      <c r="D294" s="22"/>
      <c r="E294" s="3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</row>
    <row r="295" ht="12.75" customHeight="1">
      <c r="A295" s="5"/>
      <c r="B295" s="5"/>
      <c r="C295" s="5"/>
      <c r="D295" s="22"/>
      <c r="E295" s="3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</row>
    <row r="296" ht="12.75" customHeight="1">
      <c r="A296" s="5"/>
      <c r="B296" s="5"/>
      <c r="C296" s="5"/>
      <c r="D296" s="22"/>
      <c r="E296" s="3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</row>
    <row r="297" ht="12.75" customHeight="1">
      <c r="A297" s="5"/>
      <c r="B297" s="5"/>
      <c r="C297" s="5"/>
      <c r="D297" s="22"/>
      <c r="E297" s="3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</row>
    <row r="298" ht="12.75" customHeight="1">
      <c r="A298" s="5"/>
      <c r="B298" s="5"/>
      <c r="C298" s="5"/>
      <c r="D298" s="22"/>
      <c r="E298" s="3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</row>
    <row r="299" ht="12.75" customHeight="1">
      <c r="A299" s="5"/>
      <c r="B299" s="5"/>
      <c r="C299" s="5"/>
      <c r="D299" s="22"/>
      <c r="E299" s="3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</row>
    <row r="300" ht="12.75" customHeight="1">
      <c r="A300" s="5"/>
      <c r="B300" s="5"/>
      <c r="C300" s="5"/>
      <c r="D300" s="22"/>
      <c r="E300" s="3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</row>
    <row r="301" ht="12.75" customHeight="1">
      <c r="A301" s="5"/>
      <c r="B301" s="5"/>
      <c r="C301" s="5"/>
      <c r="D301" s="22"/>
      <c r="E301" s="3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</row>
    <row r="302" ht="12.75" customHeight="1">
      <c r="A302" s="5"/>
      <c r="B302" s="5"/>
      <c r="C302" s="5"/>
      <c r="D302" s="22"/>
      <c r="E302" s="3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</row>
    <row r="303" ht="12.75" customHeight="1">
      <c r="A303" s="5"/>
      <c r="B303" s="5"/>
      <c r="C303" s="5"/>
      <c r="D303" s="22"/>
      <c r="E303" s="3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</row>
    <row r="304" ht="12.75" customHeight="1">
      <c r="A304" s="5"/>
      <c r="B304" s="5"/>
      <c r="C304" s="5"/>
      <c r="D304" s="22"/>
      <c r="E304" s="3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</row>
    <row r="305" ht="12.75" customHeight="1">
      <c r="A305" s="5"/>
      <c r="B305" s="5"/>
      <c r="C305" s="5"/>
      <c r="D305" s="22"/>
      <c r="E305" s="3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</row>
    <row r="306" ht="12.75" customHeight="1">
      <c r="A306" s="5"/>
      <c r="B306" s="5"/>
      <c r="C306" s="5"/>
      <c r="D306" s="22"/>
      <c r="E306" s="3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</row>
    <row r="307" ht="12.75" customHeight="1">
      <c r="A307" s="5"/>
      <c r="B307" s="5"/>
      <c r="C307" s="5"/>
      <c r="D307" s="22"/>
      <c r="E307" s="3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</row>
    <row r="308" ht="12.75" customHeight="1">
      <c r="A308" s="5"/>
      <c r="B308" s="5"/>
      <c r="C308" s="5"/>
      <c r="D308" s="22"/>
      <c r="E308" s="3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</row>
    <row r="309" ht="12.75" customHeight="1">
      <c r="A309" s="5"/>
      <c r="B309" s="5"/>
      <c r="C309" s="5"/>
      <c r="D309" s="22"/>
      <c r="E309" s="3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</row>
    <row r="310" ht="12.75" customHeight="1">
      <c r="A310" s="5"/>
      <c r="B310" s="5"/>
      <c r="C310" s="5"/>
      <c r="D310" s="22"/>
      <c r="E310" s="3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</row>
    <row r="311" ht="12.75" customHeight="1">
      <c r="A311" s="5"/>
      <c r="B311" s="5"/>
      <c r="C311" s="5"/>
      <c r="D311" s="22"/>
      <c r="E311" s="3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</row>
    <row r="312" ht="12.75" customHeight="1">
      <c r="A312" s="5"/>
      <c r="B312" s="5"/>
      <c r="C312" s="5"/>
      <c r="D312" s="22"/>
      <c r="E312" s="3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</row>
    <row r="313" ht="12.75" customHeight="1">
      <c r="A313" s="5"/>
      <c r="B313" s="5"/>
      <c r="C313" s="5"/>
      <c r="D313" s="22"/>
      <c r="E313" s="3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</row>
    <row r="314" ht="12.75" customHeight="1">
      <c r="A314" s="5"/>
      <c r="B314" s="5"/>
      <c r="C314" s="5"/>
      <c r="D314" s="22"/>
      <c r="E314" s="3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</row>
    <row r="315" ht="12.75" customHeight="1">
      <c r="A315" s="5"/>
      <c r="B315" s="5"/>
      <c r="C315" s="5"/>
      <c r="D315" s="22"/>
      <c r="E315" s="3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</row>
    <row r="316" ht="12.75" customHeight="1">
      <c r="A316" s="5"/>
      <c r="B316" s="5"/>
      <c r="C316" s="5"/>
      <c r="D316" s="22"/>
      <c r="E316" s="3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</row>
    <row r="317" ht="12.75" customHeight="1">
      <c r="A317" s="5"/>
      <c r="B317" s="5"/>
      <c r="C317" s="5"/>
      <c r="D317" s="22"/>
      <c r="E317" s="3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</row>
    <row r="318" ht="12.75" customHeight="1">
      <c r="A318" s="5"/>
      <c r="B318" s="5"/>
      <c r="C318" s="5"/>
      <c r="D318" s="22"/>
      <c r="E318" s="3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</row>
    <row r="319" ht="12.75" customHeight="1">
      <c r="A319" s="5"/>
      <c r="B319" s="5"/>
      <c r="C319" s="5"/>
      <c r="D319" s="22"/>
      <c r="E319" s="3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</row>
    <row r="320" ht="12.75" customHeight="1">
      <c r="A320" s="5"/>
      <c r="B320" s="5"/>
      <c r="C320" s="5"/>
      <c r="D320" s="22"/>
      <c r="E320" s="3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</row>
    <row r="321" ht="12.75" customHeight="1">
      <c r="A321" s="5"/>
      <c r="B321" s="5"/>
      <c r="C321" s="5"/>
      <c r="D321" s="22"/>
      <c r="E321" s="3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</row>
    <row r="322" ht="12.75" customHeight="1">
      <c r="A322" s="5"/>
      <c r="B322" s="5"/>
      <c r="C322" s="5"/>
      <c r="D322" s="22"/>
      <c r="E322" s="3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</row>
    <row r="323" ht="12.75" customHeight="1">
      <c r="A323" s="5"/>
      <c r="B323" s="5"/>
      <c r="C323" s="5"/>
      <c r="D323" s="22"/>
      <c r="E323" s="3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</row>
    <row r="324" ht="12.75" customHeight="1">
      <c r="A324" s="5"/>
      <c r="B324" s="5"/>
      <c r="C324" s="5"/>
      <c r="D324" s="22"/>
      <c r="E324" s="3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</row>
    <row r="325" ht="12.75" customHeight="1">
      <c r="A325" s="5"/>
      <c r="B325" s="5"/>
      <c r="C325" s="5"/>
      <c r="D325" s="22"/>
      <c r="E325" s="3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</row>
    <row r="326" ht="12.75" customHeight="1">
      <c r="A326" s="5"/>
      <c r="B326" s="5"/>
      <c r="C326" s="5"/>
      <c r="D326" s="22"/>
      <c r="E326" s="3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</row>
    <row r="327" ht="12.75" customHeight="1">
      <c r="A327" s="5"/>
      <c r="B327" s="5"/>
      <c r="C327" s="5"/>
      <c r="D327" s="22"/>
      <c r="E327" s="3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</row>
    <row r="328" ht="12.75" customHeight="1">
      <c r="A328" s="5"/>
      <c r="B328" s="5"/>
      <c r="C328" s="5"/>
      <c r="D328" s="22"/>
      <c r="E328" s="3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</row>
    <row r="329" ht="12.75" customHeight="1">
      <c r="A329" s="5"/>
      <c r="B329" s="5"/>
      <c r="C329" s="5"/>
      <c r="D329" s="22"/>
      <c r="E329" s="3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</row>
    <row r="330" ht="12.75" customHeight="1">
      <c r="A330" s="5"/>
      <c r="B330" s="5"/>
      <c r="C330" s="5"/>
      <c r="D330" s="22"/>
      <c r="E330" s="3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</row>
    <row r="331" ht="12.75" customHeight="1">
      <c r="A331" s="5"/>
      <c r="B331" s="5"/>
      <c r="C331" s="5"/>
      <c r="D331" s="22"/>
      <c r="E331" s="3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</row>
    <row r="332" ht="12.75" customHeight="1">
      <c r="A332" s="5"/>
      <c r="B332" s="5"/>
      <c r="C332" s="5"/>
      <c r="D332" s="22"/>
      <c r="E332" s="3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</row>
    <row r="333" ht="12.75" customHeight="1">
      <c r="A333" s="5"/>
      <c r="B333" s="5"/>
      <c r="C333" s="5"/>
      <c r="D333" s="22"/>
      <c r="E333" s="3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</row>
    <row r="334" ht="12.75" customHeight="1">
      <c r="A334" s="5"/>
      <c r="B334" s="5"/>
      <c r="C334" s="5"/>
      <c r="D334" s="22"/>
      <c r="E334" s="3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</row>
    <row r="335" ht="12.75" customHeight="1">
      <c r="A335" s="5"/>
      <c r="B335" s="5"/>
      <c r="C335" s="5"/>
      <c r="D335" s="22"/>
      <c r="E335" s="3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</row>
    <row r="336" ht="12.75" customHeight="1">
      <c r="A336" s="5"/>
      <c r="B336" s="5"/>
      <c r="C336" s="5"/>
      <c r="D336" s="22"/>
      <c r="E336" s="3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</row>
    <row r="337" ht="12.75" customHeight="1">
      <c r="A337" s="5"/>
      <c r="B337" s="5"/>
      <c r="C337" s="5"/>
      <c r="D337" s="22"/>
      <c r="E337" s="3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</row>
    <row r="338" ht="12.75" customHeight="1">
      <c r="A338" s="5"/>
      <c r="B338" s="5"/>
      <c r="C338" s="5"/>
      <c r="D338" s="22"/>
      <c r="E338" s="3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</row>
    <row r="339" ht="12.75" customHeight="1">
      <c r="A339" s="5"/>
      <c r="B339" s="5"/>
      <c r="C339" s="5"/>
      <c r="D339" s="22"/>
      <c r="E339" s="3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</row>
    <row r="340" ht="12.75" customHeight="1">
      <c r="A340" s="5"/>
      <c r="B340" s="5"/>
      <c r="C340" s="5"/>
      <c r="D340" s="22"/>
      <c r="E340" s="3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</row>
    <row r="341" ht="12.75" customHeight="1">
      <c r="A341" s="5"/>
      <c r="B341" s="5"/>
      <c r="C341" s="5"/>
      <c r="D341" s="22"/>
      <c r="E341" s="3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</row>
    <row r="342" ht="12.75" customHeight="1">
      <c r="A342" s="5"/>
      <c r="B342" s="5"/>
      <c r="C342" s="5"/>
      <c r="D342" s="22"/>
      <c r="E342" s="3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</row>
    <row r="343" ht="12.75" customHeight="1">
      <c r="A343" s="5"/>
      <c r="B343" s="5"/>
      <c r="C343" s="5"/>
      <c r="D343" s="22"/>
      <c r="E343" s="3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</row>
    <row r="344" ht="12.75" customHeight="1">
      <c r="A344" s="5"/>
      <c r="B344" s="5"/>
      <c r="C344" s="5"/>
      <c r="D344" s="22"/>
      <c r="E344" s="3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</row>
    <row r="345" ht="12.75" customHeight="1">
      <c r="A345" s="5"/>
      <c r="B345" s="5"/>
      <c r="C345" s="5"/>
      <c r="D345" s="22"/>
      <c r="E345" s="3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</row>
    <row r="346" ht="12.75" customHeight="1">
      <c r="A346" s="5"/>
      <c r="B346" s="5"/>
      <c r="C346" s="5"/>
      <c r="D346" s="22"/>
      <c r="E346" s="3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</row>
    <row r="347" ht="12.75" customHeight="1">
      <c r="A347" s="5"/>
      <c r="B347" s="5"/>
      <c r="C347" s="5"/>
      <c r="D347" s="22"/>
      <c r="E347" s="3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</row>
    <row r="348" ht="12.75" customHeight="1">
      <c r="A348" s="5"/>
      <c r="B348" s="5"/>
      <c r="C348" s="5"/>
      <c r="D348" s="22"/>
      <c r="E348" s="3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</row>
    <row r="349" ht="12.75" customHeight="1">
      <c r="A349" s="5"/>
      <c r="B349" s="5"/>
      <c r="C349" s="5"/>
      <c r="D349" s="22"/>
      <c r="E349" s="3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</row>
    <row r="350" ht="12.75" customHeight="1">
      <c r="A350" s="5"/>
      <c r="B350" s="5"/>
      <c r="C350" s="5"/>
      <c r="D350" s="22"/>
      <c r="E350" s="3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</row>
    <row r="351" ht="12.75" customHeight="1">
      <c r="A351" s="5"/>
      <c r="B351" s="5"/>
      <c r="C351" s="5"/>
      <c r="D351" s="22"/>
      <c r="E351" s="3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</row>
    <row r="352" ht="12.75" customHeight="1">
      <c r="A352" s="5"/>
      <c r="B352" s="5"/>
      <c r="C352" s="5"/>
      <c r="D352" s="22"/>
      <c r="E352" s="3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</row>
    <row r="353" ht="12.75" customHeight="1">
      <c r="A353" s="5"/>
      <c r="B353" s="5"/>
      <c r="C353" s="5"/>
      <c r="D353" s="22"/>
      <c r="E353" s="3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</row>
    <row r="354" ht="12.75" customHeight="1">
      <c r="A354" s="5"/>
      <c r="B354" s="5"/>
      <c r="C354" s="5"/>
      <c r="D354" s="22"/>
      <c r="E354" s="3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</row>
    <row r="355" ht="12.75" customHeight="1">
      <c r="A355" s="5"/>
      <c r="B355" s="5"/>
      <c r="C355" s="5"/>
      <c r="D355" s="22"/>
      <c r="E355" s="3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</row>
    <row r="356" ht="12.75" customHeight="1">
      <c r="A356" s="5"/>
      <c r="B356" s="5"/>
      <c r="C356" s="5"/>
      <c r="D356" s="22"/>
      <c r="E356" s="3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</row>
    <row r="357" ht="12.75" customHeight="1">
      <c r="A357" s="5"/>
      <c r="B357" s="5"/>
      <c r="C357" s="5"/>
      <c r="D357" s="22"/>
      <c r="E357" s="3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</row>
    <row r="358" ht="12.75" customHeight="1">
      <c r="A358" s="5"/>
      <c r="B358" s="5"/>
      <c r="C358" s="5"/>
      <c r="D358" s="22"/>
      <c r="E358" s="3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</row>
    <row r="359" ht="12.75" customHeight="1">
      <c r="A359" s="5"/>
      <c r="B359" s="5"/>
      <c r="C359" s="5"/>
      <c r="D359" s="22"/>
      <c r="E359" s="3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</row>
    <row r="360" ht="12.75" customHeight="1">
      <c r="A360" s="5"/>
      <c r="B360" s="5"/>
      <c r="C360" s="5"/>
      <c r="D360" s="22"/>
      <c r="E360" s="3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</row>
    <row r="361" ht="12.75" customHeight="1">
      <c r="A361" s="5"/>
      <c r="B361" s="5"/>
      <c r="C361" s="5"/>
      <c r="D361" s="22"/>
      <c r="E361" s="3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</row>
    <row r="362" ht="12.75" customHeight="1">
      <c r="A362" s="5"/>
      <c r="B362" s="5"/>
      <c r="C362" s="5"/>
      <c r="D362" s="22"/>
      <c r="E362" s="3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</row>
    <row r="363" ht="12.75" customHeight="1">
      <c r="A363" s="5"/>
      <c r="B363" s="5"/>
      <c r="C363" s="5"/>
      <c r="D363" s="22"/>
      <c r="E363" s="3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</row>
    <row r="364" ht="12.75" customHeight="1">
      <c r="A364" s="5"/>
      <c r="B364" s="5"/>
      <c r="C364" s="5"/>
      <c r="D364" s="22"/>
      <c r="E364" s="3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</row>
    <row r="365" ht="12.75" customHeight="1">
      <c r="A365" s="5"/>
      <c r="B365" s="5"/>
      <c r="C365" s="5"/>
      <c r="D365" s="22"/>
      <c r="E365" s="3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</row>
    <row r="366" ht="12.75" customHeight="1">
      <c r="A366" s="5"/>
      <c r="B366" s="5"/>
      <c r="C366" s="5"/>
      <c r="D366" s="22"/>
      <c r="E366" s="3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</row>
    <row r="367" ht="12.75" customHeight="1">
      <c r="A367" s="5"/>
      <c r="B367" s="5"/>
      <c r="C367" s="5"/>
      <c r="D367" s="22"/>
      <c r="E367" s="3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</row>
    <row r="368" ht="12.75" customHeight="1">
      <c r="A368" s="5"/>
      <c r="B368" s="5"/>
      <c r="C368" s="5"/>
      <c r="D368" s="22"/>
      <c r="E368" s="3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</row>
    <row r="369" ht="12.75" customHeight="1">
      <c r="A369" s="5"/>
      <c r="B369" s="5"/>
      <c r="C369" s="5"/>
      <c r="D369" s="22"/>
      <c r="E369" s="3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</row>
    <row r="370" ht="12.75" customHeight="1">
      <c r="A370" s="5"/>
      <c r="B370" s="5"/>
      <c r="C370" s="5"/>
      <c r="D370" s="22"/>
      <c r="E370" s="3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</row>
    <row r="371" ht="12.75" customHeight="1">
      <c r="A371" s="5"/>
      <c r="B371" s="5"/>
      <c r="C371" s="5"/>
      <c r="D371" s="22"/>
      <c r="E371" s="3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</row>
    <row r="372" ht="12.75" customHeight="1">
      <c r="A372" s="5"/>
      <c r="B372" s="5"/>
      <c r="C372" s="5"/>
      <c r="D372" s="22"/>
      <c r="E372" s="3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</row>
    <row r="373" ht="12.75" customHeight="1">
      <c r="A373" s="5"/>
      <c r="B373" s="5"/>
      <c r="C373" s="5"/>
      <c r="D373" s="22"/>
      <c r="E373" s="3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</row>
    <row r="374" ht="12.75" customHeight="1">
      <c r="A374" s="5"/>
      <c r="B374" s="5"/>
      <c r="C374" s="5"/>
      <c r="D374" s="22"/>
      <c r="E374" s="3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</row>
    <row r="375" ht="12.75" customHeight="1">
      <c r="A375" s="5"/>
      <c r="B375" s="5"/>
      <c r="C375" s="5"/>
      <c r="D375" s="22"/>
      <c r="E375" s="3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</row>
    <row r="376" ht="12.75" customHeight="1">
      <c r="A376" s="5"/>
      <c r="B376" s="5"/>
      <c r="C376" s="5"/>
      <c r="D376" s="22"/>
      <c r="E376" s="3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</row>
    <row r="377" ht="12.75" customHeight="1">
      <c r="A377" s="5"/>
      <c r="B377" s="5"/>
      <c r="C377" s="5"/>
      <c r="D377" s="22"/>
      <c r="E377" s="3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</row>
    <row r="378" ht="12.75" customHeight="1">
      <c r="A378" s="5"/>
      <c r="B378" s="5"/>
      <c r="C378" s="5"/>
      <c r="D378" s="22"/>
      <c r="E378" s="3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</row>
    <row r="379" ht="12.75" customHeight="1">
      <c r="A379" s="5"/>
      <c r="B379" s="5"/>
      <c r="C379" s="5"/>
      <c r="D379" s="22"/>
      <c r="E379" s="3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</row>
    <row r="380" ht="12.75" customHeight="1">
      <c r="A380" s="5"/>
      <c r="B380" s="5"/>
      <c r="C380" s="5"/>
      <c r="D380" s="22"/>
      <c r="E380" s="3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</row>
    <row r="381" ht="12.75" customHeight="1">
      <c r="A381" s="5"/>
      <c r="B381" s="5"/>
      <c r="C381" s="5"/>
      <c r="D381" s="22"/>
      <c r="E381" s="3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</row>
    <row r="382" ht="12.75" customHeight="1">
      <c r="A382" s="5"/>
      <c r="B382" s="5"/>
      <c r="C382" s="5"/>
      <c r="D382" s="22"/>
      <c r="E382" s="3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</row>
    <row r="383" ht="12.75" customHeight="1">
      <c r="A383" s="5"/>
      <c r="B383" s="5"/>
      <c r="C383" s="5"/>
      <c r="D383" s="22"/>
      <c r="E383" s="3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</row>
    <row r="384" ht="12.75" customHeight="1">
      <c r="A384" s="5"/>
      <c r="B384" s="5"/>
      <c r="C384" s="5"/>
      <c r="D384" s="22"/>
      <c r="E384" s="3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</row>
    <row r="385" ht="12.75" customHeight="1">
      <c r="A385" s="5"/>
      <c r="B385" s="5"/>
      <c r="C385" s="5"/>
      <c r="D385" s="22"/>
      <c r="E385" s="3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</row>
    <row r="386" ht="12.75" customHeight="1">
      <c r="A386" s="5"/>
      <c r="B386" s="5"/>
      <c r="C386" s="5"/>
      <c r="D386" s="22"/>
      <c r="E386" s="3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</row>
    <row r="387" ht="12.75" customHeight="1">
      <c r="A387" s="5"/>
      <c r="B387" s="5"/>
      <c r="C387" s="5"/>
      <c r="D387" s="22"/>
      <c r="E387" s="3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</row>
    <row r="388" ht="12.75" customHeight="1">
      <c r="A388" s="5"/>
      <c r="B388" s="5"/>
      <c r="C388" s="5"/>
      <c r="D388" s="22"/>
      <c r="E388" s="3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</row>
    <row r="389" ht="12.75" customHeight="1">
      <c r="A389" s="5"/>
      <c r="B389" s="5"/>
      <c r="C389" s="5"/>
      <c r="D389" s="22"/>
      <c r="E389" s="3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</row>
    <row r="390" ht="12.75" customHeight="1">
      <c r="A390" s="5"/>
      <c r="B390" s="5"/>
      <c r="C390" s="5"/>
      <c r="D390" s="22"/>
      <c r="E390" s="3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</row>
    <row r="391" ht="12.75" customHeight="1">
      <c r="A391" s="5"/>
      <c r="B391" s="5"/>
      <c r="C391" s="5"/>
      <c r="D391" s="22"/>
      <c r="E391" s="3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</row>
    <row r="392" ht="12.75" customHeight="1">
      <c r="A392" s="5"/>
      <c r="B392" s="5"/>
      <c r="C392" s="5"/>
      <c r="D392" s="22"/>
      <c r="E392" s="3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</row>
    <row r="393" ht="12.75" customHeight="1">
      <c r="A393" s="5"/>
      <c r="B393" s="5"/>
      <c r="C393" s="5"/>
      <c r="D393" s="22"/>
      <c r="E393" s="3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</row>
    <row r="394" ht="12.75" customHeight="1">
      <c r="A394" s="5"/>
      <c r="B394" s="5"/>
      <c r="C394" s="5"/>
      <c r="D394" s="22"/>
      <c r="E394" s="3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</row>
    <row r="395" ht="12.75" customHeight="1">
      <c r="A395" s="5"/>
      <c r="B395" s="5"/>
      <c r="C395" s="5"/>
      <c r="D395" s="22"/>
      <c r="E395" s="3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</row>
    <row r="396" ht="12.75" customHeight="1">
      <c r="A396" s="5"/>
      <c r="B396" s="5"/>
      <c r="C396" s="5"/>
      <c r="D396" s="22"/>
      <c r="E396" s="3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</row>
    <row r="397" ht="12.75" customHeight="1">
      <c r="A397" s="5"/>
      <c r="B397" s="5"/>
      <c r="C397" s="5"/>
      <c r="D397" s="22"/>
      <c r="E397" s="3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</row>
    <row r="398" ht="12.75" customHeight="1">
      <c r="A398" s="5"/>
      <c r="B398" s="5"/>
      <c r="C398" s="5"/>
      <c r="D398" s="22"/>
      <c r="E398" s="3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</row>
    <row r="399" ht="12.75" customHeight="1">
      <c r="A399" s="5"/>
      <c r="B399" s="5"/>
      <c r="C399" s="5"/>
      <c r="D399" s="22"/>
      <c r="E399" s="3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</row>
    <row r="400" ht="12.75" customHeight="1">
      <c r="A400" s="5"/>
      <c r="B400" s="5"/>
      <c r="C400" s="5"/>
      <c r="D400" s="22"/>
      <c r="E400" s="3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</row>
    <row r="401" ht="12.75" customHeight="1">
      <c r="A401" s="5"/>
      <c r="B401" s="5"/>
      <c r="C401" s="5"/>
      <c r="D401" s="22"/>
      <c r="E401" s="3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</row>
    <row r="402" ht="12.75" customHeight="1">
      <c r="A402" s="5"/>
      <c r="B402" s="5"/>
      <c r="C402" s="5"/>
      <c r="D402" s="22"/>
      <c r="E402" s="3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</row>
    <row r="403" ht="12.75" customHeight="1">
      <c r="A403" s="5"/>
      <c r="B403" s="5"/>
      <c r="C403" s="5"/>
      <c r="D403" s="22"/>
      <c r="E403" s="3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</row>
    <row r="404" ht="12.75" customHeight="1">
      <c r="A404" s="5"/>
      <c r="B404" s="5"/>
      <c r="C404" s="5"/>
      <c r="D404" s="22"/>
      <c r="E404" s="3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</row>
    <row r="405" ht="12.75" customHeight="1">
      <c r="A405" s="5"/>
      <c r="B405" s="5"/>
      <c r="C405" s="5"/>
      <c r="D405" s="22"/>
      <c r="E405" s="3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</row>
    <row r="406" ht="12.75" customHeight="1">
      <c r="A406" s="5"/>
      <c r="B406" s="5"/>
      <c r="C406" s="5"/>
      <c r="D406" s="22"/>
      <c r="E406" s="3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</row>
    <row r="407" ht="12.75" customHeight="1">
      <c r="A407" s="5"/>
      <c r="B407" s="5"/>
      <c r="C407" s="5"/>
      <c r="D407" s="22"/>
      <c r="E407" s="3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</row>
    <row r="408" ht="12.75" customHeight="1">
      <c r="A408" s="5"/>
      <c r="B408" s="5"/>
      <c r="C408" s="5"/>
      <c r="D408" s="22"/>
      <c r="E408" s="3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</row>
    <row r="409" ht="12.75" customHeight="1">
      <c r="A409" s="5"/>
      <c r="B409" s="5"/>
      <c r="C409" s="5"/>
      <c r="D409" s="22"/>
      <c r="E409" s="3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</row>
    <row r="410" ht="12.75" customHeight="1">
      <c r="A410" s="5"/>
      <c r="B410" s="5"/>
      <c r="C410" s="5"/>
      <c r="D410" s="22"/>
      <c r="E410" s="3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</row>
    <row r="411" ht="12.75" customHeight="1">
      <c r="A411" s="5"/>
      <c r="B411" s="5"/>
      <c r="C411" s="5"/>
      <c r="D411" s="22"/>
      <c r="E411" s="3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</row>
    <row r="412" ht="12.75" customHeight="1">
      <c r="A412" s="5"/>
      <c r="B412" s="5"/>
      <c r="C412" s="5"/>
      <c r="D412" s="22"/>
      <c r="E412" s="3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</row>
    <row r="413" ht="12.75" customHeight="1">
      <c r="A413" s="5"/>
      <c r="B413" s="5"/>
      <c r="C413" s="5"/>
      <c r="D413" s="22"/>
      <c r="E413" s="3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</row>
    <row r="414" ht="12.75" customHeight="1">
      <c r="A414" s="5"/>
      <c r="B414" s="5"/>
      <c r="C414" s="5"/>
      <c r="D414" s="22"/>
      <c r="E414" s="3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</row>
    <row r="415" ht="12.75" customHeight="1">
      <c r="A415" s="5"/>
      <c r="B415" s="5"/>
      <c r="C415" s="5"/>
      <c r="D415" s="22"/>
      <c r="E415" s="3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</row>
    <row r="416" ht="12.75" customHeight="1">
      <c r="A416" s="5"/>
      <c r="B416" s="5"/>
      <c r="C416" s="5"/>
      <c r="D416" s="22"/>
      <c r="E416" s="3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</row>
    <row r="417" ht="12.75" customHeight="1">
      <c r="A417" s="5"/>
      <c r="B417" s="5"/>
      <c r="C417" s="5"/>
      <c r="D417" s="22"/>
      <c r="E417" s="3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</row>
    <row r="418" ht="12.75" customHeight="1">
      <c r="A418" s="5"/>
      <c r="B418" s="5"/>
      <c r="C418" s="5"/>
      <c r="D418" s="22"/>
      <c r="E418" s="3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</row>
    <row r="419" ht="12.75" customHeight="1">
      <c r="A419" s="5"/>
      <c r="B419" s="5"/>
      <c r="C419" s="5"/>
      <c r="D419" s="22"/>
      <c r="E419" s="3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</row>
    <row r="420" ht="12.75" customHeight="1">
      <c r="A420" s="5"/>
      <c r="B420" s="5"/>
      <c r="C420" s="5"/>
      <c r="D420" s="22"/>
      <c r="E420" s="3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</row>
    <row r="421" ht="12.75" customHeight="1">
      <c r="A421" s="5"/>
      <c r="B421" s="5"/>
      <c r="C421" s="5"/>
      <c r="D421" s="22"/>
      <c r="E421" s="3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</row>
    <row r="422" ht="12.75" customHeight="1">
      <c r="A422" s="5"/>
      <c r="B422" s="5"/>
      <c r="C422" s="5"/>
      <c r="D422" s="22"/>
      <c r="E422" s="3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</row>
    <row r="423" ht="12.75" customHeight="1">
      <c r="A423" s="5"/>
      <c r="B423" s="5"/>
      <c r="C423" s="5"/>
      <c r="D423" s="22"/>
      <c r="E423" s="3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</row>
    <row r="424" ht="12.75" customHeight="1">
      <c r="A424" s="5"/>
      <c r="B424" s="5"/>
      <c r="C424" s="5"/>
      <c r="D424" s="22"/>
      <c r="E424" s="3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</row>
    <row r="425" ht="12.75" customHeight="1">
      <c r="A425" s="5"/>
      <c r="B425" s="5"/>
      <c r="C425" s="5"/>
      <c r="D425" s="22"/>
      <c r="E425" s="3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</row>
    <row r="426" ht="12.75" customHeight="1">
      <c r="A426" s="5"/>
      <c r="B426" s="5"/>
      <c r="C426" s="5"/>
      <c r="D426" s="22"/>
      <c r="E426" s="3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</row>
    <row r="427" ht="12.75" customHeight="1">
      <c r="A427" s="5"/>
      <c r="B427" s="5"/>
      <c r="C427" s="5"/>
      <c r="D427" s="22"/>
      <c r="E427" s="3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</row>
    <row r="428" ht="12.75" customHeight="1">
      <c r="A428" s="5"/>
      <c r="B428" s="5"/>
      <c r="C428" s="5"/>
      <c r="D428" s="22"/>
      <c r="E428" s="3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</row>
    <row r="429" ht="12.75" customHeight="1">
      <c r="A429" s="5"/>
      <c r="B429" s="5"/>
      <c r="C429" s="5"/>
      <c r="D429" s="22"/>
      <c r="E429" s="3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</row>
    <row r="430" ht="12.75" customHeight="1">
      <c r="A430" s="5"/>
      <c r="B430" s="5"/>
      <c r="C430" s="5"/>
      <c r="D430" s="22"/>
      <c r="E430" s="3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</row>
    <row r="431" ht="12.75" customHeight="1">
      <c r="A431" s="5"/>
      <c r="B431" s="5"/>
      <c r="C431" s="5"/>
      <c r="D431" s="22"/>
      <c r="E431" s="3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</row>
    <row r="432" ht="14.25" customHeight="1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</row>
    <row r="433" ht="14.25" customHeight="1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</row>
    <row r="434" ht="14.25" customHeight="1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</row>
    <row r="435" ht="14.25" customHeight="1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</row>
    <row r="436" ht="14.25" customHeight="1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</row>
    <row r="437" ht="14.25" customHeight="1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</row>
    <row r="438" ht="14.25" customHeight="1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</row>
    <row r="439" ht="14.25" customHeight="1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</row>
    <row r="440" ht="14.25" customHeight="1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</row>
    <row r="441" ht="14.25" customHeight="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</row>
    <row r="442" ht="14.25" customHeight="1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</row>
    <row r="443" ht="14.25" customHeight="1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</row>
    <row r="444" ht="14.25" customHeight="1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</row>
    <row r="445" ht="14.25" customHeight="1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</row>
    <row r="446" ht="14.25" customHeight="1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</row>
    <row r="447" ht="14.25" customHeight="1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</row>
    <row r="448" ht="14.25" customHeight="1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</row>
    <row r="449" ht="14.25" customHeight="1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</row>
    <row r="450" ht="14.25" customHeight="1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</row>
    <row r="451" ht="14.25" customHeight="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</row>
    <row r="452" ht="14.25" customHeight="1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</row>
    <row r="453" ht="14.25" customHeight="1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</row>
    <row r="454" ht="14.25" customHeight="1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</row>
    <row r="455" ht="14.25" customHeight="1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</row>
    <row r="456" ht="14.25" customHeight="1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</row>
    <row r="457" ht="14.25" customHeight="1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</row>
    <row r="458" ht="14.25" customHeight="1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</row>
    <row r="459" ht="14.25" customHeight="1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</row>
    <row r="460" ht="14.25" customHeight="1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</row>
    <row r="461" ht="14.25" customHeight="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</row>
    <row r="462" ht="14.25" customHeight="1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</row>
    <row r="463" ht="14.25" customHeight="1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</row>
    <row r="464" ht="14.25" customHeight="1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</row>
    <row r="465" ht="14.25" customHeight="1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</row>
    <row r="466" ht="14.25" customHeight="1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</row>
    <row r="467" ht="14.25" customHeight="1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</row>
    <row r="468" ht="14.25" customHeight="1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</row>
    <row r="469" ht="14.25" customHeight="1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</row>
    <row r="470" ht="14.25" customHeight="1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</row>
    <row r="471" ht="14.25" customHeight="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</row>
    <row r="472" ht="14.25" customHeight="1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</row>
    <row r="473" ht="14.25" customHeight="1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</row>
    <row r="474" ht="14.25" customHeight="1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</row>
    <row r="475" ht="14.25" customHeight="1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</row>
    <row r="476" ht="14.25" customHeight="1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</row>
    <row r="477" ht="14.25" customHeight="1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</row>
    <row r="478" ht="14.25" customHeight="1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</row>
    <row r="479" ht="14.25" customHeight="1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</row>
    <row r="480" ht="14.25" customHeight="1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</row>
    <row r="481" ht="14.25" customHeight="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</row>
    <row r="482" ht="14.25" customHeight="1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</row>
    <row r="483" ht="14.25" customHeight="1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</row>
    <row r="484" ht="14.25" customHeight="1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</row>
    <row r="485" ht="14.25" customHeight="1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</row>
    <row r="486" ht="14.25" customHeight="1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</row>
    <row r="487" ht="14.25" customHeight="1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</row>
    <row r="488" ht="14.25" customHeight="1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</row>
    <row r="489" ht="14.25" customHeight="1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</row>
    <row r="490" ht="14.25" customHeight="1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</row>
    <row r="491" ht="14.25" customHeight="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</row>
    <row r="492" ht="14.25" customHeight="1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</row>
    <row r="493" ht="14.25" customHeight="1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</row>
    <row r="494" ht="14.25" customHeight="1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</row>
    <row r="495" ht="14.25" customHeight="1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</row>
    <row r="496" ht="14.25" customHeight="1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</row>
    <row r="497" ht="14.25" customHeight="1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</row>
    <row r="498" ht="14.25" customHeight="1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</row>
    <row r="499" ht="14.25" customHeight="1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</row>
    <row r="500" ht="14.25" customHeight="1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</row>
    <row r="501" ht="14.25" customHeight="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</row>
    <row r="502" ht="14.25" customHeight="1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</row>
    <row r="503" ht="14.25" customHeight="1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</row>
    <row r="504" ht="14.25" customHeight="1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</row>
    <row r="505" ht="14.25" customHeight="1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</row>
    <row r="506" ht="14.25" customHeight="1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</row>
    <row r="507" ht="14.25" customHeight="1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</row>
    <row r="508" ht="14.25" customHeight="1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</row>
    <row r="509" ht="14.25" customHeight="1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</row>
    <row r="510" ht="14.25" customHeight="1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</row>
    <row r="511" ht="14.25" customHeight="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</row>
    <row r="512" ht="14.25" customHeight="1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</row>
    <row r="513" ht="14.25" customHeight="1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</row>
    <row r="514" ht="14.25" customHeight="1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</row>
    <row r="515" ht="14.25" customHeight="1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</row>
    <row r="516" ht="14.25" customHeight="1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</row>
    <row r="517" ht="14.25" customHeight="1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</row>
    <row r="518" ht="14.25" customHeight="1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</row>
    <row r="519" ht="14.25" customHeight="1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</row>
    <row r="520" ht="14.25" customHeight="1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</row>
    <row r="521" ht="14.25" customHeight="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</row>
    <row r="522" ht="14.25" customHeight="1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</row>
    <row r="523" ht="14.25" customHeight="1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</row>
    <row r="524" ht="14.25" customHeight="1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</row>
    <row r="525" ht="14.25" customHeight="1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</row>
    <row r="526" ht="14.25" customHeight="1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</row>
    <row r="527" ht="14.25" customHeight="1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</row>
    <row r="528" ht="14.25" customHeight="1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</row>
    <row r="529" ht="14.25" customHeight="1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</row>
    <row r="530" ht="14.25" customHeight="1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</row>
    <row r="531" ht="14.25" customHeight="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</row>
    <row r="532" ht="14.25" customHeight="1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</row>
    <row r="533" ht="14.25" customHeight="1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</row>
    <row r="534" ht="14.25" customHeight="1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</row>
    <row r="535" ht="14.25" customHeight="1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</row>
    <row r="536" ht="14.25" customHeight="1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</row>
    <row r="537" ht="14.25" customHeight="1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</row>
    <row r="538" ht="14.25" customHeight="1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</row>
    <row r="539" ht="14.25" customHeight="1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</row>
    <row r="540" ht="14.25" customHeight="1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</row>
    <row r="541" ht="14.25" customHeight="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</row>
    <row r="542" ht="14.25" customHeight="1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</row>
    <row r="543" ht="14.25" customHeight="1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</row>
    <row r="544" ht="14.25" customHeight="1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</row>
    <row r="545" ht="14.25" customHeight="1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</row>
    <row r="546" ht="14.25" customHeight="1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</row>
    <row r="547" ht="14.25" customHeight="1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</row>
    <row r="548" ht="14.25" customHeight="1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</row>
    <row r="549" ht="14.25" customHeight="1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</row>
    <row r="550" ht="14.25" customHeight="1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</row>
    <row r="551" ht="14.25" customHeight="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</row>
    <row r="552" ht="14.25" customHeight="1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</row>
    <row r="553" ht="14.25" customHeight="1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</row>
    <row r="554" ht="14.25" customHeight="1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</row>
    <row r="555" ht="14.25" customHeight="1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</row>
    <row r="556" ht="14.25" customHeight="1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</row>
    <row r="557" ht="14.25" customHeight="1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</row>
    <row r="558" ht="14.25" customHeight="1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</row>
    <row r="559" ht="14.25" customHeight="1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</row>
    <row r="560" ht="14.25" customHeight="1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</row>
    <row r="561" ht="14.25" customHeight="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</row>
    <row r="562" ht="14.25" customHeight="1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</row>
    <row r="563" ht="14.25" customHeight="1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</row>
    <row r="564" ht="14.25" customHeight="1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</row>
    <row r="565" ht="14.25" customHeight="1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</row>
    <row r="566" ht="14.25" customHeight="1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</row>
    <row r="567" ht="14.25" customHeight="1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</row>
    <row r="568" ht="14.25" customHeight="1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</row>
    <row r="569" ht="14.25" customHeight="1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</row>
    <row r="570" ht="14.25" customHeight="1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</row>
    <row r="571" ht="14.25" customHeight="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</row>
    <row r="572" ht="14.25" customHeight="1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</row>
    <row r="573" ht="14.25" customHeight="1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</row>
    <row r="574" ht="14.25" customHeight="1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</row>
    <row r="575" ht="14.25" customHeight="1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</row>
    <row r="576" ht="14.25" customHeight="1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</row>
    <row r="577" ht="14.25" customHeight="1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</row>
    <row r="578" ht="14.25" customHeight="1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</row>
    <row r="579" ht="14.25" customHeight="1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</row>
    <row r="580" ht="14.25" customHeight="1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</row>
    <row r="581" ht="14.25" customHeight="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</row>
    <row r="582" ht="14.25" customHeight="1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</row>
    <row r="583" ht="14.25" customHeight="1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</row>
    <row r="584" ht="14.25" customHeight="1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</row>
    <row r="585" ht="14.25" customHeight="1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</row>
    <row r="586" ht="14.25" customHeight="1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</row>
    <row r="587" ht="14.25" customHeight="1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</row>
    <row r="588" ht="14.25" customHeight="1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</row>
    <row r="589" ht="14.25" customHeight="1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</row>
    <row r="590" ht="14.25" customHeight="1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</row>
    <row r="591" ht="14.25" customHeight="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</row>
    <row r="592" ht="14.25" customHeight="1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</row>
    <row r="593" ht="14.25" customHeight="1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</row>
    <row r="594" ht="14.25" customHeight="1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</row>
    <row r="595" ht="14.25" customHeight="1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</row>
    <row r="596" ht="14.25" customHeight="1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</row>
    <row r="597" ht="14.25" customHeight="1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</row>
    <row r="598" ht="14.25" customHeight="1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</row>
    <row r="599" ht="14.25" customHeight="1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</row>
    <row r="600" ht="14.25" customHeight="1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</row>
    <row r="601" ht="14.25" customHeight="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</row>
    <row r="602" ht="14.25" customHeight="1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</row>
    <row r="603" ht="14.25" customHeight="1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</row>
    <row r="604" ht="14.25" customHeight="1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</row>
    <row r="605" ht="14.25" customHeight="1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</row>
    <row r="606" ht="14.25" customHeight="1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</row>
    <row r="607" ht="14.25" customHeight="1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</row>
    <row r="608" ht="14.25" customHeight="1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</row>
    <row r="609" ht="14.25" customHeight="1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</row>
    <row r="610" ht="14.25" customHeight="1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</row>
    <row r="611" ht="14.25" customHeight="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</row>
    <row r="612" ht="14.25" customHeight="1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</row>
    <row r="613" ht="14.25" customHeight="1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</row>
    <row r="614" ht="14.25" customHeight="1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</row>
    <row r="615" ht="14.25" customHeight="1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</row>
    <row r="616" ht="14.25" customHeight="1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</row>
    <row r="617" ht="14.25" customHeight="1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</row>
    <row r="618" ht="14.25" customHeight="1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</row>
    <row r="619" ht="14.25" customHeight="1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</row>
    <row r="620" ht="14.25" customHeight="1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</row>
    <row r="621" ht="14.25" customHeight="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</row>
    <row r="622" ht="14.25" customHeight="1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</row>
    <row r="623" ht="14.25" customHeight="1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</row>
    <row r="624" ht="14.25" customHeight="1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</row>
    <row r="625" ht="14.25" customHeight="1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</row>
    <row r="626" ht="14.25" customHeight="1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</row>
    <row r="627" ht="14.25" customHeight="1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</row>
    <row r="628" ht="14.25" customHeight="1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</row>
    <row r="629" ht="14.25" customHeight="1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</row>
    <row r="630" ht="14.25" customHeight="1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</row>
    <row r="631" ht="14.25" customHeight="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</row>
    <row r="632" ht="14.25" customHeight="1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</row>
    <row r="633" ht="14.25" customHeight="1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</row>
    <row r="634" ht="14.25" customHeight="1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</row>
    <row r="635" ht="14.25" customHeight="1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</row>
    <row r="636" ht="14.25" customHeight="1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</row>
    <row r="637" ht="14.25" customHeight="1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</row>
    <row r="638" ht="14.25" customHeight="1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</row>
    <row r="639" ht="14.25" customHeight="1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</row>
    <row r="640" ht="14.25" customHeight="1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</row>
    <row r="641" ht="14.25" customHeight="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</row>
    <row r="642" ht="14.25" customHeight="1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</row>
    <row r="643" ht="14.25" customHeight="1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</row>
    <row r="644" ht="14.25" customHeight="1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</row>
    <row r="645" ht="14.25" customHeight="1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</row>
    <row r="646" ht="14.25" customHeight="1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</row>
    <row r="647" ht="14.25" customHeight="1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</row>
    <row r="648" ht="14.25" customHeight="1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</row>
    <row r="649" ht="14.25" customHeight="1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</row>
    <row r="650" ht="14.25" customHeight="1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</row>
    <row r="651" ht="14.25" customHeight="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</row>
    <row r="652" ht="14.25" customHeight="1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</row>
    <row r="653" ht="14.25" customHeight="1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</row>
    <row r="654" ht="14.25" customHeight="1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</row>
    <row r="655" ht="14.25" customHeight="1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</row>
    <row r="656" ht="14.25" customHeight="1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</row>
    <row r="657" ht="14.25" customHeight="1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</row>
    <row r="658" ht="14.25" customHeight="1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</row>
    <row r="659" ht="14.25" customHeight="1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</row>
    <row r="660" ht="14.25" customHeight="1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</row>
    <row r="661" ht="14.25" customHeight="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</row>
    <row r="662" ht="14.25" customHeight="1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</row>
    <row r="663" ht="14.25" customHeight="1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</row>
    <row r="664" ht="14.25" customHeight="1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</row>
    <row r="665" ht="14.25" customHeight="1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</row>
    <row r="666" ht="14.25" customHeight="1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</row>
    <row r="667" ht="14.25" customHeight="1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</row>
    <row r="668" ht="14.25" customHeight="1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</row>
    <row r="669" ht="14.25" customHeight="1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</row>
    <row r="670" ht="14.25" customHeight="1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</row>
    <row r="671" ht="14.25" customHeight="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</row>
    <row r="672" ht="14.25" customHeight="1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</row>
    <row r="673" ht="14.25" customHeight="1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</row>
    <row r="674" ht="14.25" customHeight="1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</row>
    <row r="675" ht="14.25" customHeight="1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</row>
    <row r="676" ht="14.25" customHeight="1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</row>
    <row r="677" ht="14.25" customHeight="1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</row>
    <row r="678" ht="14.25" customHeight="1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</row>
    <row r="679" ht="14.25" customHeight="1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</row>
    <row r="680" ht="14.25" customHeight="1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</row>
    <row r="681" ht="14.25" customHeight="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</row>
    <row r="682" ht="14.25" customHeight="1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</row>
    <row r="683" ht="14.25" customHeight="1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</row>
    <row r="684" ht="14.25" customHeight="1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</row>
    <row r="685" ht="14.25" customHeight="1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</row>
    <row r="686" ht="14.25" customHeight="1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</row>
    <row r="687" ht="14.25" customHeight="1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</row>
    <row r="688" ht="14.25" customHeight="1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</row>
    <row r="689" ht="14.25" customHeight="1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</row>
    <row r="690" ht="14.25" customHeight="1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</row>
    <row r="691" ht="14.25" customHeight="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</row>
    <row r="692" ht="14.25" customHeight="1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</row>
    <row r="693" ht="14.25" customHeight="1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</row>
    <row r="694" ht="14.25" customHeight="1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</row>
    <row r="695" ht="14.25" customHeight="1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</row>
    <row r="696" ht="14.25" customHeight="1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</row>
    <row r="697" ht="14.25" customHeight="1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</row>
    <row r="698" ht="14.25" customHeight="1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</row>
    <row r="699" ht="14.25" customHeight="1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</row>
    <row r="700" ht="14.25" customHeight="1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</row>
    <row r="701" ht="14.25" customHeight="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</row>
    <row r="702" ht="14.25" customHeight="1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</row>
    <row r="703" ht="14.25" customHeight="1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</row>
    <row r="704" ht="14.25" customHeight="1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</row>
    <row r="705" ht="14.25" customHeight="1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</row>
    <row r="706" ht="14.25" customHeight="1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</row>
    <row r="707" ht="14.25" customHeight="1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</row>
    <row r="708" ht="14.25" customHeight="1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</row>
    <row r="709" ht="14.25" customHeight="1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</row>
    <row r="710" ht="14.25" customHeight="1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</row>
    <row r="711" ht="14.25" customHeight="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</row>
    <row r="712" ht="14.25" customHeight="1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</row>
    <row r="713" ht="14.25" customHeight="1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</row>
    <row r="714" ht="14.25" customHeight="1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</row>
    <row r="715" ht="14.25" customHeight="1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</row>
    <row r="716" ht="14.25" customHeight="1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</row>
    <row r="717" ht="14.25" customHeight="1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</row>
    <row r="718" ht="14.25" customHeight="1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</row>
    <row r="719" ht="14.25" customHeight="1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</row>
    <row r="720" ht="14.25" customHeight="1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</row>
    <row r="721" ht="14.25" customHeight="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</row>
    <row r="722" ht="14.25" customHeight="1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</row>
    <row r="723" ht="14.25" customHeight="1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</row>
    <row r="724" ht="14.25" customHeight="1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</row>
    <row r="725" ht="14.25" customHeight="1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</row>
    <row r="726" ht="14.25" customHeight="1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</row>
    <row r="727" ht="14.25" customHeight="1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</row>
    <row r="728" ht="14.25" customHeight="1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</row>
    <row r="729" ht="14.25" customHeight="1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</row>
    <row r="730" ht="14.25" customHeight="1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</row>
    <row r="731" ht="14.25" customHeight="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</row>
    <row r="732" ht="14.25" customHeight="1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</row>
    <row r="733" ht="14.25" customHeight="1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</row>
    <row r="734" ht="14.25" customHeight="1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</row>
    <row r="735" ht="14.25" customHeight="1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</row>
    <row r="736" ht="14.25" customHeight="1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</row>
    <row r="737" ht="14.25" customHeight="1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</row>
    <row r="738" ht="14.25" customHeight="1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</row>
    <row r="739" ht="14.25" customHeight="1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</row>
    <row r="740" ht="14.25" customHeight="1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</row>
    <row r="741" ht="14.25" customHeight="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</row>
    <row r="742" ht="14.25" customHeight="1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</row>
    <row r="743" ht="14.25" customHeight="1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</row>
    <row r="744" ht="14.25" customHeight="1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</row>
    <row r="745" ht="14.25" customHeight="1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</row>
    <row r="746" ht="14.25" customHeight="1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</row>
    <row r="747" ht="14.25" customHeight="1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</row>
    <row r="748" ht="14.25" customHeight="1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</row>
    <row r="749" ht="14.25" customHeight="1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</row>
    <row r="750" ht="14.25" customHeight="1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</row>
    <row r="751" ht="14.25" customHeight="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</row>
    <row r="752" ht="14.25" customHeight="1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</row>
    <row r="753" ht="14.25" customHeight="1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</row>
    <row r="754" ht="14.25" customHeight="1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</row>
    <row r="755" ht="14.25" customHeight="1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</row>
    <row r="756" ht="14.25" customHeight="1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</row>
    <row r="757" ht="14.25" customHeight="1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</row>
    <row r="758" ht="14.25" customHeight="1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</row>
    <row r="759" ht="14.25" customHeight="1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</row>
    <row r="760" ht="14.25" customHeight="1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</row>
    <row r="761" ht="14.25" customHeight="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</row>
    <row r="762" ht="14.25" customHeight="1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</row>
    <row r="763" ht="14.25" customHeight="1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</row>
    <row r="764" ht="14.25" customHeight="1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</row>
    <row r="765" ht="14.25" customHeight="1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</row>
    <row r="766" ht="14.25" customHeight="1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</row>
    <row r="767" ht="14.25" customHeight="1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</row>
    <row r="768" ht="14.25" customHeight="1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</row>
    <row r="769" ht="14.25" customHeight="1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</row>
    <row r="770" ht="14.25" customHeight="1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</row>
    <row r="771" ht="14.25" customHeight="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</row>
    <row r="772" ht="14.25" customHeight="1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</row>
    <row r="773" ht="14.25" customHeight="1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</row>
    <row r="774" ht="14.25" customHeight="1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</row>
    <row r="775" ht="14.25" customHeight="1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</row>
    <row r="776" ht="14.25" customHeight="1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</row>
    <row r="777" ht="14.25" customHeight="1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</row>
    <row r="778" ht="14.25" customHeight="1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</row>
    <row r="779" ht="14.25" customHeight="1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</row>
    <row r="780" ht="14.25" customHeight="1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</row>
    <row r="781" ht="14.25" customHeight="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</row>
    <row r="782" ht="14.25" customHeight="1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</row>
    <row r="783" ht="14.25" customHeight="1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</row>
    <row r="784" ht="14.25" customHeight="1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</row>
    <row r="785" ht="14.25" customHeight="1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</row>
    <row r="786" ht="14.25" customHeight="1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</row>
    <row r="787" ht="14.25" customHeight="1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</row>
    <row r="788" ht="14.25" customHeight="1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</row>
    <row r="789" ht="14.25" customHeight="1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</row>
    <row r="790" ht="14.25" customHeight="1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</row>
    <row r="791" ht="14.25" customHeight="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</row>
    <row r="792" ht="14.25" customHeight="1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</row>
    <row r="793" ht="14.25" customHeight="1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</row>
    <row r="794" ht="14.25" customHeight="1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</row>
    <row r="795" ht="14.25" customHeight="1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</row>
    <row r="796" ht="14.25" customHeight="1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</row>
    <row r="797" ht="14.25" customHeight="1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</row>
    <row r="798" ht="14.25" customHeight="1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</row>
    <row r="799" ht="14.25" customHeight="1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</row>
    <row r="800" ht="14.25" customHeight="1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</row>
    <row r="801" ht="14.25" customHeight="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</row>
    <row r="802" ht="14.25" customHeight="1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</row>
    <row r="803" ht="14.25" customHeight="1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</row>
    <row r="804" ht="14.25" customHeight="1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</row>
    <row r="805" ht="14.25" customHeight="1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</row>
    <row r="806" ht="14.25" customHeight="1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</row>
    <row r="807" ht="14.25" customHeight="1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</row>
    <row r="808" ht="14.25" customHeight="1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</row>
    <row r="809" ht="14.25" customHeight="1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</row>
    <row r="810" ht="14.25" customHeight="1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</row>
    <row r="811" ht="14.25" customHeight="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</row>
    <row r="812" ht="14.25" customHeight="1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</row>
    <row r="813" ht="14.25" customHeight="1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</row>
    <row r="814" ht="14.25" customHeight="1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</row>
    <row r="815" ht="14.25" customHeight="1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</row>
    <row r="816" ht="14.25" customHeight="1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</row>
    <row r="817" ht="14.25" customHeight="1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</row>
    <row r="818" ht="14.25" customHeight="1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</row>
    <row r="819" ht="14.25" customHeight="1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</row>
    <row r="820" ht="14.25" customHeight="1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</row>
    <row r="821" ht="14.25" customHeight="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</row>
    <row r="822" ht="14.25" customHeight="1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</row>
    <row r="823" ht="14.25" customHeight="1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</row>
    <row r="824" ht="14.25" customHeight="1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</row>
    <row r="825" ht="14.25" customHeight="1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</row>
    <row r="826" ht="14.25" customHeight="1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</row>
    <row r="827" ht="14.25" customHeight="1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</row>
    <row r="828" ht="14.25" customHeight="1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</row>
    <row r="829" ht="14.25" customHeight="1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</row>
    <row r="830" ht="14.25" customHeight="1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</row>
    <row r="831" ht="14.25" customHeight="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</row>
    <row r="832" ht="14.25" customHeight="1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</row>
    <row r="833" ht="14.25" customHeight="1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</row>
    <row r="834" ht="14.25" customHeight="1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</row>
    <row r="835" ht="14.25" customHeight="1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</row>
    <row r="836" ht="14.25" customHeight="1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</row>
    <row r="837" ht="14.25" customHeight="1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</row>
    <row r="838" ht="14.25" customHeight="1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</row>
    <row r="839" ht="14.25" customHeight="1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</row>
    <row r="840" ht="14.25" customHeight="1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</row>
    <row r="841" ht="14.25" customHeight="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</row>
    <row r="842" ht="14.25" customHeight="1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</row>
    <row r="843" ht="14.25" customHeight="1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</row>
    <row r="844" ht="14.25" customHeight="1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</row>
    <row r="845" ht="14.25" customHeight="1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</row>
    <row r="846" ht="14.25" customHeight="1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</row>
    <row r="847" ht="14.25" customHeight="1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</row>
    <row r="848" ht="14.25" customHeight="1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</row>
    <row r="849" ht="14.25" customHeight="1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</row>
    <row r="850" ht="14.25" customHeight="1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</row>
    <row r="851" ht="14.25" customHeight="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</row>
    <row r="852" ht="14.25" customHeight="1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</row>
    <row r="853" ht="14.25" customHeight="1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</row>
    <row r="854" ht="14.25" customHeight="1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</row>
    <row r="855" ht="14.25" customHeight="1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</row>
    <row r="856" ht="14.25" customHeight="1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</row>
    <row r="857" ht="14.25" customHeight="1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</row>
    <row r="858" ht="14.25" customHeight="1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</row>
    <row r="859" ht="14.25" customHeight="1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</row>
    <row r="860" ht="14.25" customHeight="1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</row>
    <row r="861" ht="14.25" customHeight="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</row>
    <row r="862" ht="14.25" customHeight="1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</row>
    <row r="863" ht="14.25" customHeight="1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</row>
    <row r="864" ht="14.25" customHeight="1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</row>
    <row r="865" ht="14.25" customHeight="1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</row>
    <row r="866" ht="14.25" customHeight="1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</row>
    <row r="867" ht="14.25" customHeight="1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</row>
    <row r="868" ht="14.25" customHeight="1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</row>
    <row r="869" ht="14.25" customHeight="1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</row>
    <row r="870" ht="14.25" customHeight="1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</row>
    <row r="871" ht="14.25" customHeight="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</row>
    <row r="872" ht="14.25" customHeight="1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</row>
    <row r="873" ht="14.25" customHeight="1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</row>
    <row r="874" ht="14.25" customHeight="1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</row>
    <row r="875" ht="14.25" customHeight="1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</row>
    <row r="876" ht="14.25" customHeight="1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</row>
    <row r="877" ht="14.25" customHeight="1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</row>
    <row r="878" ht="14.25" customHeight="1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</row>
    <row r="879" ht="14.25" customHeight="1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</row>
    <row r="880" ht="14.25" customHeight="1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</row>
    <row r="881" ht="14.25" customHeight="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</row>
    <row r="882" ht="14.25" customHeight="1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</row>
    <row r="883" ht="14.25" customHeight="1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</row>
    <row r="884" ht="14.25" customHeight="1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</row>
    <row r="885" ht="14.25" customHeight="1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</row>
    <row r="886" ht="14.25" customHeight="1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</row>
    <row r="887" ht="14.25" customHeight="1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</row>
    <row r="888" ht="14.25" customHeight="1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</row>
    <row r="889" ht="14.25" customHeight="1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</row>
    <row r="890" ht="14.25" customHeight="1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</row>
    <row r="891" ht="14.25" customHeight="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</row>
    <row r="892" ht="14.25" customHeight="1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</row>
    <row r="893" ht="14.25" customHeight="1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</row>
    <row r="894" ht="14.25" customHeight="1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</row>
    <row r="895" ht="14.25" customHeight="1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</row>
    <row r="896" ht="14.25" customHeight="1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</row>
    <row r="897" ht="14.25" customHeight="1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</row>
    <row r="898" ht="14.25" customHeight="1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</row>
    <row r="899" ht="14.25" customHeight="1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</row>
    <row r="900" ht="14.25" customHeight="1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</row>
    <row r="901" ht="14.25" customHeight="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</row>
    <row r="902" ht="14.25" customHeight="1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</row>
    <row r="903" ht="14.25" customHeight="1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</row>
    <row r="904" ht="14.25" customHeight="1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</row>
    <row r="905" ht="14.25" customHeight="1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</row>
    <row r="906" ht="14.25" customHeight="1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</row>
    <row r="907" ht="14.25" customHeight="1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</row>
    <row r="908" ht="14.25" customHeight="1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</row>
    <row r="909" ht="14.25" customHeight="1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</row>
    <row r="910" ht="14.25" customHeight="1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</row>
    <row r="911" ht="14.25" customHeight="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</row>
    <row r="912" ht="14.25" customHeight="1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</row>
    <row r="913" ht="14.25" customHeight="1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</row>
    <row r="914" ht="14.25" customHeight="1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</row>
    <row r="915" ht="14.25" customHeight="1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</row>
    <row r="916" ht="14.25" customHeight="1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</row>
    <row r="917" ht="14.25" customHeight="1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</row>
    <row r="918" ht="14.25" customHeight="1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</row>
    <row r="919" ht="14.25" customHeight="1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</row>
    <row r="920" ht="14.25" customHeight="1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</row>
    <row r="921" ht="14.25" customHeight="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</row>
    <row r="922" ht="14.25" customHeight="1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</row>
    <row r="923" ht="14.25" customHeight="1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</row>
    <row r="924" ht="14.25" customHeight="1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</row>
    <row r="925" ht="14.25" customHeight="1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</row>
    <row r="926" ht="14.25" customHeight="1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</row>
    <row r="927" ht="14.25" customHeight="1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</row>
    <row r="928" ht="14.25" customHeight="1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</row>
    <row r="929" ht="14.25" customHeight="1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</row>
    <row r="930" ht="14.25" customHeight="1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</row>
    <row r="931" ht="14.25" customHeight="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</row>
    <row r="932" ht="14.25" customHeight="1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</row>
    <row r="933" ht="14.25" customHeight="1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</row>
    <row r="934" ht="14.25" customHeight="1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</row>
    <row r="935" ht="14.25" customHeight="1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</row>
    <row r="936" ht="14.25" customHeight="1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</row>
    <row r="937" ht="14.25" customHeight="1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</row>
    <row r="938" ht="14.25" customHeight="1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</row>
    <row r="939" ht="14.25" customHeight="1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</row>
    <row r="940" ht="14.25" customHeight="1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</row>
    <row r="941" ht="14.25" customHeight="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</row>
    <row r="942" ht="14.25" customHeight="1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</row>
    <row r="943" ht="14.25" customHeight="1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</row>
    <row r="944" ht="14.25" customHeight="1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</row>
    <row r="945" ht="14.25" customHeight="1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</row>
    <row r="946" ht="14.25" customHeight="1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</row>
    <row r="947" ht="14.25" customHeight="1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</row>
    <row r="948" ht="14.25" customHeight="1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</row>
    <row r="949" ht="14.25" customHeight="1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</row>
    <row r="950" ht="14.25" customHeight="1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</row>
    <row r="951" ht="14.25" customHeight="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</row>
    <row r="952" ht="14.25" customHeight="1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</row>
    <row r="953" ht="14.25" customHeight="1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</row>
    <row r="954" ht="14.25" customHeight="1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</row>
    <row r="955" ht="14.25" customHeight="1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</row>
    <row r="956" ht="14.25" customHeight="1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</row>
    <row r="957" ht="14.25" customHeight="1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</row>
    <row r="958" ht="14.25" customHeight="1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</row>
    <row r="959" ht="14.25" customHeight="1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</row>
    <row r="960" ht="14.25" customHeight="1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</row>
    <row r="961" ht="14.25" customHeight="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</row>
    <row r="962" ht="14.25" customHeight="1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</row>
    <row r="963" ht="14.25" customHeight="1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</row>
    <row r="964" ht="14.25" customHeight="1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</row>
    <row r="965" ht="14.25" customHeight="1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</row>
    <row r="966" ht="14.25" customHeight="1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</row>
    <row r="967" ht="14.25" customHeight="1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</row>
    <row r="968" ht="14.25" customHeight="1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</row>
    <row r="969" ht="14.25" customHeight="1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</row>
    <row r="970" ht="14.25" customHeight="1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</row>
    <row r="971" ht="14.25" customHeight="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</row>
    <row r="972" ht="14.25" customHeight="1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</row>
    <row r="973" ht="14.25" customHeight="1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</row>
    <row r="974" ht="14.25" customHeight="1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</row>
    <row r="975" ht="14.25" customHeight="1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</row>
    <row r="976" ht="14.25" customHeight="1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</row>
    <row r="977" ht="14.25" customHeight="1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</row>
    <row r="978" ht="14.25" customHeight="1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</row>
    <row r="979" ht="14.25" customHeight="1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</row>
    <row r="980" ht="14.25" customHeight="1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</row>
    <row r="981" ht="14.25" customHeight="1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</row>
    <row r="982" ht="14.25" customHeight="1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</row>
    <row r="983" ht="14.25" customHeight="1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</row>
    <row r="984" ht="14.25" customHeight="1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</row>
    <row r="985" ht="14.25" customHeight="1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</row>
    <row r="986" ht="14.25" customHeight="1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</row>
    <row r="987" ht="14.25" customHeight="1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</row>
    <row r="988" ht="14.25" customHeight="1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</row>
    <row r="989" ht="14.25" customHeight="1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</row>
    <row r="990" ht="14.25" customHeight="1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</row>
    <row r="991" ht="14.25" customHeight="1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</row>
    <row r="992" ht="14.25" customHeight="1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</row>
    <row r="993" ht="14.25" customHeight="1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</row>
    <row r="994" ht="14.25" customHeight="1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</row>
    <row r="995" ht="14.25" customHeight="1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</row>
    <row r="996" ht="14.25" customHeight="1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</row>
    <row r="997" ht="14.25" customHeight="1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</row>
    <row r="998" ht="14.25" customHeight="1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</row>
    <row r="999" ht="14.25" customHeight="1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</row>
    <row r="1000" ht="14.25" customHeight="1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</row>
  </sheetData>
  <conditionalFormatting sqref="A193:G193">
    <cfRule type="expression" dxfId="0" priority="1">
      <formula>ISEVEN(ROW())</formula>
    </cfRule>
  </conditionalFormatting>
  <dataValidations>
    <dataValidation type="list" allowBlank="1" showDropDown="1" sqref="E2:E231">
      <formula1>"G,E,CG,CE,A"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2026-07-01T13:14:00Z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5FDA7CCE40984B0DABCE30F86D944AE0_12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