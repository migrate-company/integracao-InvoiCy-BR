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k10086\Desktop\"/>
    </mc:Choice>
  </mc:AlternateContent>
  <xr:revisionPtr revIDLastSave="0" documentId="13_ncr:1_{D18CCF67-64B0-4B2F-A9FD-E3FAFC6E7CB6}" xr6:coauthVersionLast="40" xr6:coauthVersionMax="40" xr10:uidLastSave="{00000000-0000-0000-0000-000000000000}"/>
  <bookViews>
    <workbookView xWindow="-120" yWindow="-120" windowWidth="20730" windowHeight="11160" xr2:uid="{00000000-000D-0000-FFFF-FFFF00000000}"/>
  </bookViews>
  <sheets>
    <sheet name="Itens" sheetId="1" r:id="rId1"/>
    <sheet name="Pessoas" sheetId="3" r:id="rId2"/>
  </sheets>
  <definedNames>
    <definedName name="_xlnm._FilterDatabase" localSheetId="0" hidden="1">Itens!#REF!</definedName>
    <definedName name="_xlnm._FilterDatabase" localSheetId="1" hidden="1">Pessoas!#REF!</definedName>
    <definedName name="OLE_LINK3" localSheetId="0">Itens!$A$6</definedName>
    <definedName name="OLE_LINK3" localSheetId="1">Pessoas!$A$6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6" i="3" l="1"/>
  <c r="A25" i="3"/>
  <c r="A10" i="3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9" i="3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9" i="1" l="1"/>
</calcChain>
</file>

<file path=xl/sharedStrings.xml><?xml version="1.0" encoding="utf-8"?>
<sst xmlns="http://schemas.openxmlformats.org/spreadsheetml/2006/main" count="349" uniqueCount="159">
  <si>
    <t>Nº</t>
  </si>
  <si>
    <t>ID</t>
  </si>
  <si>
    <t>Campo</t>
  </si>
  <si>
    <t>Descrição</t>
  </si>
  <si>
    <t>Ele</t>
  </si>
  <si>
    <t>Pai</t>
  </si>
  <si>
    <t>Tipo</t>
  </si>
  <si>
    <t>Ocorr.</t>
  </si>
  <si>
    <t>Obrig.</t>
  </si>
  <si>
    <t>Observações</t>
  </si>
  <si>
    <t>A - Identificação da Nota Fiscal Eletrônica</t>
  </si>
  <si>
    <t>A01</t>
  </si>
  <si>
    <t>Elemento Superior da Estrutura</t>
  </si>
  <si>
    <t>G</t>
  </si>
  <si>
    <t>RAIZ</t>
  </si>
  <si>
    <t>-</t>
  </si>
  <si>
    <t>S</t>
  </si>
  <si>
    <t>Preenchimento obrigatório</t>
  </si>
  <si>
    <t>A02</t>
  </si>
  <si>
    <t>E</t>
  </si>
  <si>
    <t>A03</t>
  </si>
  <si>
    <t>0-1</t>
  </si>
  <si>
    <t>N</t>
  </si>
  <si>
    <t>N (1)</t>
  </si>
  <si>
    <t>1-1</t>
  </si>
  <si>
    <t>N (8)</t>
  </si>
  <si>
    <t>N (7)</t>
  </si>
  <si>
    <t>CE</t>
  </si>
  <si>
    <t>Logradouro</t>
  </si>
  <si>
    <t>Complemento</t>
  </si>
  <si>
    <t>Bairro</t>
  </si>
  <si>
    <t>Código do município</t>
  </si>
  <si>
    <t>Código do CEP</t>
  </si>
  <si>
    <t>Código do País</t>
  </si>
  <si>
    <t>Inscrição Municipal</t>
  </si>
  <si>
    <t>TAG de grupo de identificação do Destinatário da NF-e</t>
  </si>
  <si>
    <t>CNPJ do destinatário</t>
  </si>
  <si>
    <t>CPF do destinatário</t>
  </si>
  <si>
    <t>Razão Social ou nome do destinatário</t>
  </si>
  <si>
    <t>Número do Destinatário</t>
  </si>
  <si>
    <t>Número do destinatário</t>
  </si>
  <si>
    <t>Complemento do destinatário</t>
  </si>
  <si>
    <t>Bairro do destinatário</t>
  </si>
  <si>
    <t>E-mail do destinatário</t>
  </si>
  <si>
    <t>Logradouro do destinatário</t>
  </si>
  <si>
    <t>Informar os zeros não significativos.</t>
  </si>
  <si>
    <t>N (2-4)</t>
  </si>
  <si>
    <t>Utilizar a Tabela do BACEN</t>
  </si>
  <si>
    <t>Telefone do destinatário</t>
  </si>
  <si>
    <t xml:space="preserve">Inscrição Estadual do Destinatário </t>
  </si>
  <si>
    <t>Inscrição na SUFRAMA</t>
  </si>
  <si>
    <t>Obrigatório, nas operações que se beneficiam de incentivos fiscais existentes nas áreas sob controle da SUFRAMA. A omissão da Inscrição SUFRAMA impede o processamento da operação pelo Sistema de Mercadoria Nacional da SUFRAMA e a liberação da Declaração de Ingresso, prejudicando a comprovação do ingresso/internamento da mercadoria nas áreas sob controle da SUFRAMA.</t>
  </si>
  <si>
    <t>Informar a IE quando o destinatário for contribuinte do ICMS. Informar ISENTO quando o destinatário for contribuinte do ICMS, mas não estiver obrigado à inscrição no cadastro de contribuintes do ICMS. Não informar o conteúdo do campo se o destinatário não for contribuinte do ICMS.</t>
  </si>
  <si>
    <t>Utilizar a Tabela do IBGE.
Informar ‘9999999’ para operações com o exterior.</t>
  </si>
  <si>
    <t>Preencher com o Código DDD + número do telefone. Nas operações com exterior é permitido informar o código do país + código da localidade + número do telefone.</t>
  </si>
  <si>
    <t>Código do produto ou serviço</t>
  </si>
  <si>
    <t>Preencher com CFOP, caso se trate de itens não relacionados com mercadorias/produtos e que o contribuinte não possua codificação própria. Formato “CFOP9999”.</t>
  </si>
  <si>
    <t>GTIN (Global Trade Item Number) do produto, antigo código EAN ou código de barras.</t>
  </si>
  <si>
    <t>Código NCM com 8 dígitos ou 2 dígitos (gênero)</t>
  </si>
  <si>
    <t>Código NCM (8 posições), informar o gênero (posição do capítulo do NCM) quando a operação não for de comércio exterior (importação/ exportação) ou o produto não seja tributado pelo IPI. Em caso de serviço informar o código 99</t>
  </si>
  <si>
    <t>EX_TIPI</t>
  </si>
  <si>
    <t>Preencher de acordo com o código EX da TIPI. Em caso de serviço, não incluir a TAG.</t>
  </si>
  <si>
    <t>Unidade Comercial</t>
  </si>
  <si>
    <t>Informar a unidade de comercialização do produto.</t>
  </si>
  <si>
    <t>Valor Unitário de comercialização</t>
  </si>
  <si>
    <t>N (21.10)</t>
  </si>
  <si>
    <t>Informar o valor unitário de comercialização do produto, campo meramente informativo, o contribuinte pode utilizar a precisão desejada (0-10 decimais). Para efeitos de cálculo, o valor unitário será obtido pela divisão do valor do produto pela quantidade comercial.</t>
  </si>
  <si>
    <t>GTIN (Global Trade Item Number) da unidade tributável, antigo código EAN ou código de barras.</t>
  </si>
  <si>
    <t>Unidade Tributável</t>
  </si>
  <si>
    <t>Valor Unitário de tributação</t>
  </si>
  <si>
    <t>Informar o valor unitário de tributação do produto, campo meramente informativo, o contribuinte pode utilizar a precisão desejada (0-10 decimais). Para efeitos de cálculo, o valor unitário será obtido pela divisão do valor do produto pela quantidade tributável.</t>
  </si>
  <si>
    <t>Indica se valor do Item (vProd) entra no valor total da NF-e (vProd)</t>
  </si>
  <si>
    <t>Este campo deverá ser preenchido com:
0 – o valor do item (vProd) não compõe o valor total da NF-e (vProd)
1 – o valor do item (vProd) compõe o valor total da NF-e (vProd)</t>
  </si>
  <si>
    <t>Identificação do destinatário no caso de comprador estrangeiro</t>
  </si>
  <si>
    <t>Indicador da IE do Destinatário</t>
  </si>
  <si>
    <t>Campo opcional, pode ser informado na NF-e conjugada, com itens de produtos sujeitos ao ICMS e itens de serviços sujeitos ao ISSQN.</t>
  </si>
  <si>
    <t>Razão Social ou nome do destinatário, obrigatório para NF-e</t>
  </si>
  <si>
    <t xml:space="preserve">  xNome</t>
  </si>
  <si>
    <t xml:space="preserve">  IM</t>
  </si>
  <si>
    <t xml:space="preserve">  IE</t>
  </si>
  <si>
    <t xml:space="preserve"> dest</t>
  </si>
  <si>
    <t xml:space="preserve">  idEstrangeiro</t>
  </si>
  <si>
    <t xml:space="preserve">  indIEDest</t>
  </si>
  <si>
    <t xml:space="preserve">  ISUF</t>
  </si>
  <si>
    <t>Informar o e-mail do destinatário, caso o campo "EmailArquivos" estiver vazio, o InvoiCy enviará os arquivos para o endereçõ informado neste campo.</t>
  </si>
  <si>
    <t xml:space="preserve"> det</t>
  </si>
  <si>
    <t>Nomenclatura de Valor Aduaneiro e Estatística</t>
  </si>
  <si>
    <t>N (6-14)</t>
  </si>
  <si>
    <t>A04</t>
  </si>
  <si>
    <t>A05</t>
  </si>
  <si>
    <t>Código CEST</t>
  </si>
  <si>
    <t>Código especificador da Substituição Tributária - CEST, que identifica a mercadoria sujeita aos regimes de substituição tributária e de antecipação do recolhimento do imposto.</t>
  </si>
  <si>
    <t>1-Contribuinte ICMS (informar a IE do destinatário)
2-Contribuinte isento de Inscrição no cadastro de Contribuintes do ICMS.
9-Não Contribuinte, que pode ou não possuir Inscrição Estadual no Cadastro de Contribuintes do ICMS;
Nota 1: No caso de NFC-e informar indIEDest=9 e não informar a tag IE do destinatário;
Nota 2: No caso de operação com o Exterior informar indIEDest=9 e não informar a tag IE do destinatário;
Nota 3: No caso de Contribuinte Isento de Inscrição (indIEDest=2), não informar a tag IE do destinatário.</t>
  </si>
  <si>
    <t>A06</t>
  </si>
  <si>
    <t>A07</t>
  </si>
  <si>
    <t>Informar o CNPJ ou o CPF do destinatário.
Não informar o conteúdo da TAG se a operação for realizada com o exterior. No caso de operação com o exterior, ou para comprador estrangeiro informar a tag "idEstrangeiro", com o número do passaporte ou outro documento legal para identificar pessoa estrangeira (este campo aceita valor Nulo).</t>
  </si>
  <si>
    <t>Indicador de escala relevante</t>
  </si>
  <si>
    <t>CNPJ do Fabricante da Mercadoria</t>
  </si>
  <si>
    <t>CNPJ do Fabricante da Mercadoria, obrigatório para produto em escala NÃO relevante.</t>
  </si>
  <si>
    <t>V (1-60)</t>
  </si>
  <si>
    <t>V (14)</t>
  </si>
  <si>
    <t>V (11)</t>
  </si>
  <si>
    <t>V (2-60)</t>
  </si>
  <si>
    <t>V (1-15)</t>
  </si>
  <si>
    <t>V (2-14)</t>
  </si>
  <si>
    <t>V (5-20)</t>
  </si>
  <si>
    <t>V (8-9)</t>
  </si>
  <si>
    <t>V (1-120)</t>
  </si>
  <si>
    <t>V (2-8)</t>
  </si>
  <si>
    <t>V (2-3)</t>
  </si>
  <si>
    <t>V (1-6)</t>
  </si>
  <si>
    <t>V (8)</t>
  </si>
  <si>
    <t>V (1)</t>
  </si>
  <si>
    <t>N (14)</t>
  </si>
  <si>
    <t>Indicador de Produção em escala relevante, conforme Cláusula 23 do Convênio ICMS 52/2017:
S - Produzido em Escala Relevante;
N - Produzido em Escala NÃO Relevante.
Nota: preenchimento obrigatório para produtos com NCM relacionado no Anexo XXVII do Convenio 52/2017.</t>
  </si>
  <si>
    <t>Preencher com o código GTIN-8, GTIN-12, GTIN-13 ou GTIN-14 (antigos códigos EAN, UPC e DUN-14). Para produtos que não possuem código de barras com GTIN, deve ser informado o literal “SEM GTIN”. Nos demais casos, deve-se preencher com GTIN contido na embalagem com código de barras.</t>
  </si>
  <si>
    <t>Layout NF-e 4.00 Emissor Gratuito</t>
  </si>
  <si>
    <t>sistema</t>
  </si>
  <si>
    <t xml:space="preserve">  prod</t>
  </si>
  <si>
    <t>TAG de grupo do detalhamento de Produtos da NF-e</t>
  </si>
  <si>
    <t xml:space="preserve">   cProd</t>
  </si>
  <si>
    <t xml:space="preserve">   cEAN</t>
  </si>
  <si>
    <t xml:space="preserve">   xProd</t>
  </si>
  <si>
    <t xml:space="preserve">   NCM</t>
  </si>
  <si>
    <t xml:space="preserve">   NVE</t>
  </si>
  <si>
    <t xml:space="preserve">   CEST</t>
  </si>
  <si>
    <t xml:space="preserve">   indEscala</t>
  </si>
  <si>
    <t xml:space="preserve">   CNPJFab</t>
  </si>
  <si>
    <t xml:space="preserve">   EXTIPI</t>
  </si>
  <si>
    <t xml:space="preserve">   uCom</t>
  </si>
  <si>
    <t xml:space="preserve">   vUnCom</t>
  </si>
  <si>
    <t xml:space="preserve">   cEANTrib</t>
  </si>
  <si>
    <t xml:space="preserve">   uTrib</t>
  </si>
  <si>
    <t xml:space="preserve">   vUnTrib</t>
  </si>
  <si>
    <t xml:space="preserve">   indTot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</si>
  <si>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</si>
  <si>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</si>
  <si>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</si>
  <si>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</si>
  <si>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</si>
  <si>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</si>
  <si>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</si>
  <si>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</si>
  <si>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</si>
  <si>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</si>
  <si>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</si>
  <si>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Descrição do produto</t>
  </si>
  <si>
    <t xml:space="preserve">  CPF</t>
  </si>
  <si>
    <t xml:space="preserve">  CNPJ</t>
  </si>
  <si>
    <t xml:space="preserve">  xLgr</t>
  </si>
  <si>
    <t xml:space="preserve">  nro</t>
  </si>
  <si>
    <t xml:space="preserve">  xBairro</t>
  </si>
  <si>
    <t xml:space="preserve">  cMun</t>
  </si>
  <si>
    <t xml:space="preserve">  CEP</t>
  </si>
  <si>
    <t xml:space="preserve">  cPais</t>
  </si>
  <si>
    <t xml:space="preserve">  xCpl</t>
  </si>
  <si>
    <t xml:space="preserve">  fone</t>
  </si>
  <si>
    <t xml:space="preserve">  email</t>
  </si>
  <si>
    <t>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</si>
</sst>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b/>
      <sz val="24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49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2" fillId="2" borderId="0" xfId="0" applyFont="1" applyFill="1"/>
    <xf numFmtId="0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wrapText="1"/>
    </xf>
    <xf numFmtId="0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wrapText="1"/>
    </xf>
    <xf numFmtId="0" fontId="2" fillId="2" borderId="0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90" zoomScaleNormal="90" workbookViewId="0">
      <selection activeCell="C12" sqref="C12"/>
    </sheetView>
  </sheetViews>
  <sheetFormatPr defaultRowHeight="12.75" x14ac:dyDescent="0.2"/>
  <cols>
    <col min="1" max="1" width="7.7109375" style="7" bestFit="1" customWidth="1"/>
    <col min="2" max="2" width="8.42578125" style="1" bestFit="1" customWidth="1"/>
    <col min="3" max="3" width="24" style="8" customWidth="1"/>
    <col min="4" max="4" width="44.7109375" style="8" customWidth="1"/>
    <col min="5" max="5" width="9.28515625" style="9" customWidth="1"/>
    <col min="6" max="6" width="8.28515625" style="9" bestFit="1" customWidth="1"/>
    <col min="7" max="7" width="15.140625" style="9" bestFit="1" customWidth="1"/>
    <col min="8" max="8" width="11.28515625" style="10" bestFit="1" customWidth="1"/>
    <col min="9" max="9" width="11" style="9" bestFit="1" customWidth="1"/>
    <col min="10" max="10" width="75.7109375" style="8" customWidth="1"/>
    <col min="11" max="11" width="13.28515625" style="1" customWidth="1"/>
    <col min="12" max="16384" width="9.140625" style="1"/>
  </cols>
  <sheetData>
    <row r="1" spans="1:17" x14ac:dyDescent="0.2">
      <c r="A1" s="34"/>
      <c r="B1" s="34"/>
      <c r="C1" s="34"/>
      <c r="D1" s="34"/>
      <c r="E1" s="34"/>
      <c r="F1" s="34"/>
      <c r="G1" s="34"/>
      <c r="H1" s="34"/>
      <c r="I1" s="34"/>
      <c r="J1" s="34"/>
      <c r="K1" s="29"/>
      <c r="L1" s="29"/>
      <c r="M1" s="29"/>
      <c r="N1" s="29"/>
      <c r="O1" s="29"/>
      <c r="P1" s="29"/>
      <c r="Q1" s="29"/>
    </row>
    <row r="2" spans="1:17" x14ac:dyDescent="0.2">
      <c r="A2" s="34"/>
      <c r="B2" s="34"/>
      <c r="C2" s="34"/>
      <c r="D2" s="34"/>
      <c r="E2" s="34"/>
      <c r="F2" s="34"/>
      <c r="G2" s="34"/>
      <c r="H2" s="34"/>
      <c r="I2" s="34"/>
      <c r="J2" s="34"/>
      <c r="K2" s="29"/>
      <c r="L2" s="29"/>
      <c r="M2" s="29"/>
      <c r="N2" s="29"/>
      <c r="O2" s="29"/>
      <c r="P2" s="29"/>
      <c r="Q2" s="29"/>
    </row>
    <row r="3" spans="1:17" ht="30" customHeight="1" x14ac:dyDescent="0.4">
      <c r="A3" s="35" t="s">
        <v>116</v>
      </c>
      <c r="B3" s="35"/>
      <c r="C3" s="35"/>
      <c r="D3" s="35"/>
      <c r="E3" s="35"/>
      <c r="F3" s="35"/>
      <c r="G3" s="35"/>
      <c r="H3" s="35"/>
      <c r="I3" s="35"/>
      <c r="J3" s="35"/>
      <c r="K3" s="39"/>
      <c r="L3" s="29"/>
      <c r="M3" s="29"/>
      <c r="N3" s="29"/>
      <c r="O3" s="29"/>
      <c r="P3" s="29"/>
      <c r="Q3" s="29"/>
    </row>
    <row r="4" spans="1:17" x14ac:dyDescent="0.2">
      <c r="A4" s="34"/>
      <c r="B4" s="34"/>
      <c r="C4" s="36"/>
      <c r="D4" s="36"/>
      <c r="E4" s="36"/>
      <c r="F4" s="36"/>
      <c r="G4" s="36"/>
      <c r="H4" s="36"/>
      <c r="I4" s="36"/>
      <c r="J4" s="36"/>
      <c r="K4" s="29"/>
      <c r="L4" s="29"/>
      <c r="M4" s="29"/>
      <c r="N4" s="29"/>
      <c r="O4" s="29"/>
      <c r="P4" s="29"/>
      <c r="Q4" s="29"/>
    </row>
    <row r="5" spans="1:17" x14ac:dyDescent="0.2">
      <c r="A5" s="30"/>
      <c r="B5" s="30"/>
      <c r="C5" s="31"/>
      <c r="D5" s="31"/>
      <c r="E5" s="31"/>
      <c r="F5" s="31"/>
      <c r="G5" s="31"/>
      <c r="H5" s="31"/>
      <c r="I5" s="31"/>
      <c r="J5" s="31"/>
      <c r="K5" s="29"/>
      <c r="L5" s="29"/>
      <c r="M5" s="29"/>
      <c r="N5" s="29"/>
      <c r="O5" s="29"/>
      <c r="P5" s="29"/>
      <c r="Q5" s="29"/>
    </row>
    <row r="6" spans="1:17" s="2" customFormat="1" x14ac:dyDescent="0.2">
      <c r="A6" s="16" t="s">
        <v>0</v>
      </c>
      <c r="B6" s="17" t="s">
        <v>1</v>
      </c>
      <c r="C6" s="19" t="s">
        <v>2</v>
      </c>
      <c r="D6" s="17" t="s">
        <v>3</v>
      </c>
      <c r="E6" s="17" t="s">
        <v>4</v>
      </c>
      <c r="F6" s="17" t="s">
        <v>5</v>
      </c>
      <c r="G6" s="17" t="s">
        <v>6</v>
      </c>
      <c r="H6" s="18" t="s">
        <v>7</v>
      </c>
      <c r="I6" s="17" t="s">
        <v>8</v>
      </c>
      <c r="J6" s="19" t="s">
        <v>9</v>
      </c>
      <c r="K6" s="40"/>
      <c r="L6" s="40"/>
      <c r="M6" s="40"/>
      <c r="N6" s="40"/>
      <c r="O6" s="40"/>
      <c r="P6" s="40"/>
      <c r="Q6" s="40"/>
    </row>
    <row r="7" spans="1:17" x14ac:dyDescent="0.2">
      <c r="A7" s="37" t="s">
        <v>10</v>
      </c>
      <c r="B7" s="38"/>
      <c r="C7" s="38"/>
      <c r="D7" s="38"/>
      <c r="E7" s="38"/>
      <c r="F7" s="38"/>
      <c r="G7" s="38"/>
      <c r="H7" s="38"/>
      <c r="I7" s="38"/>
      <c r="J7" s="38"/>
      <c r="K7" s="29"/>
      <c r="L7" s="29"/>
      <c r="M7" s="29"/>
      <c r="N7" s="29"/>
      <c r="O7" s="29"/>
      <c r="P7" s="29"/>
      <c r="Q7" s="29"/>
    </row>
    <row r="8" spans="1:17" x14ac:dyDescent="0.2">
      <c r="A8" s="12">
        <v>1</v>
      </c>
      <c r="B8" s="13" t="s">
        <v>11</v>
      </c>
      <c r="C8" s="11" t="s">
        <v>117</v>
      </c>
      <c r="D8" s="11" t="s">
        <v>12</v>
      </c>
      <c r="E8" s="14" t="s">
        <v>13</v>
      </c>
      <c r="F8" s="14" t="s">
        <v>14</v>
      </c>
      <c r="G8" s="14" t="s">
        <v>15</v>
      </c>
      <c r="H8" s="15" t="s">
        <v>15</v>
      </c>
      <c r="I8" s="14" t="s">
        <v>16</v>
      </c>
      <c r="J8" s="11" t="s">
        <v>17</v>
      </c>
      <c r="K8" s="29"/>
      <c r="L8" s="29"/>
      <c r="M8" s="29"/>
      <c r="N8" s="29"/>
      <c r="O8" s="29"/>
      <c r="P8" s="29"/>
      <c r="Q8" s="29"/>
    </row>
    <row r="9" spans="1:17" ht="25.5" x14ac:dyDescent="0.2">
      <c r="A9" s="25">
        <f>A8+1</f>
        <v>2</v>
      </c>
      <c r="B9" s="26" t="s">
        <v>18</v>
      </c>
      <c r="C9" s="23" t="s">
        <v>85</v>
      </c>
      <c r="D9" s="23" t="s">
        <v>119</v>
      </c>
      <c r="E9" s="24" t="s">
        <v>13</v>
      </c>
      <c r="F9" s="24" t="s">
        <v>11</v>
      </c>
      <c r="G9" s="24" t="s">
        <v>15</v>
      </c>
      <c r="H9" s="27" t="s">
        <v>24</v>
      </c>
      <c r="I9" s="24" t="s">
        <v>16</v>
      </c>
      <c r="J9" s="23"/>
      <c r="K9" s="29"/>
      <c r="L9" s="29"/>
      <c r="M9" s="29"/>
      <c r="N9" s="29"/>
      <c r="O9" s="29"/>
      <c r="P9" s="29"/>
      <c r="Q9" s="29"/>
    </row>
    <row r="10" spans="1:17" s="29" customFormat="1" ht="25.5" x14ac:dyDescent="0.2">
      <c r="A10" s="25">
        <f t="shared" ref="A10:A25" si="0">A9+1</f>
        <v>3</v>
      </c>
      <c r="B10" s="26" t="s">
        <v>20</v>
      </c>
      <c r="C10" s="23" t="s">
        <v>118</v>
      </c>
      <c r="D10" s="23" t="s">
        <v>119</v>
      </c>
      <c r="E10" s="24" t="s">
        <v>13</v>
      </c>
      <c r="F10" s="24" t="s">
        <v>18</v>
      </c>
      <c r="G10" s="24" t="s">
        <v>15</v>
      </c>
      <c r="H10" s="27" t="s">
        <v>24</v>
      </c>
      <c r="I10" s="24" t="s">
        <v>16</v>
      </c>
      <c r="J10" s="23"/>
    </row>
    <row r="11" spans="1:17" s="29" customFormat="1" ht="38.25" x14ac:dyDescent="0.2">
      <c r="A11" s="25">
        <f t="shared" si="0"/>
        <v>4</v>
      </c>
      <c r="B11" s="26" t="s">
        <v>88</v>
      </c>
      <c r="C11" s="23" t="s">
        <v>120</v>
      </c>
      <c r="D11" s="3" t="s">
        <v>55</v>
      </c>
      <c r="E11" s="4" t="s">
        <v>19</v>
      </c>
      <c r="F11" s="4" t="s">
        <v>20</v>
      </c>
      <c r="G11" s="4" t="s">
        <v>99</v>
      </c>
      <c r="H11" s="5" t="s">
        <v>24</v>
      </c>
      <c r="I11" s="4" t="s">
        <v>16</v>
      </c>
      <c r="J11" s="3" t="s">
        <v>56</v>
      </c>
    </row>
    <row r="12" spans="1:17" s="29" customFormat="1" ht="51" x14ac:dyDescent="0.2">
      <c r="A12" s="25">
        <f t="shared" si="0"/>
        <v>5</v>
      </c>
      <c r="B12" s="26" t="s">
        <v>89</v>
      </c>
      <c r="C12" s="23" t="s">
        <v>121</v>
      </c>
      <c r="D12" s="20" t="s">
        <v>57</v>
      </c>
      <c r="E12" s="21" t="s">
        <v>19</v>
      </c>
      <c r="F12" s="4" t="s">
        <v>20</v>
      </c>
      <c r="G12" s="21" t="s">
        <v>100</v>
      </c>
      <c r="H12" s="22" t="s">
        <v>24</v>
      </c>
      <c r="I12" s="21" t="s">
        <v>16</v>
      </c>
      <c r="J12" s="20" t="s">
        <v>115</v>
      </c>
    </row>
    <row r="13" spans="1:17" s="29" customFormat="1" x14ac:dyDescent="0.2">
      <c r="A13" s="25">
        <f t="shared" si="0"/>
        <v>6</v>
      </c>
      <c r="B13" s="26" t="s">
        <v>93</v>
      </c>
      <c r="C13" s="23" t="s">
        <v>122</v>
      </c>
      <c r="D13" s="3" t="s">
        <v>146</v>
      </c>
      <c r="E13" s="4" t="s">
        <v>19</v>
      </c>
      <c r="F13" s="4" t="s">
        <v>20</v>
      </c>
      <c r="G13" s="4" t="s">
        <v>107</v>
      </c>
      <c r="H13" s="5" t="s">
        <v>24</v>
      </c>
      <c r="I13" s="4" t="s">
        <v>16</v>
      </c>
      <c r="J13" s="3"/>
    </row>
    <row r="14" spans="1:17" s="29" customFormat="1" ht="38.25" x14ac:dyDescent="0.2">
      <c r="A14" s="25">
        <f t="shared" si="0"/>
        <v>7</v>
      </c>
      <c r="B14" s="26" t="s">
        <v>94</v>
      </c>
      <c r="C14" s="23" t="s">
        <v>123</v>
      </c>
      <c r="D14" s="3" t="s">
        <v>58</v>
      </c>
      <c r="E14" s="4" t="s">
        <v>19</v>
      </c>
      <c r="F14" s="4" t="s">
        <v>20</v>
      </c>
      <c r="G14" s="4" t="s">
        <v>108</v>
      </c>
      <c r="H14" s="5" t="s">
        <v>24</v>
      </c>
      <c r="I14" s="4" t="s">
        <v>16</v>
      </c>
      <c r="J14" s="3" t="s">
        <v>59</v>
      </c>
    </row>
    <row r="15" spans="1:17" s="29" customFormat="1" ht="26.25" customHeight="1" x14ac:dyDescent="0.2">
      <c r="A15" s="25">
        <f t="shared" si="0"/>
        <v>8</v>
      </c>
      <c r="B15" s="26" t="s">
        <v>135</v>
      </c>
      <c r="C15" s="23" t="s">
        <v>124</v>
      </c>
      <c r="D15" s="11" t="s">
        <v>86</v>
      </c>
      <c r="E15" s="14" t="s">
        <v>19</v>
      </c>
      <c r="F15" s="4" t="s">
        <v>20</v>
      </c>
      <c r="G15" s="14" t="s">
        <v>111</v>
      </c>
      <c r="H15" s="15" t="s">
        <v>24</v>
      </c>
      <c r="I15" s="14" t="s">
        <v>16</v>
      </c>
      <c r="J15" s="11"/>
    </row>
    <row r="16" spans="1:17" s="29" customFormat="1" ht="38.25" x14ac:dyDescent="0.2">
      <c r="A16" s="25">
        <f t="shared" si="0"/>
        <v>9</v>
      </c>
      <c r="B16" s="26" t="s">
        <v>136</v>
      </c>
      <c r="C16" s="23" t="s">
        <v>125</v>
      </c>
      <c r="D16" s="23" t="s">
        <v>90</v>
      </c>
      <c r="E16" s="24" t="s">
        <v>19</v>
      </c>
      <c r="F16" s="4" t="s">
        <v>20</v>
      </c>
      <c r="G16" s="24" t="s">
        <v>26</v>
      </c>
      <c r="H16" s="27" t="s">
        <v>21</v>
      </c>
      <c r="I16" s="24" t="s">
        <v>22</v>
      </c>
      <c r="J16" s="23" t="s">
        <v>91</v>
      </c>
    </row>
    <row r="17" spans="1:10" s="29" customFormat="1" ht="76.5" x14ac:dyDescent="0.2">
      <c r="A17" s="25">
        <f t="shared" si="0"/>
        <v>10</v>
      </c>
      <c r="B17" s="26" t="s">
        <v>137</v>
      </c>
      <c r="C17" s="23" t="s">
        <v>126</v>
      </c>
      <c r="D17" s="20" t="s">
        <v>96</v>
      </c>
      <c r="E17" s="21" t="s">
        <v>19</v>
      </c>
      <c r="F17" s="4" t="s">
        <v>20</v>
      </c>
      <c r="G17" s="21" t="s">
        <v>112</v>
      </c>
      <c r="H17" s="27" t="s">
        <v>21</v>
      </c>
      <c r="I17" s="24" t="s">
        <v>22</v>
      </c>
      <c r="J17" s="20" t="s">
        <v>114</v>
      </c>
    </row>
    <row r="18" spans="1:10" s="29" customFormat="1" ht="26.25" customHeight="1" x14ac:dyDescent="0.2">
      <c r="A18" s="25">
        <f t="shared" si="0"/>
        <v>11</v>
      </c>
      <c r="B18" s="26" t="s">
        <v>138</v>
      </c>
      <c r="C18" s="23" t="s">
        <v>127</v>
      </c>
      <c r="D18" s="20" t="s">
        <v>97</v>
      </c>
      <c r="E18" s="21" t="s">
        <v>19</v>
      </c>
      <c r="F18" s="4" t="s">
        <v>20</v>
      </c>
      <c r="G18" s="21" t="s">
        <v>113</v>
      </c>
      <c r="H18" s="27" t="s">
        <v>21</v>
      </c>
      <c r="I18" s="24" t="s">
        <v>22</v>
      </c>
      <c r="J18" s="20" t="s">
        <v>98</v>
      </c>
    </row>
    <row r="19" spans="1:10" s="29" customFormat="1" ht="26.25" customHeight="1" x14ac:dyDescent="0.2">
      <c r="A19" s="25">
        <f t="shared" si="0"/>
        <v>12</v>
      </c>
      <c r="B19" s="26" t="s">
        <v>139</v>
      </c>
      <c r="C19" s="23" t="s">
        <v>128</v>
      </c>
      <c r="D19" s="3" t="s">
        <v>60</v>
      </c>
      <c r="E19" s="4" t="s">
        <v>19</v>
      </c>
      <c r="F19" s="4" t="s">
        <v>20</v>
      </c>
      <c r="G19" s="4" t="s">
        <v>109</v>
      </c>
      <c r="H19" s="5" t="s">
        <v>21</v>
      </c>
      <c r="I19" s="4" t="s">
        <v>22</v>
      </c>
      <c r="J19" s="3" t="s">
        <v>61</v>
      </c>
    </row>
    <row r="20" spans="1:10" s="29" customFormat="1" ht="26.25" customHeight="1" x14ac:dyDescent="0.2">
      <c r="A20" s="25">
        <f t="shared" si="0"/>
        <v>13</v>
      </c>
      <c r="B20" s="26" t="s">
        <v>140</v>
      </c>
      <c r="C20" s="23" t="s">
        <v>129</v>
      </c>
      <c r="D20" s="3" t="s">
        <v>62</v>
      </c>
      <c r="E20" s="4" t="s">
        <v>19</v>
      </c>
      <c r="F20" s="4" t="s">
        <v>20</v>
      </c>
      <c r="G20" s="4" t="s">
        <v>110</v>
      </c>
      <c r="H20" s="5" t="s">
        <v>24</v>
      </c>
      <c r="I20" s="4" t="s">
        <v>16</v>
      </c>
      <c r="J20" s="3" t="s">
        <v>63</v>
      </c>
    </row>
    <row r="21" spans="1:10" s="29" customFormat="1" ht="38.25" x14ac:dyDescent="0.2">
      <c r="A21" s="25">
        <f t="shared" si="0"/>
        <v>14</v>
      </c>
      <c r="B21" s="26" t="s">
        <v>141</v>
      </c>
      <c r="C21" s="23" t="s">
        <v>130</v>
      </c>
      <c r="D21" s="3" t="s">
        <v>64</v>
      </c>
      <c r="E21" s="4" t="s">
        <v>19</v>
      </c>
      <c r="F21" s="4" t="s">
        <v>20</v>
      </c>
      <c r="G21" s="4" t="s">
        <v>65</v>
      </c>
      <c r="H21" s="5" t="s">
        <v>24</v>
      </c>
      <c r="I21" s="4" t="s">
        <v>16</v>
      </c>
      <c r="J21" s="3" t="s">
        <v>66</v>
      </c>
    </row>
    <row r="22" spans="1:10" s="29" customFormat="1" ht="51" x14ac:dyDescent="0.2">
      <c r="A22" s="25">
        <f t="shared" si="0"/>
        <v>15</v>
      </c>
      <c r="B22" s="26" t="s">
        <v>142</v>
      </c>
      <c r="C22" s="23" t="s">
        <v>131</v>
      </c>
      <c r="D22" s="20" t="s">
        <v>67</v>
      </c>
      <c r="E22" s="21" t="s">
        <v>19</v>
      </c>
      <c r="F22" s="4" t="s">
        <v>20</v>
      </c>
      <c r="G22" s="21" t="s">
        <v>100</v>
      </c>
      <c r="H22" s="22" t="s">
        <v>24</v>
      </c>
      <c r="I22" s="21" t="s">
        <v>16</v>
      </c>
      <c r="J22" s="20" t="s">
        <v>115</v>
      </c>
    </row>
    <row r="23" spans="1:10" s="29" customFormat="1" ht="26.25" customHeight="1" x14ac:dyDescent="0.2">
      <c r="A23" s="25">
        <f t="shared" si="0"/>
        <v>16</v>
      </c>
      <c r="B23" s="26" t="s">
        <v>143</v>
      </c>
      <c r="C23" s="23" t="s">
        <v>132</v>
      </c>
      <c r="D23" s="3" t="s">
        <v>68</v>
      </c>
      <c r="E23" s="4" t="s">
        <v>19</v>
      </c>
      <c r="F23" s="4" t="s">
        <v>20</v>
      </c>
      <c r="G23" s="4" t="s">
        <v>110</v>
      </c>
      <c r="H23" s="5" t="s">
        <v>24</v>
      </c>
      <c r="I23" s="4" t="s">
        <v>16</v>
      </c>
      <c r="J23" s="3"/>
    </row>
    <row r="24" spans="1:10" s="29" customFormat="1" ht="38.25" x14ac:dyDescent="0.2">
      <c r="A24" s="25">
        <f t="shared" si="0"/>
        <v>17</v>
      </c>
      <c r="B24" s="26" t="s">
        <v>144</v>
      </c>
      <c r="C24" s="23" t="s">
        <v>133</v>
      </c>
      <c r="D24" s="3" t="s">
        <v>69</v>
      </c>
      <c r="E24" s="4" t="s">
        <v>19</v>
      </c>
      <c r="F24" s="4" t="s">
        <v>20</v>
      </c>
      <c r="G24" s="4" t="s">
        <v>65</v>
      </c>
      <c r="H24" s="5" t="s">
        <v>21</v>
      </c>
      <c r="I24" s="4" t="s">
        <v>22</v>
      </c>
      <c r="J24" s="3" t="s">
        <v>70</v>
      </c>
    </row>
    <row r="25" spans="1:10" s="29" customFormat="1" ht="38.25" x14ac:dyDescent="0.2">
      <c r="A25" s="25">
        <f t="shared" si="0"/>
        <v>18</v>
      </c>
      <c r="B25" s="26" t="s">
        <v>145</v>
      </c>
      <c r="C25" s="23" t="s">
        <v>134</v>
      </c>
      <c r="D25" s="3" t="s">
        <v>71</v>
      </c>
      <c r="E25" s="4" t="s">
        <v>19</v>
      </c>
      <c r="F25" s="4" t="s">
        <v>20</v>
      </c>
      <c r="G25" s="4" t="s">
        <v>23</v>
      </c>
      <c r="H25" s="5" t="s">
        <v>24</v>
      </c>
      <c r="I25" s="4" t="s">
        <v>16</v>
      </c>
      <c r="J25" s="3" t="s">
        <v>72</v>
      </c>
    </row>
  </sheetData>
  <mergeCells count="5">
    <mergeCell ref="A7:J7"/>
    <mergeCell ref="A1:J2"/>
    <mergeCell ref="A3:J3"/>
    <mergeCell ref="A4:B4"/>
    <mergeCell ref="C4:J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0F7C-9A65-433C-97B9-5E323047234D}">
  <dimension ref="A1:Q26"/>
  <sheetViews>
    <sheetView zoomScale="90" zoomScaleNormal="90" workbookViewId="0">
      <selection activeCell="D11" sqref="D11"/>
    </sheetView>
  </sheetViews>
  <sheetFormatPr defaultRowHeight="12.75" x14ac:dyDescent="0.2"/>
  <cols>
    <col min="1" max="1" width="7.7109375" style="7" bestFit="1" customWidth="1"/>
    <col min="2" max="2" width="8.42578125" style="1" bestFit="1" customWidth="1"/>
    <col min="3" max="3" width="24" style="8" customWidth="1"/>
    <col min="4" max="4" width="44.7109375" style="8" customWidth="1"/>
    <col min="5" max="5" width="9.28515625" style="9" customWidth="1"/>
    <col min="6" max="6" width="8.28515625" style="9" bestFit="1" customWidth="1"/>
    <col min="7" max="7" width="15.140625" style="9" bestFit="1" customWidth="1"/>
    <col min="8" max="8" width="11.28515625" style="10" bestFit="1" customWidth="1"/>
    <col min="9" max="9" width="11" style="9" bestFit="1" customWidth="1"/>
    <col min="10" max="10" width="75.7109375" style="8" customWidth="1"/>
    <col min="11" max="11" width="13.28515625" style="1" customWidth="1"/>
    <col min="12" max="16384" width="9.140625" style="1"/>
  </cols>
  <sheetData>
    <row r="1" spans="1:17" x14ac:dyDescent="0.2">
      <c r="A1" s="34"/>
      <c r="B1" s="34"/>
      <c r="C1" s="34"/>
      <c r="D1" s="34"/>
      <c r="E1" s="34"/>
      <c r="F1" s="34"/>
      <c r="G1" s="34"/>
      <c r="H1" s="34"/>
      <c r="I1" s="34"/>
      <c r="J1" s="34"/>
      <c r="K1" s="29"/>
      <c r="L1" s="29"/>
      <c r="M1" s="29"/>
      <c r="N1" s="29"/>
      <c r="O1" s="29"/>
      <c r="P1" s="29"/>
      <c r="Q1" s="29"/>
    </row>
    <row r="2" spans="1:17" x14ac:dyDescent="0.2">
      <c r="A2" s="34"/>
      <c r="B2" s="34"/>
      <c r="C2" s="34"/>
      <c r="D2" s="34"/>
      <c r="E2" s="34"/>
      <c r="F2" s="34"/>
      <c r="G2" s="34"/>
      <c r="H2" s="34"/>
      <c r="I2" s="34"/>
      <c r="J2" s="34"/>
      <c r="K2" s="29"/>
      <c r="L2" s="29"/>
      <c r="M2" s="29"/>
      <c r="N2" s="29"/>
      <c r="O2" s="29"/>
      <c r="P2" s="29"/>
      <c r="Q2" s="29"/>
    </row>
    <row r="3" spans="1:17" ht="30" customHeight="1" x14ac:dyDescent="0.4">
      <c r="A3" s="35" t="s">
        <v>116</v>
      </c>
      <c r="B3" s="35"/>
      <c r="C3" s="35"/>
      <c r="D3" s="35"/>
      <c r="E3" s="35"/>
      <c r="F3" s="35"/>
      <c r="G3" s="35"/>
      <c r="H3" s="35"/>
      <c r="I3" s="35"/>
      <c r="J3" s="35"/>
      <c r="K3" s="39"/>
      <c r="L3" s="29"/>
      <c r="M3" s="29"/>
      <c r="N3" s="29"/>
      <c r="O3" s="29"/>
      <c r="P3" s="29"/>
      <c r="Q3" s="29"/>
    </row>
    <row r="4" spans="1:17" x14ac:dyDescent="0.2">
      <c r="A4" s="34"/>
      <c r="B4" s="34"/>
      <c r="C4" s="36"/>
      <c r="D4" s="36"/>
      <c r="E4" s="36"/>
      <c r="F4" s="36"/>
      <c r="G4" s="36"/>
      <c r="H4" s="36"/>
      <c r="I4" s="36"/>
      <c r="J4" s="36"/>
      <c r="K4" s="29"/>
      <c r="L4" s="29"/>
      <c r="M4" s="29"/>
      <c r="N4" s="29"/>
      <c r="O4" s="29"/>
      <c r="P4" s="29"/>
      <c r="Q4" s="29"/>
    </row>
    <row r="5" spans="1:17" x14ac:dyDescent="0.2">
      <c r="A5" s="32"/>
      <c r="B5" s="32"/>
      <c r="C5" s="33"/>
      <c r="D5" s="33"/>
      <c r="E5" s="33"/>
      <c r="F5" s="33"/>
      <c r="G5" s="33"/>
      <c r="H5" s="33"/>
      <c r="I5" s="33"/>
      <c r="J5" s="33"/>
      <c r="K5" s="29"/>
      <c r="L5" s="29"/>
      <c r="M5" s="29"/>
      <c r="N5" s="29"/>
      <c r="O5" s="29"/>
      <c r="P5" s="29"/>
      <c r="Q5" s="29"/>
    </row>
    <row r="6" spans="1:17" s="2" customFormat="1" x14ac:dyDescent="0.2">
      <c r="A6" s="16" t="s">
        <v>0</v>
      </c>
      <c r="B6" s="17" t="s">
        <v>1</v>
      </c>
      <c r="C6" s="19" t="s">
        <v>2</v>
      </c>
      <c r="D6" s="17" t="s">
        <v>3</v>
      </c>
      <c r="E6" s="17" t="s">
        <v>4</v>
      </c>
      <c r="F6" s="17" t="s">
        <v>5</v>
      </c>
      <c r="G6" s="17" t="s">
        <v>6</v>
      </c>
      <c r="H6" s="18" t="s">
        <v>7</v>
      </c>
      <c r="I6" s="17" t="s">
        <v>8</v>
      </c>
      <c r="J6" s="19" t="s">
        <v>9</v>
      </c>
      <c r="K6" s="40"/>
      <c r="L6" s="40"/>
      <c r="M6" s="40"/>
      <c r="N6" s="40"/>
      <c r="O6" s="40"/>
      <c r="P6" s="40"/>
      <c r="Q6" s="40"/>
    </row>
    <row r="7" spans="1:17" x14ac:dyDescent="0.2">
      <c r="A7" s="37" t="s">
        <v>10</v>
      </c>
      <c r="B7" s="38"/>
      <c r="C7" s="38"/>
      <c r="D7" s="38"/>
      <c r="E7" s="38"/>
      <c r="F7" s="38"/>
      <c r="G7" s="38"/>
      <c r="H7" s="38"/>
      <c r="I7" s="38"/>
      <c r="J7" s="38"/>
      <c r="K7" s="29"/>
      <c r="L7" s="29"/>
      <c r="M7" s="29"/>
      <c r="N7" s="29"/>
      <c r="O7" s="29"/>
      <c r="P7" s="29"/>
      <c r="Q7" s="29"/>
    </row>
    <row r="8" spans="1:17" x14ac:dyDescent="0.2">
      <c r="A8" s="12">
        <v>1</v>
      </c>
      <c r="B8" s="13" t="s">
        <v>11</v>
      </c>
      <c r="C8" s="11" t="s">
        <v>117</v>
      </c>
      <c r="D8" s="11" t="s">
        <v>12</v>
      </c>
      <c r="E8" s="14" t="s">
        <v>13</v>
      </c>
      <c r="F8" s="14" t="s">
        <v>14</v>
      </c>
      <c r="G8" s="14" t="s">
        <v>15</v>
      </c>
      <c r="H8" s="15" t="s">
        <v>15</v>
      </c>
      <c r="I8" s="14" t="s">
        <v>16</v>
      </c>
      <c r="J8" s="11" t="s">
        <v>17</v>
      </c>
      <c r="K8" s="29"/>
      <c r="L8" s="29"/>
      <c r="M8" s="29"/>
      <c r="N8" s="29"/>
      <c r="O8" s="29"/>
      <c r="P8" s="29"/>
      <c r="Q8" s="29"/>
    </row>
    <row r="9" spans="1:17" ht="25.5" x14ac:dyDescent="0.2">
      <c r="A9" s="25">
        <f>A8+1</f>
        <v>2</v>
      </c>
      <c r="B9" s="26" t="s">
        <v>18</v>
      </c>
      <c r="C9" s="23" t="s">
        <v>80</v>
      </c>
      <c r="D9" s="23" t="s">
        <v>35</v>
      </c>
      <c r="E9" s="24" t="s">
        <v>13</v>
      </c>
      <c r="F9" s="24" t="s">
        <v>11</v>
      </c>
      <c r="G9" s="24" t="s">
        <v>15</v>
      </c>
      <c r="H9" s="27" t="s">
        <v>24</v>
      </c>
      <c r="I9" s="24" t="s">
        <v>16</v>
      </c>
      <c r="J9" s="23"/>
      <c r="K9" s="29"/>
      <c r="L9" s="29"/>
      <c r="M9" s="29"/>
      <c r="N9" s="29"/>
      <c r="O9" s="29"/>
      <c r="P9" s="29"/>
      <c r="Q9" s="29"/>
    </row>
    <row r="10" spans="1:17" s="29" customFormat="1" ht="38.25" customHeight="1" x14ac:dyDescent="0.2">
      <c r="A10" s="25">
        <f t="shared" ref="A10:A24" si="0">A9+1</f>
        <v>3</v>
      </c>
      <c r="B10" s="26" t="s">
        <v>20</v>
      </c>
      <c r="C10" s="23" t="s">
        <v>147</v>
      </c>
      <c r="D10" s="11" t="s">
        <v>37</v>
      </c>
      <c r="E10" s="14" t="s">
        <v>27</v>
      </c>
      <c r="F10" s="24" t="s">
        <v>18</v>
      </c>
      <c r="G10" s="14" t="s">
        <v>101</v>
      </c>
      <c r="H10" s="15" t="s">
        <v>24</v>
      </c>
      <c r="I10" s="14" t="s">
        <v>16</v>
      </c>
      <c r="J10" s="41" t="s">
        <v>95</v>
      </c>
    </row>
    <row r="11" spans="1:17" s="29" customFormat="1" ht="31.5" customHeight="1" x14ac:dyDescent="0.2">
      <c r="A11" s="25">
        <f t="shared" si="0"/>
        <v>4</v>
      </c>
      <c r="B11" s="26" t="s">
        <v>88</v>
      </c>
      <c r="C11" s="23" t="s">
        <v>148</v>
      </c>
      <c r="D11" s="11" t="s">
        <v>36</v>
      </c>
      <c r="E11" s="14" t="s">
        <v>27</v>
      </c>
      <c r="F11" s="24" t="s">
        <v>18</v>
      </c>
      <c r="G11" s="14" t="s">
        <v>100</v>
      </c>
      <c r="H11" s="15" t="s">
        <v>24</v>
      </c>
      <c r="I11" s="14" t="s">
        <v>16</v>
      </c>
      <c r="J11" s="42"/>
    </row>
    <row r="12" spans="1:17" s="29" customFormat="1" ht="25.5" x14ac:dyDescent="0.2">
      <c r="A12" s="25">
        <f t="shared" si="0"/>
        <v>5</v>
      </c>
      <c r="B12" s="26" t="s">
        <v>89</v>
      </c>
      <c r="C12" s="23" t="s">
        <v>81</v>
      </c>
      <c r="D12" s="11" t="s">
        <v>73</v>
      </c>
      <c r="E12" s="14" t="s">
        <v>27</v>
      </c>
      <c r="F12" s="24" t="s">
        <v>18</v>
      </c>
      <c r="G12" s="14" t="s">
        <v>105</v>
      </c>
      <c r="H12" s="15" t="s">
        <v>24</v>
      </c>
      <c r="I12" s="14" t="s">
        <v>16</v>
      </c>
      <c r="J12" s="43"/>
    </row>
    <row r="13" spans="1:17" s="29" customFormat="1" x14ac:dyDescent="0.2">
      <c r="A13" s="25">
        <f t="shared" si="0"/>
        <v>6</v>
      </c>
      <c r="B13" s="26" t="s">
        <v>93</v>
      </c>
      <c r="C13" s="23" t="s">
        <v>77</v>
      </c>
      <c r="D13" s="11" t="s">
        <v>38</v>
      </c>
      <c r="E13" s="14" t="s">
        <v>19</v>
      </c>
      <c r="F13" s="24" t="s">
        <v>18</v>
      </c>
      <c r="G13" s="14" t="s">
        <v>102</v>
      </c>
      <c r="H13" s="15" t="s">
        <v>21</v>
      </c>
      <c r="I13" s="14" t="s">
        <v>22</v>
      </c>
      <c r="J13" s="23" t="s">
        <v>76</v>
      </c>
    </row>
    <row r="14" spans="1:17" s="29" customFormat="1" x14ac:dyDescent="0.2">
      <c r="A14" s="25">
        <f t="shared" si="0"/>
        <v>7</v>
      </c>
      <c r="B14" s="26" t="s">
        <v>94</v>
      </c>
      <c r="C14" s="23" t="s">
        <v>149</v>
      </c>
      <c r="D14" s="3" t="s">
        <v>28</v>
      </c>
      <c r="E14" s="4" t="s">
        <v>19</v>
      </c>
      <c r="F14" s="24" t="s">
        <v>18</v>
      </c>
      <c r="G14" s="4" t="s">
        <v>102</v>
      </c>
      <c r="H14" s="5" t="s">
        <v>24</v>
      </c>
      <c r="I14" s="4" t="s">
        <v>16</v>
      </c>
      <c r="J14" s="3" t="s">
        <v>44</v>
      </c>
    </row>
    <row r="15" spans="1:17" s="29" customFormat="1" x14ac:dyDescent="0.2">
      <c r="A15" s="25">
        <f t="shared" si="0"/>
        <v>8</v>
      </c>
      <c r="B15" s="26" t="s">
        <v>135</v>
      </c>
      <c r="C15" s="23" t="s">
        <v>150</v>
      </c>
      <c r="D15" s="3" t="s">
        <v>39</v>
      </c>
      <c r="E15" s="4" t="s">
        <v>19</v>
      </c>
      <c r="F15" s="24" t="s">
        <v>18</v>
      </c>
      <c r="G15" s="4" t="s">
        <v>99</v>
      </c>
      <c r="H15" s="5" t="s">
        <v>24</v>
      </c>
      <c r="I15" s="4" t="s">
        <v>16</v>
      </c>
      <c r="J15" s="3" t="s">
        <v>40</v>
      </c>
    </row>
    <row r="16" spans="1:17" s="29" customFormat="1" x14ac:dyDescent="0.2">
      <c r="A16" s="25">
        <f t="shared" si="0"/>
        <v>9</v>
      </c>
      <c r="B16" s="26" t="s">
        <v>136</v>
      </c>
      <c r="C16" s="23" t="s">
        <v>151</v>
      </c>
      <c r="D16" s="3" t="s">
        <v>30</v>
      </c>
      <c r="E16" s="4" t="s">
        <v>19</v>
      </c>
      <c r="F16" s="24" t="s">
        <v>18</v>
      </c>
      <c r="G16" s="4" t="s">
        <v>99</v>
      </c>
      <c r="H16" s="5" t="s">
        <v>24</v>
      </c>
      <c r="I16" s="4" t="s">
        <v>16</v>
      </c>
      <c r="J16" s="3" t="s">
        <v>42</v>
      </c>
    </row>
    <row r="17" spans="1:10" s="29" customFormat="1" ht="26.25" customHeight="1" x14ac:dyDescent="0.2">
      <c r="A17" s="25">
        <f t="shared" si="0"/>
        <v>10</v>
      </c>
      <c r="B17" s="26" t="s">
        <v>137</v>
      </c>
      <c r="C17" s="23" t="s">
        <v>152</v>
      </c>
      <c r="D17" s="3" t="s">
        <v>31</v>
      </c>
      <c r="E17" s="4" t="s">
        <v>19</v>
      </c>
      <c r="F17" s="24" t="s">
        <v>18</v>
      </c>
      <c r="G17" s="4" t="s">
        <v>26</v>
      </c>
      <c r="H17" s="5" t="s">
        <v>24</v>
      </c>
      <c r="I17" s="4" t="s">
        <v>16</v>
      </c>
      <c r="J17" s="3" t="s">
        <v>53</v>
      </c>
    </row>
    <row r="18" spans="1:10" s="29" customFormat="1" x14ac:dyDescent="0.2">
      <c r="A18" s="25">
        <f t="shared" si="0"/>
        <v>11</v>
      </c>
      <c r="B18" s="26" t="s">
        <v>138</v>
      </c>
      <c r="C18" s="23" t="s">
        <v>153</v>
      </c>
      <c r="D18" s="3" t="s">
        <v>32</v>
      </c>
      <c r="E18" s="4" t="s">
        <v>19</v>
      </c>
      <c r="F18" s="24" t="s">
        <v>18</v>
      </c>
      <c r="G18" s="4" t="s">
        <v>25</v>
      </c>
      <c r="H18" s="5" t="s">
        <v>21</v>
      </c>
      <c r="I18" s="4" t="s">
        <v>22</v>
      </c>
      <c r="J18" s="3" t="s">
        <v>45</v>
      </c>
    </row>
    <row r="19" spans="1:10" s="29" customFormat="1" x14ac:dyDescent="0.2">
      <c r="A19" s="25">
        <f t="shared" si="0"/>
        <v>12</v>
      </c>
      <c r="B19" s="26" t="s">
        <v>139</v>
      </c>
      <c r="C19" s="23" t="s">
        <v>154</v>
      </c>
      <c r="D19" s="3" t="s">
        <v>33</v>
      </c>
      <c r="E19" s="4" t="s">
        <v>19</v>
      </c>
      <c r="F19" s="24" t="s">
        <v>18</v>
      </c>
      <c r="G19" s="4" t="s">
        <v>46</v>
      </c>
      <c r="H19" s="5" t="s">
        <v>21</v>
      </c>
      <c r="I19" s="4" t="s">
        <v>22</v>
      </c>
      <c r="J19" s="3" t="s">
        <v>47</v>
      </c>
    </row>
    <row r="20" spans="1:10" s="29" customFormat="1" x14ac:dyDescent="0.2">
      <c r="A20" s="25">
        <f t="shared" si="0"/>
        <v>13</v>
      </c>
      <c r="B20" s="26" t="s">
        <v>140</v>
      </c>
      <c r="C20" s="23" t="s">
        <v>155</v>
      </c>
      <c r="D20" s="3" t="s">
        <v>29</v>
      </c>
      <c r="E20" s="4" t="s">
        <v>19</v>
      </c>
      <c r="F20" s="24" t="s">
        <v>18</v>
      </c>
      <c r="G20" s="4" t="s">
        <v>99</v>
      </c>
      <c r="H20" s="5" t="s">
        <v>21</v>
      </c>
      <c r="I20" s="4" t="s">
        <v>22</v>
      </c>
      <c r="J20" s="3" t="s">
        <v>41</v>
      </c>
    </row>
    <row r="21" spans="1:10" s="29" customFormat="1" ht="25.5" x14ac:dyDescent="0.2">
      <c r="A21" s="25">
        <f t="shared" si="0"/>
        <v>14</v>
      </c>
      <c r="B21" s="26" t="s">
        <v>141</v>
      </c>
      <c r="C21" s="23" t="s">
        <v>156</v>
      </c>
      <c r="D21" s="3" t="s">
        <v>48</v>
      </c>
      <c r="E21" s="4" t="s">
        <v>19</v>
      </c>
      <c r="F21" s="24" t="s">
        <v>18</v>
      </c>
      <c r="G21" s="4" t="s">
        <v>87</v>
      </c>
      <c r="H21" s="5" t="s">
        <v>21</v>
      </c>
      <c r="I21" s="4" t="s">
        <v>22</v>
      </c>
      <c r="J21" s="6" t="s">
        <v>54</v>
      </c>
    </row>
    <row r="22" spans="1:10" s="29" customFormat="1" ht="51" x14ac:dyDescent="0.2">
      <c r="A22" s="25">
        <f t="shared" si="0"/>
        <v>15</v>
      </c>
      <c r="B22" s="26" t="s">
        <v>142</v>
      </c>
      <c r="C22" s="23" t="s">
        <v>79</v>
      </c>
      <c r="D22" s="11" t="s">
        <v>49</v>
      </c>
      <c r="E22" s="14" t="s">
        <v>19</v>
      </c>
      <c r="F22" s="24" t="s">
        <v>18</v>
      </c>
      <c r="G22" s="14" t="s">
        <v>104</v>
      </c>
      <c r="H22" s="15" t="s">
        <v>21</v>
      </c>
      <c r="I22" s="14" t="s">
        <v>22</v>
      </c>
      <c r="J22" s="11" t="s">
        <v>52</v>
      </c>
    </row>
    <row r="23" spans="1:10" s="29" customFormat="1" ht="63.75" x14ac:dyDescent="0.2">
      <c r="A23" s="25">
        <f t="shared" si="0"/>
        <v>16</v>
      </c>
      <c r="B23" s="26" t="s">
        <v>143</v>
      </c>
      <c r="C23" s="23" t="s">
        <v>83</v>
      </c>
      <c r="D23" s="11" t="s">
        <v>50</v>
      </c>
      <c r="E23" s="14" t="s">
        <v>19</v>
      </c>
      <c r="F23" s="24" t="s">
        <v>18</v>
      </c>
      <c r="G23" s="14" t="s">
        <v>106</v>
      </c>
      <c r="H23" s="15" t="s">
        <v>21</v>
      </c>
      <c r="I23" s="14" t="s">
        <v>22</v>
      </c>
      <c r="J23" s="11" t="s">
        <v>51</v>
      </c>
    </row>
    <row r="24" spans="1:10" s="29" customFormat="1" ht="25.5" x14ac:dyDescent="0.2">
      <c r="A24" s="25">
        <f t="shared" si="0"/>
        <v>17</v>
      </c>
      <c r="B24" s="26" t="s">
        <v>144</v>
      </c>
      <c r="C24" s="23" t="s">
        <v>157</v>
      </c>
      <c r="D24" s="3" t="s">
        <v>43</v>
      </c>
      <c r="E24" s="4" t="s">
        <v>19</v>
      </c>
      <c r="F24" s="24" t="s">
        <v>18</v>
      </c>
      <c r="G24" s="4" t="s">
        <v>99</v>
      </c>
      <c r="H24" s="5" t="s">
        <v>21</v>
      </c>
      <c r="I24" s="4" t="s">
        <v>22</v>
      </c>
      <c r="J24" s="3" t="s">
        <v>84</v>
      </c>
    </row>
    <row r="25" spans="1:10" s="29" customFormat="1" ht="132.75" customHeight="1" x14ac:dyDescent="0.2">
      <c r="A25" s="25">
        <f t="shared" ref="A25" si="1">A24+1</f>
        <v>18</v>
      </c>
      <c r="B25" s="26" t="s">
        <v>145</v>
      </c>
      <c r="C25" s="23" t="s">
        <v>82</v>
      </c>
      <c r="D25" s="11" t="s">
        <v>74</v>
      </c>
      <c r="E25" s="14" t="s">
        <v>19</v>
      </c>
      <c r="F25" s="24" t="s">
        <v>18</v>
      </c>
      <c r="G25" s="14" t="s">
        <v>23</v>
      </c>
      <c r="H25" s="15" t="s">
        <v>24</v>
      </c>
      <c r="I25" s="14" t="s">
        <v>16</v>
      </c>
      <c r="J25" s="28" t="s">
        <v>92</v>
      </c>
    </row>
    <row r="26" spans="1:10" s="29" customFormat="1" ht="25.5" x14ac:dyDescent="0.2">
      <c r="A26" s="25">
        <f t="shared" ref="A26" si="2">A25+1</f>
        <v>19</v>
      </c>
      <c r="B26" s="26" t="s">
        <v>158</v>
      </c>
      <c r="C26" s="23" t="s">
        <v>78</v>
      </c>
      <c r="D26" s="11" t="s">
        <v>34</v>
      </c>
      <c r="E26" s="14" t="s">
        <v>19</v>
      </c>
      <c r="F26" s="24" t="s">
        <v>18</v>
      </c>
      <c r="G26" s="14" t="s">
        <v>103</v>
      </c>
      <c r="H26" s="15" t="s">
        <v>21</v>
      </c>
      <c r="I26" s="14" t="s">
        <v>22</v>
      </c>
      <c r="J26" s="11" t="s">
        <v>75</v>
      </c>
    </row>
  </sheetData>
  <mergeCells count="6">
    <mergeCell ref="A1:J2"/>
    <mergeCell ref="A3:J3"/>
    <mergeCell ref="A4:B4"/>
    <mergeCell ref="C4:J4"/>
    <mergeCell ref="A7:J7"/>
    <mergeCell ref="J10:J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Itens</vt:lpstr>
      <vt:lpstr>Pessoas</vt:lpstr>
      <vt:lpstr>Itens!OLE_LINK3</vt:lpstr>
      <vt:lpstr>Pessoas!OLE_LINK3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Cargnin</dc:creator>
  <cp:lastModifiedBy>Bruna D. Kalschne</cp:lastModifiedBy>
  <cp:lastPrinted>2014-01-27T16:11:31Z</cp:lastPrinted>
  <dcterms:created xsi:type="dcterms:W3CDTF">2013-08-23T17:27:22Z</dcterms:created>
  <dcterms:modified xsi:type="dcterms:W3CDTF">2019-02-19T19:51:19Z</dcterms:modified>
</cp:coreProperties>
</file>